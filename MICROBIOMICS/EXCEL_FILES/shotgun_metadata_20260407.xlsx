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pr203/Downloads/"/>
    </mc:Choice>
  </mc:AlternateContent>
  <xr:revisionPtr revIDLastSave="0" documentId="8_{99E02DDB-EF2D-7A4C-81A4-FCB67CC26E1D}" xr6:coauthVersionLast="47" xr6:coauthVersionMax="47" xr10:uidLastSave="{00000000-0000-0000-0000-000000000000}"/>
  <bookViews>
    <workbookView xWindow="25600" yWindow="-18340" windowWidth="23040" windowHeight="20180" activeTab="2" xr2:uid="{58B100E3-AC2A-094E-9CC2-E9688A076027}"/>
  </bookViews>
  <sheets>
    <sheet name="ReadME" sheetId="7" r:id="rId1"/>
    <sheet name="People" sheetId="10" r:id="rId2"/>
    <sheet name="2022_shotgun" sheetId="4" r:id="rId3"/>
    <sheet name="2022_amplicons" sheetId="5" r:id="rId4"/>
    <sheet name="2022_layout" sheetId="8" r:id="rId5"/>
    <sheet name="2023_shotgun" sheetId="1" r:id="rId6"/>
    <sheet name="2023_amplicons" sheetId="6" r:id="rId7"/>
    <sheet name="2023_layout" sheetId="9" r:id="rId8"/>
  </sheets>
  <definedNames>
    <definedName name="_xlnm._FilterDatabase" localSheetId="3" hidden="1">'2022_amplicons'!$A$1:$BF$149</definedName>
    <definedName name="_xlnm._FilterDatabase" localSheetId="2" hidden="1">'2022_shotgun'!$A$1:$AM$317</definedName>
    <definedName name="_xlnm._FilterDatabase" localSheetId="6" hidden="1">'2023_amplicons'!$A$1:$AU$241</definedName>
    <definedName name="_xlnm._FilterDatabase" localSheetId="5" hidden="1">'2023_shotgun'!$A$1:$AK$300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7" i="5" l="1"/>
  <c r="S147" i="5" s="1"/>
  <c r="Q146" i="5"/>
  <c r="S146" i="5" s="1"/>
  <c r="Q145" i="5"/>
  <c r="S145" i="5" s="1"/>
  <c r="Q144" i="5"/>
  <c r="S144" i="5" s="1"/>
  <c r="Q143" i="5"/>
  <c r="S143" i="5" s="1"/>
  <c r="Q142" i="5"/>
  <c r="S142" i="5" s="1"/>
  <c r="Q141" i="5"/>
  <c r="S141" i="5" s="1"/>
  <c r="Q140" i="5"/>
  <c r="S140" i="5" s="1"/>
  <c r="Q139" i="5"/>
  <c r="S139" i="5" s="1"/>
  <c r="Q138" i="5"/>
  <c r="S138" i="5" s="1"/>
  <c r="Q137" i="5"/>
  <c r="S137" i="5" s="1"/>
  <c r="Q136" i="5"/>
  <c r="S136" i="5" s="1"/>
  <c r="Q135" i="5"/>
  <c r="S135" i="5" s="1"/>
  <c r="Q134" i="5"/>
  <c r="S134" i="5" s="1"/>
  <c r="Q133" i="5"/>
  <c r="S133" i="5" s="1"/>
  <c r="Q132" i="5"/>
  <c r="S132" i="5" s="1"/>
  <c r="Q131" i="5"/>
  <c r="S131" i="5" s="1"/>
  <c r="Q130" i="5"/>
  <c r="S130" i="5" s="1"/>
  <c r="Q129" i="5"/>
  <c r="S129" i="5" s="1"/>
  <c r="Q128" i="5"/>
  <c r="S128" i="5" s="1"/>
  <c r="Q127" i="5"/>
  <c r="S127" i="5" s="1"/>
  <c r="Q126" i="5"/>
  <c r="S126" i="5" s="1"/>
  <c r="Q125" i="5"/>
  <c r="S125" i="5" s="1"/>
  <c r="Q124" i="5"/>
  <c r="S124" i="5" s="1"/>
  <c r="Q123" i="5"/>
  <c r="S123" i="5" s="1"/>
  <c r="Q122" i="5"/>
  <c r="S122" i="5" s="1"/>
  <c r="Q121" i="5"/>
  <c r="S121" i="5" s="1"/>
  <c r="Q120" i="5"/>
  <c r="S120" i="5" s="1"/>
  <c r="Q119" i="5"/>
  <c r="S119" i="5" s="1"/>
  <c r="Q118" i="5"/>
  <c r="S118" i="5" s="1"/>
  <c r="Q117" i="5"/>
  <c r="S117" i="5" s="1"/>
  <c r="Q116" i="5"/>
  <c r="S116" i="5" s="1"/>
  <c r="Q115" i="5"/>
  <c r="S115" i="5" s="1"/>
  <c r="Q114" i="5"/>
  <c r="S114" i="5" s="1"/>
  <c r="Q113" i="5"/>
  <c r="S113" i="5" s="1"/>
  <c r="Q112" i="5"/>
  <c r="S112" i="5" s="1"/>
  <c r="Q111" i="5"/>
  <c r="S111" i="5" s="1"/>
  <c r="Q110" i="5"/>
  <c r="S110" i="5" s="1"/>
  <c r="Q109" i="5"/>
  <c r="S109" i="5" s="1"/>
  <c r="Q108" i="5"/>
  <c r="S108" i="5" s="1"/>
  <c r="Q107" i="5"/>
  <c r="S107" i="5" s="1"/>
  <c r="Q106" i="5"/>
  <c r="S106" i="5" s="1"/>
  <c r="Q105" i="5"/>
  <c r="S105" i="5" s="1"/>
  <c r="Q104" i="5"/>
  <c r="S104" i="5" s="1"/>
  <c r="Q103" i="5"/>
  <c r="S103" i="5" s="1"/>
  <c r="Q102" i="5"/>
  <c r="S102" i="5" s="1"/>
  <c r="Q101" i="5"/>
  <c r="S101" i="5" s="1"/>
  <c r="Q100" i="5"/>
  <c r="S100" i="5" s="1"/>
  <c r="Q99" i="5"/>
  <c r="S99" i="5" s="1"/>
  <c r="Q98" i="5"/>
  <c r="S98" i="5" s="1"/>
  <c r="Q97" i="5"/>
  <c r="S97" i="5" s="1"/>
  <c r="Q96" i="5"/>
  <c r="S96" i="5" s="1"/>
  <c r="Q95" i="5"/>
  <c r="S95" i="5" s="1"/>
  <c r="Q94" i="5"/>
  <c r="S94" i="5" s="1"/>
  <c r="Q93" i="5"/>
  <c r="S93" i="5" s="1"/>
  <c r="Q92" i="5"/>
  <c r="S92" i="5" s="1"/>
  <c r="Q91" i="5"/>
  <c r="S91" i="5" s="1"/>
  <c r="Q90" i="5"/>
  <c r="S90" i="5" s="1"/>
  <c r="Q89" i="5"/>
  <c r="S89" i="5" s="1"/>
  <c r="Q88" i="5"/>
  <c r="S88" i="5" s="1"/>
  <c r="Q87" i="5"/>
  <c r="S87" i="5" s="1"/>
  <c r="Q86" i="5"/>
  <c r="S86" i="5" s="1"/>
  <c r="Q85" i="5"/>
  <c r="S85" i="5" s="1"/>
  <c r="Q84" i="5"/>
  <c r="S84" i="5" s="1"/>
  <c r="Q83" i="5"/>
  <c r="S83" i="5" s="1"/>
  <c r="Q82" i="5"/>
  <c r="S82" i="5" s="1"/>
  <c r="Q81" i="5"/>
  <c r="S81" i="5" s="1"/>
  <c r="Q80" i="5"/>
  <c r="S80" i="5" s="1"/>
  <c r="Q79" i="5"/>
  <c r="S79" i="5" s="1"/>
  <c r="Q78" i="5"/>
  <c r="S78" i="5" s="1"/>
  <c r="Q77" i="5"/>
  <c r="S77" i="5" s="1"/>
  <c r="Q76" i="5"/>
  <c r="S76" i="5" s="1"/>
  <c r="Q75" i="5"/>
  <c r="Q74" i="5"/>
  <c r="Q73" i="5"/>
  <c r="S73" i="5" s="1"/>
  <c r="Q72" i="5"/>
  <c r="S72" i="5" s="1"/>
  <c r="Q71" i="5"/>
  <c r="S71" i="5" s="1"/>
  <c r="Q70" i="5"/>
  <c r="S70" i="5" s="1"/>
  <c r="Q69" i="5"/>
  <c r="S69" i="5" s="1"/>
  <c r="Q68" i="5"/>
  <c r="S68" i="5" s="1"/>
  <c r="Q67" i="5"/>
  <c r="S67" i="5" s="1"/>
  <c r="Q66" i="5"/>
  <c r="S66" i="5" s="1"/>
  <c r="Q65" i="5"/>
  <c r="S65" i="5" s="1"/>
  <c r="Q64" i="5"/>
  <c r="S64" i="5" s="1"/>
  <c r="Q63" i="5"/>
  <c r="S63" i="5" s="1"/>
  <c r="Q62" i="5"/>
  <c r="S62" i="5" s="1"/>
  <c r="Q61" i="5"/>
  <c r="S61" i="5" s="1"/>
  <c r="Q60" i="5"/>
  <c r="S60" i="5" s="1"/>
  <c r="Q59" i="5"/>
  <c r="S59" i="5" s="1"/>
  <c r="Q58" i="5"/>
  <c r="S58" i="5" s="1"/>
  <c r="Q57" i="5"/>
  <c r="S57" i="5" s="1"/>
  <c r="Q56" i="5"/>
  <c r="S56" i="5" s="1"/>
  <c r="Q55" i="5"/>
  <c r="S55" i="5" s="1"/>
  <c r="Q54" i="5"/>
  <c r="S54" i="5" s="1"/>
  <c r="Q53" i="5"/>
  <c r="S53" i="5" s="1"/>
  <c r="Q52" i="5"/>
  <c r="S52" i="5" s="1"/>
  <c r="Q51" i="5"/>
  <c r="S51" i="5" s="1"/>
  <c r="Q50" i="5"/>
  <c r="S50" i="5" s="1"/>
  <c r="Q49" i="5"/>
  <c r="S49" i="5" s="1"/>
  <c r="Q48" i="5"/>
  <c r="S48" i="5" s="1"/>
  <c r="Q47" i="5"/>
  <c r="S47" i="5" s="1"/>
  <c r="Q46" i="5"/>
  <c r="S46" i="5" s="1"/>
  <c r="Q45" i="5"/>
  <c r="S45" i="5" s="1"/>
  <c r="Q44" i="5"/>
  <c r="S44" i="5" s="1"/>
  <c r="Q43" i="5"/>
  <c r="S43" i="5" s="1"/>
  <c r="Q42" i="5"/>
  <c r="S42" i="5" s="1"/>
  <c r="Q41" i="5"/>
  <c r="S41" i="5" s="1"/>
  <c r="Q40" i="5"/>
  <c r="S40" i="5" s="1"/>
  <c r="Q39" i="5"/>
  <c r="S39" i="5" s="1"/>
  <c r="Q38" i="5"/>
  <c r="S38" i="5" s="1"/>
  <c r="Q37" i="5"/>
  <c r="S37" i="5" s="1"/>
  <c r="Q36" i="5"/>
  <c r="S36" i="5" s="1"/>
  <c r="Q35" i="5"/>
  <c r="S35" i="5" s="1"/>
  <c r="Q34" i="5"/>
  <c r="S34" i="5" s="1"/>
  <c r="Q33" i="5"/>
  <c r="S33" i="5" s="1"/>
  <c r="Q32" i="5"/>
  <c r="S32" i="5" s="1"/>
  <c r="Q31" i="5"/>
  <c r="S31" i="5" s="1"/>
  <c r="Q30" i="5"/>
  <c r="S30" i="5" s="1"/>
  <c r="Q29" i="5"/>
  <c r="S29" i="5" s="1"/>
  <c r="Q28" i="5"/>
  <c r="S28" i="5" s="1"/>
  <c r="Q27" i="5"/>
  <c r="S27" i="5" s="1"/>
  <c r="Q26" i="5"/>
  <c r="S26" i="5" s="1"/>
  <c r="Q25" i="5"/>
  <c r="S25" i="5" s="1"/>
  <c r="Q24" i="5"/>
  <c r="S24" i="5" s="1"/>
  <c r="Q23" i="5"/>
  <c r="S23" i="5" s="1"/>
  <c r="Q22" i="5"/>
  <c r="S22" i="5" s="1"/>
  <c r="Q21" i="5"/>
  <c r="S21" i="5" s="1"/>
  <c r="Q20" i="5"/>
  <c r="S20" i="5" s="1"/>
  <c r="Q19" i="5"/>
  <c r="S19" i="5" s="1"/>
  <c r="Q18" i="5"/>
  <c r="S18" i="5" s="1"/>
  <c r="Q17" i="5"/>
  <c r="S17" i="5" s="1"/>
  <c r="Q16" i="5"/>
  <c r="S16" i="5" s="1"/>
  <c r="Q15" i="5"/>
  <c r="S15" i="5" s="1"/>
  <c r="Q14" i="5"/>
  <c r="S14" i="5" s="1"/>
  <c r="Q13" i="5"/>
  <c r="S13" i="5" s="1"/>
  <c r="Q12" i="5"/>
  <c r="S12" i="5" s="1"/>
  <c r="Q11" i="5"/>
  <c r="S11" i="5" s="1"/>
  <c r="Q10" i="5"/>
  <c r="S10" i="5" s="1"/>
  <c r="Q9" i="5"/>
  <c r="S9" i="5" s="1"/>
  <c r="Q8" i="5"/>
  <c r="S8" i="5" s="1"/>
  <c r="Q7" i="5"/>
  <c r="S7" i="5" s="1"/>
  <c r="Q6" i="5"/>
  <c r="S6" i="5" s="1"/>
  <c r="Q5" i="5"/>
  <c r="S5" i="5" s="1"/>
  <c r="Q4" i="5"/>
  <c r="S4" i="5" s="1"/>
  <c r="Q3" i="5"/>
  <c r="S3" i="5" s="1"/>
  <c r="Q2" i="5"/>
  <c r="S2" i="5" s="1"/>
  <c r="Q217" i="4"/>
  <c r="S217" i="4" s="1"/>
  <c r="Q216" i="4"/>
  <c r="S216" i="4" s="1"/>
  <c r="Q215" i="4"/>
  <c r="S215" i="4" s="1"/>
  <c r="Q214" i="4"/>
  <c r="S214" i="4" s="1"/>
  <c r="Q213" i="4"/>
  <c r="S213" i="4" s="1"/>
  <c r="Q212" i="4"/>
  <c r="S212" i="4" s="1"/>
  <c r="Q211" i="4"/>
  <c r="S211" i="4" s="1"/>
  <c r="Q210" i="4"/>
  <c r="S210" i="4" s="1"/>
  <c r="Q209" i="4"/>
  <c r="S209" i="4" s="1"/>
  <c r="Q208" i="4"/>
  <c r="S208" i="4" s="1"/>
  <c r="Q207" i="4"/>
  <c r="S207" i="4" s="1"/>
  <c r="Q206" i="4"/>
  <c r="S206" i="4" s="1"/>
  <c r="Q205" i="4"/>
  <c r="S205" i="4" s="1"/>
  <c r="Q204" i="4"/>
  <c r="S204" i="4" s="1"/>
  <c r="Q203" i="4"/>
  <c r="S203" i="4" s="1"/>
  <c r="Q202" i="4"/>
  <c r="S202" i="4" s="1"/>
  <c r="Q201" i="4"/>
  <c r="S201" i="4" s="1"/>
  <c r="Q200" i="4"/>
  <c r="S200" i="4" s="1"/>
  <c r="Q199" i="4"/>
  <c r="S199" i="4" s="1"/>
  <c r="Q198" i="4"/>
  <c r="S198" i="4" s="1"/>
  <c r="Q197" i="4"/>
  <c r="S197" i="4" s="1"/>
  <c r="Q196" i="4"/>
  <c r="S196" i="4" s="1"/>
  <c r="Q195" i="4"/>
  <c r="S195" i="4" s="1"/>
  <c r="Q194" i="4"/>
  <c r="S194" i="4" s="1"/>
  <c r="Q193" i="4"/>
  <c r="S193" i="4" s="1"/>
  <c r="Q192" i="4"/>
  <c r="S192" i="4" s="1"/>
  <c r="Q191" i="4"/>
  <c r="S191" i="4" s="1"/>
  <c r="Q190" i="4"/>
  <c r="S190" i="4" s="1"/>
  <c r="Q189" i="4"/>
  <c r="S189" i="4" s="1"/>
  <c r="Q188" i="4"/>
  <c r="S188" i="4" s="1"/>
  <c r="Q187" i="4"/>
  <c r="S187" i="4" s="1"/>
  <c r="Q186" i="4"/>
  <c r="S186" i="4" s="1"/>
  <c r="Q185" i="4"/>
  <c r="S185" i="4" s="1"/>
  <c r="Q184" i="4"/>
  <c r="S184" i="4" s="1"/>
  <c r="Q183" i="4"/>
  <c r="S183" i="4" s="1"/>
  <c r="Q182" i="4"/>
  <c r="S182" i="4" s="1"/>
  <c r="Q181" i="4"/>
  <c r="S181" i="4" s="1"/>
  <c r="Q180" i="4"/>
  <c r="S180" i="4" s="1"/>
  <c r="Q179" i="4"/>
  <c r="S179" i="4" s="1"/>
  <c r="Q178" i="4"/>
  <c r="S178" i="4" s="1"/>
  <c r="Q177" i="4"/>
  <c r="S177" i="4" s="1"/>
  <c r="Q176" i="4"/>
  <c r="S176" i="4" s="1"/>
  <c r="Q175" i="4"/>
  <c r="S175" i="4" s="1"/>
  <c r="Q174" i="4"/>
  <c r="S174" i="4" s="1"/>
  <c r="Q173" i="4"/>
  <c r="S173" i="4" s="1"/>
  <c r="Q172" i="4"/>
  <c r="S172" i="4" s="1"/>
  <c r="Q171" i="4"/>
  <c r="S171" i="4" s="1"/>
  <c r="Q170" i="4"/>
  <c r="S170" i="4" s="1"/>
  <c r="Q169" i="4"/>
  <c r="S169" i="4" s="1"/>
  <c r="Q168" i="4"/>
  <c r="S168" i="4" s="1"/>
  <c r="Q167" i="4"/>
  <c r="S167" i="4" s="1"/>
  <c r="Q166" i="4"/>
  <c r="S166" i="4" s="1"/>
  <c r="Q165" i="4"/>
  <c r="S165" i="4" s="1"/>
  <c r="Q164" i="4"/>
  <c r="S164" i="4" s="1"/>
  <c r="Q163" i="4"/>
  <c r="S163" i="4" s="1"/>
  <c r="Q162" i="4"/>
  <c r="S162" i="4" s="1"/>
  <c r="Q161" i="4"/>
  <c r="S161" i="4" s="1"/>
  <c r="Q160" i="4"/>
  <c r="S160" i="4" s="1"/>
  <c r="Q159" i="4"/>
  <c r="S159" i="4" s="1"/>
  <c r="Q158" i="4"/>
  <c r="S158" i="4" s="1"/>
  <c r="Q157" i="4"/>
  <c r="S157" i="4" s="1"/>
  <c r="Q156" i="4"/>
  <c r="S156" i="4" s="1"/>
  <c r="Q155" i="4"/>
  <c r="S155" i="4" s="1"/>
  <c r="Q154" i="4"/>
  <c r="S154" i="4" s="1"/>
  <c r="Q153" i="4"/>
  <c r="S153" i="4" s="1"/>
  <c r="Q152" i="4"/>
  <c r="S152" i="4" s="1"/>
  <c r="Q151" i="4"/>
  <c r="S151" i="4" s="1"/>
  <c r="Q150" i="4"/>
  <c r="S150" i="4" s="1"/>
  <c r="Q149" i="4"/>
  <c r="S149" i="4" s="1"/>
  <c r="Q148" i="4"/>
  <c r="S148" i="4" s="1"/>
  <c r="Q147" i="4"/>
  <c r="S147" i="4" s="1"/>
  <c r="Q146" i="4"/>
  <c r="S146" i="4" s="1"/>
  <c r="Q145" i="4"/>
  <c r="S145" i="4" s="1"/>
  <c r="Q144" i="4"/>
  <c r="S144" i="4" s="1"/>
  <c r="Q143" i="4"/>
  <c r="S143" i="4" s="1"/>
  <c r="Q142" i="4"/>
  <c r="S142" i="4" s="1"/>
  <c r="Q141" i="4"/>
  <c r="S141" i="4" s="1"/>
  <c r="Q140" i="4"/>
  <c r="S140" i="4" s="1"/>
  <c r="Q139" i="4"/>
  <c r="S139" i="4" s="1"/>
  <c r="Q138" i="4"/>
  <c r="S138" i="4" s="1"/>
  <c r="Q137" i="4"/>
  <c r="S137" i="4" s="1"/>
  <c r="Q136" i="4"/>
  <c r="S136" i="4" s="1"/>
  <c r="Q135" i="4"/>
  <c r="S135" i="4" s="1"/>
  <c r="Q134" i="4"/>
  <c r="S134" i="4" s="1"/>
  <c r="Q133" i="4"/>
  <c r="S133" i="4" s="1"/>
  <c r="Q132" i="4"/>
  <c r="S132" i="4" s="1"/>
  <c r="Q131" i="4"/>
  <c r="S131" i="4" s="1"/>
  <c r="Q130" i="4"/>
  <c r="S130" i="4" s="1"/>
  <c r="Q129" i="4"/>
  <c r="S129" i="4" s="1"/>
  <c r="Q128" i="4"/>
  <c r="S128" i="4" s="1"/>
  <c r="Q127" i="4"/>
  <c r="S127" i="4" s="1"/>
  <c r="Q126" i="4"/>
  <c r="S126" i="4" s="1"/>
  <c r="Q125" i="4"/>
  <c r="S125" i="4" s="1"/>
  <c r="Q124" i="4"/>
  <c r="S124" i="4" s="1"/>
  <c r="Q123" i="4"/>
  <c r="S123" i="4" s="1"/>
  <c r="Q122" i="4"/>
  <c r="S122" i="4" s="1"/>
  <c r="Q121" i="4"/>
  <c r="S121" i="4" s="1"/>
  <c r="Q120" i="4"/>
  <c r="S120" i="4" s="1"/>
  <c r="Q119" i="4"/>
  <c r="S119" i="4" s="1"/>
  <c r="Q118" i="4"/>
  <c r="S118" i="4" s="1"/>
  <c r="Q117" i="4"/>
  <c r="S117" i="4" s="1"/>
  <c r="Q116" i="4"/>
  <c r="S116" i="4" s="1"/>
  <c r="Q115" i="4"/>
  <c r="S115" i="4" s="1"/>
  <c r="Q114" i="4"/>
  <c r="S114" i="4" s="1"/>
  <c r="Q113" i="4"/>
  <c r="S113" i="4" s="1"/>
  <c r="Q112" i="4"/>
  <c r="S112" i="4" s="1"/>
  <c r="Q111" i="4"/>
  <c r="S111" i="4" s="1"/>
  <c r="Q110" i="4"/>
  <c r="S110" i="4" s="1"/>
  <c r="Q109" i="4"/>
  <c r="S109" i="4" s="1"/>
  <c r="Q108" i="4"/>
  <c r="S108" i="4" s="1"/>
  <c r="Q107" i="4"/>
  <c r="S107" i="4" s="1"/>
  <c r="Q106" i="4"/>
  <c r="S106" i="4" s="1"/>
  <c r="Q105" i="4"/>
  <c r="S105" i="4" s="1"/>
  <c r="Q104" i="4"/>
  <c r="S104" i="4" s="1"/>
  <c r="Q103" i="4"/>
  <c r="S103" i="4" s="1"/>
  <c r="Q102" i="4"/>
  <c r="S102" i="4" s="1"/>
  <c r="Q101" i="4"/>
  <c r="S101" i="4" s="1"/>
  <c r="Q100" i="4"/>
  <c r="S100" i="4" s="1"/>
  <c r="Q99" i="4"/>
  <c r="S99" i="4" s="1"/>
  <c r="Q98" i="4"/>
  <c r="S98" i="4" s="1"/>
  <c r="Q97" i="4"/>
  <c r="S97" i="4" s="1"/>
  <c r="Q96" i="4"/>
  <c r="S96" i="4" s="1"/>
  <c r="Q95" i="4"/>
  <c r="S95" i="4" s="1"/>
  <c r="Q94" i="4"/>
  <c r="S94" i="4" s="1"/>
  <c r="Q93" i="4"/>
  <c r="S93" i="4" s="1"/>
  <c r="Q92" i="4"/>
  <c r="S92" i="4" s="1"/>
  <c r="Q91" i="4"/>
  <c r="S91" i="4" s="1"/>
  <c r="Q90" i="4"/>
  <c r="S90" i="4" s="1"/>
  <c r="Q89" i="4"/>
  <c r="S89" i="4" s="1"/>
  <c r="Q88" i="4"/>
  <c r="S88" i="4" s="1"/>
  <c r="Q87" i="4"/>
  <c r="S87" i="4" s="1"/>
  <c r="Q86" i="4"/>
  <c r="S86" i="4" s="1"/>
  <c r="Q85" i="4"/>
  <c r="S85" i="4" s="1"/>
  <c r="Q84" i="4"/>
  <c r="S84" i="4" s="1"/>
  <c r="Q83" i="4"/>
  <c r="S83" i="4" s="1"/>
  <c r="Q82" i="4"/>
  <c r="S82" i="4" s="1"/>
  <c r="Q81" i="4"/>
  <c r="S81" i="4" s="1"/>
  <c r="Q80" i="4"/>
  <c r="S80" i="4" s="1"/>
  <c r="Q79" i="4"/>
  <c r="S79" i="4" s="1"/>
  <c r="Q78" i="4"/>
  <c r="S78" i="4" s="1"/>
  <c r="Q77" i="4"/>
  <c r="S77" i="4" s="1"/>
  <c r="Q76" i="4"/>
  <c r="S76" i="4" s="1"/>
  <c r="Q75" i="4"/>
  <c r="S75" i="4" s="1"/>
  <c r="Q74" i="4"/>
  <c r="S74" i="4" s="1"/>
  <c r="Q73" i="4"/>
  <c r="S73" i="4" s="1"/>
  <c r="Q72" i="4"/>
  <c r="S72" i="4" s="1"/>
  <c r="Q71" i="4"/>
  <c r="S71" i="4" s="1"/>
  <c r="Q70" i="4"/>
  <c r="S70" i="4" s="1"/>
  <c r="Q69" i="4"/>
  <c r="S69" i="4" s="1"/>
  <c r="Q68" i="4"/>
  <c r="S68" i="4" s="1"/>
  <c r="Q67" i="4"/>
  <c r="S67" i="4" s="1"/>
  <c r="Q66" i="4"/>
  <c r="S66" i="4" s="1"/>
  <c r="Q65" i="4"/>
  <c r="S65" i="4" s="1"/>
  <c r="Q64" i="4"/>
  <c r="S64" i="4" s="1"/>
  <c r="Q63" i="4"/>
  <c r="S63" i="4" s="1"/>
  <c r="Q62" i="4"/>
  <c r="S62" i="4" s="1"/>
  <c r="Q61" i="4"/>
  <c r="S61" i="4" s="1"/>
  <c r="Q60" i="4"/>
  <c r="S60" i="4" s="1"/>
  <c r="Q59" i="4"/>
  <c r="S59" i="4" s="1"/>
  <c r="Q58" i="4"/>
  <c r="S58" i="4" s="1"/>
  <c r="Q57" i="4"/>
  <c r="S57" i="4" s="1"/>
  <c r="Q56" i="4"/>
  <c r="S56" i="4" s="1"/>
  <c r="Q55" i="4"/>
  <c r="S55" i="4" s="1"/>
  <c r="Q54" i="4"/>
  <c r="S54" i="4" s="1"/>
  <c r="Q53" i="4"/>
  <c r="S53" i="4" s="1"/>
  <c r="Q52" i="4"/>
  <c r="S52" i="4" s="1"/>
  <c r="Q51" i="4"/>
  <c r="S51" i="4" s="1"/>
  <c r="Q50" i="4"/>
  <c r="S50" i="4" s="1"/>
  <c r="Q49" i="4"/>
  <c r="S49" i="4" s="1"/>
  <c r="Q48" i="4"/>
  <c r="S48" i="4" s="1"/>
  <c r="Q47" i="4"/>
  <c r="S47" i="4" s="1"/>
  <c r="Q46" i="4"/>
  <c r="S46" i="4" s="1"/>
  <c r="Q45" i="4"/>
  <c r="S45" i="4" s="1"/>
  <c r="Q44" i="4"/>
  <c r="S44" i="4" s="1"/>
  <c r="Q43" i="4"/>
  <c r="S43" i="4" s="1"/>
  <c r="Q42" i="4"/>
  <c r="S42" i="4" s="1"/>
  <c r="Q41" i="4"/>
  <c r="S41" i="4" s="1"/>
  <c r="Q40" i="4"/>
  <c r="S40" i="4" s="1"/>
  <c r="Q39" i="4"/>
  <c r="S39" i="4" s="1"/>
  <c r="Q38" i="4"/>
  <c r="S38" i="4" s="1"/>
  <c r="Q37" i="4"/>
  <c r="S37" i="4" s="1"/>
  <c r="Q36" i="4"/>
  <c r="S36" i="4" s="1"/>
  <c r="Q35" i="4"/>
  <c r="S35" i="4" s="1"/>
  <c r="Q34" i="4"/>
  <c r="S34" i="4" s="1"/>
  <c r="Q33" i="4"/>
  <c r="S33" i="4" s="1"/>
  <c r="Q32" i="4"/>
  <c r="S32" i="4" s="1"/>
  <c r="Q31" i="4"/>
  <c r="S31" i="4" s="1"/>
  <c r="Q30" i="4"/>
  <c r="S30" i="4" s="1"/>
  <c r="Q29" i="4"/>
  <c r="S29" i="4" s="1"/>
  <c r="Q28" i="4"/>
  <c r="S28" i="4" s="1"/>
  <c r="Q27" i="4"/>
  <c r="S27" i="4" s="1"/>
  <c r="Q26" i="4"/>
  <c r="S26" i="4" s="1"/>
  <c r="Q25" i="4"/>
  <c r="S25" i="4" s="1"/>
  <c r="Q24" i="4"/>
  <c r="S24" i="4" s="1"/>
  <c r="Q23" i="4"/>
  <c r="S23" i="4" s="1"/>
  <c r="Q22" i="4"/>
  <c r="S22" i="4" s="1"/>
  <c r="Q21" i="4"/>
  <c r="S21" i="4" s="1"/>
  <c r="Q20" i="4"/>
  <c r="S20" i="4" s="1"/>
  <c r="Q19" i="4"/>
  <c r="S19" i="4" s="1"/>
  <c r="Q18" i="4"/>
  <c r="S18" i="4" s="1"/>
  <c r="Q17" i="4"/>
  <c r="S17" i="4" s="1"/>
  <c r="Q16" i="4"/>
  <c r="S16" i="4" s="1"/>
  <c r="Q15" i="4"/>
  <c r="S15" i="4" s="1"/>
  <c r="Q14" i="4"/>
  <c r="S14" i="4" s="1"/>
  <c r="Q13" i="4"/>
  <c r="S13" i="4" s="1"/>
  <c r="Q12" i="4"/>
  <c r="S12" i="4" s="1"/>
  <c r="Q11" i="4"/>
  <c r="S11" i="4" s="1"/>
  <c r="Q10" i="4"/>
  <c r="S10" i="4" s="1"/>
  <c r="Q9" i="4"/>
  <c r="S9" i="4" s="1"/>
  <c r="Q8" i="4"/>
  <c r="S8" i="4" s="1"/>
  <c r="Q7" i="4"/>
  <c r="S7" i="4" s="1"/>
  <c r="Q6" i="4"/>
  <c r="S6" i="4" s="1"/>
  <c r="Q5" i="4"/>
  <c r="S5" i="4" s="1"/>
  <c r="Q4" i="4"/>
  <c r="S4" i="4" s="1"/>
  <c r="Q3" i="4"/>
  <c r="S3" i="4" s="1"/>
  <c r="Q2" i="4"/>
  <c r="S2" i="4" s="1"/>
  <c r="B17" i="7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<sst xmlns="http://schemas.openxmlformats.org/spreadsheetml/2006/main" count="20431" uniqueCount="1813">
  <si>
    <t>Plot</t>
  </si>
  <si>
    <t>Cultivar</t>
  </si>
  <si>
    <t>x</t>
  </si>
  <si>
    <t>y</t>
  </si>
  <si>
    <t>Half</t>
  </si>
  <si>
    <t>Normal</t>
  </si>
  <si>
    <t>Zero</t>
  </si>
  <si>
    <t>DNA_conc_individual</t>
  </si>
  <si>
    <t>sample_weight_g</t>
  </si>
  <si>
    <t>A16</t>
  </si>
  <si>
    <t>yes</t>
  </si>
  <si>
    <t>A7</t>
  </si>
  <si>
    <t>B5</t>
  </si>
  <si>
    <t>no</t>
  </si>
  <si>
    <t>B7</t>
  </si>
  <si>
    <t>B16</t>
  </si>
  <si>
    <t>A5</t>
  </si>
  <si>
    <t>R_070622_s_1A</t>
  </si>
  <si>
    <t>speedvac_DNA</t>
  </si>
  <si>
    <t>speedvac_DNA_conc_individual</t>
  </si>
  <si>
    <t>speedvac_DNA_still_no_DNA</t>
  </si>
  <si>
    <t>DNA_conc_plate</t>
  </si>
  <si>
    <t>amplicon</t>
  </si>
  <si>
    <t>lib_plate_number</t>
  </si>
  <si>
    <t>PCR1_date</t>
  </si>
  <si>
    <t>PCR2_date</t>
  </si>
  <si>
    <t>index_pair</t>
  </si>
  <si>
    <t>seq_sample_ID</t>
  </si>
  <si>
    <t>run_ID</t>
  </si>
  <si>
    <t>note</t>
  </si>
  <si>
    <t>lib_DNA_conc</t>
  </si>
  <si>
    <t>lib_prep</t>
  </si>
  <si>
    <t>nextera12</t>
  </si>
  <si>
    <t>nextera15</t>
  </si>
  <si>
    <t>hugenholz</t>
  </si>
  <si>
    <t>16S</t>
  </si>
  <si>
    <t>ITS</t>
  </si>
  <si>
    <t>lib_prep_control</t>
  </si>
  <si>
    <t>3_61</t>
  </si>
  <si>
    <t>5_68</t>
  </si>
  <si>
    <t>heerup</t>
  </si>
  <si>
    <t>1A</t>
  </si>
  <si>
    <t>S510</t>
  </si>
  <si>
    <t>N705</t>
  </si>
  <si>
    <t>1B</t>
  </si>
  <si>
    <t>S511</t>
  </si>
  <si>
    <t>1C</t>
  </si>
  <si>
    <t>S513</t>
  </si>
  <si>
    <t>1D</t>
  </si>
  <si>
    <t>S515</t>
  </si>
  <si>
    <t>1E</t>
  </si>
  <si>
    <t>S516</t>
  </si>
  <si>
    <t>1F</t>
  </si>
  <si>
    <t>S517</t>
  </si>
  <si>
    <t>1G</t>
  </si>
  <si>
    <t>S518</t>
  </si>
  <si>
    <t>1H</t>
  </si>
  <si>
    <t>S520</t>
  </si>
  <si>
    <t>plot</t>
  </si>
  <si>
    <t>cultivar</t>
  </si>
  <si>
    <t>spray</t>
  </si>
  <si>
    <t>washed_date</t>
  </si>
  <si>
    <t>DNA_ext_date</t>
  </si>
  <si>
    <t>plate_position</t>
  </si>
  <si>
    <t>index_set</t>
  </si>
  <si>
    <t>S5_index</t>
  </si>
  <si>
    <t>N7_index</t>
  </si>
  <si>
    <t>11A</t>
  </si>
  <si>
    <t>17/004/24</t>
  </si>
  <si>
    <t>N711</t>
  </si>
  <si>
    <t>11B</t>
  </si>
  <si>
    <t>11C</t>
  </si>
  <si>
    <t>11D</t>
  </si>
  <si>
    <t>11E</t>
  </si>
  <si>
    <t>11F</t>
  </si>
  <si>
    <t>11G</t>
  </si>
  <si>
    <t>11H</t>
  </si>
  <si>
    <t>lib_date</t>
  </si>
  <si>
    <t>2B</t>
  </si>
  <si>
    <t>2A</t>
  </si>
  <si>
    <t>2C</t>
  </si>
  <si>
    <t>3A</t>
  </si>
  <si>
    <t>3B</t>
  </si>
  <si>
    <t>3C</t>
  </si>
  <si>
    <t>2G</t>
  </si>
  <si>
    <t>2H</t>
  </si>
  <si>
    <t>4A</t>
  </si>
  <si>
    <t>4B</t>
  </si>
  <si>
    <t>4E</t>
  </si>
  <si>
    <t>3E</t>
  </si>
  <si>
    <t>3F</t>
  </si>
  <si>
    <t>3G</t>
  </si>
  <si>
    <t>5A</t>
  </si>
  <si>
    <t>5F</t>
  </si>
  <si>
    <t>4C</t>
  </si>
  <si>
    <t>6A</t>
  </si>
  <si>
    <t>4G</t>
  </si>
  <si>
    <t>6D</t>
  </si>
  <si>
    <t>6E</t>
  </si>
  <si>
    <t>5B</t>
  </si>
  <si>
    <t>5C</t>
  </si>
  <si>
    <t>5E</t>
  </si>
  <si>
    <t>4D</t>
  </si>
  <si>
    <t>7A</t>
  </si>
  <si>
    <t>5G</t>
  </si>
  <si>
    <t>7E</t>
  </si>
  <si>
    <t>6B</t>
  </si>
  <si>
    <t>6C</t>
  </si>
  <si>
    <t>8A</t>
  </si>
  <si>
    <t>6F</t>
  </si>
  <si>
    <t>6G</t>
  </si>
  <si>
    <t>?</t>
  </si>
  <si>
    <t>7B</t>
  </si>
  <si>
    <t>9A</t>
  </si>
  <si>
    <t>9B</t>
  </si>
  <si>
    <t>9C</t>
  </si>
  <si>
    <t>7F</t>
  </si>
  <si>
    <t>7G</t>
  </si>
  <si>
    <t>10A</t>
  </si>
  <si>
    <t>10B</t>
  </si>
  <si>
    <t>8E</t>
  </si>
  <si>
    <t>8F</t>
  </si>
  <si>
    <t>8G</t>
  </si>
  <si>
    <t>9D</t>
  </si>
  <si>
    <t>9E</t>
  </si>
  <si>
    <t>9F</t>
  </si>
  <si>
    <t>9G</t>
  </si>
  <si>
    <t>9H</t>
  </si>
  <si>
    <t>12B</t>
  </si>
  <si>
    <t>12D</t>
  </si>
  <si>
    <t>10D</t>
  </si>
  <si>
    <t>10E</t>
  </si>
  <si>
    <t>10F</t>
  </si>
  <si>
    <t>10G</t>
  </si>
  <si>
    <t>10H</t>
  </si>
  <si>
    <t>12A</t>
  </si>
  <si>
    <t>12C</t>
  </si>
  <si>
    <t>12E</t>
  </si>
  <si>
    <t>12F</t>
  </si>
  <si>
    <t>8C</t>
  </si>
  <si>
    <t>8D</t>
  </si>
  <si>
    <t>5D</t>
  </si>
  <si>
    <t>7H</t>
  </si>
  <si>
    <t>2D</t>
  </si>
  <si>
    <t>2E</t>
  </si>
  <si>
    <t>2F</t>
  </si>
  <si>
    <t>3D</t>
  </si>
  <si>
    <t>3H</t>
  </si>
  <si>
    <t>4F</t>
  </si>
  <si>
    <t>4H</t>
  </si>
  <si>
    <t>6H</t>
  </si>
  <si>
    <t>7C</t>
  </si>
  <si>
    <t>7D</t>
  </si>
  <si>
    <t>8B</t>
  </si>
  <si>
    <t>8H</t>
  </si>
  <si>
    <t>S501</t>
  </si>
  <si>
    <t>S502</t>
  </si>
  <si>
    <t>S503</t>
  </si>
  <si>
    <t>S504</t>
  </si>
  <si>
    <t>S505</t>
  </si>
  <si>
    <t>S506</t>
  </si>
  <si>
    <t>S507</t>
  </si>
  <si>
    <t>S508</t>
  </si>
  <si>
    <t>N701</t>
  </si>
  <si>
    <t>N702</t>
  </si>
  <si>
    <t>N703</t>
  </si>
  <si>
    <t>N704</t>
  </si>
  <si>
    <t>N712</t>
  </si>
  <si>
    <t>N706</t>
  </si>
  <si>
    <t>N707</t>
  </si>
  <si>
    <t>N709</t>
  </si>
  <si>
    <t>N710</t>
  </si>
  <si>
    <t>N708</t>
  </si>
  <si>
    <t>N715</t>
  </si>
  <si>
    <t>N716</t>
  </si>
  <si>
    <t>N718</t>
  </si>
  <si>
    <t>N719</t>
  </si>
  <si>
    <t>N721</t>
  </si>
  <si>
    <t>N722</t>
  </si>
  <si>
    <t>N723</t>
  </si>
  <si>
    <t>N724</t>
  </si>
  <si>
    <t>N720</t>
  </si>
  <si>
    <t>N7_index_ID</t>
  </si>
  <si>
    <t>S5_index_ID</t>
  </si>
  <si>
    <t>TAGATCGC</t>
  </si>
  <si>
    <t>CTCTCTAT</t>
  </si>
  <si>
    <t>TATCCTCT</t>
  </si>
  <si>
    <t>AGAGTAGA</t>
  </si>
  <si>
    <t>GTAAGGAG</t>
  </si>
  <si>
    <t>ACTGCATA</t>
  </si>
  <si>
    <t>AAGGAGTA</t>
  </si>
  <si>
    <t>S509</t>
  </si>
  <si>
    <t>CTAAGCCT</t>
  </si>
  <si>
    <t>CGTCTAAT</t>
  </si>
  <si>
    <t>s511</t>
  </si>
  <si>
    <t>TCTCTCCG</t>
  </si>
  <si>
    <t>s513</t>
  </si>
  <si>
    <t>TCGACTAG</t>
  </si>
  <si>
    <t>s515</t>
  </si>
  <si>
    <t>TTCTAGCT</t>
  </si>
  <si>
    <t>s516</t>
  </si>
  <si>
    <t>CCTAGAGT</t>
  </si>
  <si>
    <t>s517</t>
  </si>
  <si>
    <t>GCGTAAGA</t>
  </si>
  <si>
    <t>s518</t>
  </si>
  <si>
    <t>CTATTAAG</t>
  </si>
  <si>
    <t>s520</t>
  </si>
  <si>
    <t>AAGGCTAT</t>
  </si>
  <si>
    <t>S514</t>
  </si>
  <si>
    <t>TAAGGCGA</t>
  </si>
  <si>
    <t>CGTACTAG</t>
  </si>
  <si>
    <t>AGGCAGAA</t>
  </si>
  <si>
    <t>TCCTGAGC</t>
  </si>
  <si>
    <t>GGACTCCT</t>
  </si>
  <si>
    <t>AAGAGGCA</t>
  </si>
  <si>
    <t>GTAGAGGA</t>
  </si>
  <si>
    <t>TAGGCATG</t>
  </si>
  <si>
    <t>CTCTCTAC</t>
  </si>
  <si>
    <t>GCTACGCT</t>
  </si>
  <si>
    <t>CGAGGCTG</t>
  </si>
  <si>
    <t>CAGAGAGG</t>
  </si>
  <si>
    <t>ATCTCAGG</t>
  </si>
  <si>
    <t>ACTCGCTA</t>
  </si>
  <si>
    <t>GGAGCTAC</t>
  </si>
  <si>
    <t>GCGTAGTA</t>
  </si>
  <si>
    <t>TACGCTGC</t>
  </si>
  <si>
    <t>ATGCGCAG</t>
  </si>
  <si>
    <t>TAGCGCTC</t>
  </si>
  <si>
    <t>ACTGAGCG</t>
  </si>
  <si>
    <t>CGGAGCCT</t>
  </si>
  <si>
    <t>n</t>
  </si>
  <si>
    <t>block</t>
  </si>
  <si>
    <t>fertilizer</t>
  </si>
  <si>
    <t>density</t>
  </si>
  <si>
    <t>N726</t>
  </si>
  <si>
    <t>CCTAAGAC</t>
  </si>
  <si>
    <t>N727</t>
  </si>
  <si>
    <t>CGATCAGT</t>
  </si>
  <si>
    <t>N728</t>
  </si>
  <si>
    <t>TGCAGCTA</t>
  </si>
  <si>
    <t>S512</t>
  </si>
  <si>
    <t>unknown</t>
  </si>
  <si>
    <t>days_between_DNA_x</t>
  </si>
  <si>
    <t>5H</t>
  </si>
  <si>
    <t>10C</t>
  </si>
  <si>
    <t>correct_seq_sample_ID</t>
  </si>
  <si>
    <t>subplot</t>
  </si>
  <si>
    <t>washed_14</t>
  </si>
  <si>
    <t>washed_13</t>
  </si>
  <si>
    <t>1xPBS</t>
  </si>
  <si>
    <t>DES</t>
  </si>
  <si>
    <t>kit_control_des_elution_buffer_DNA_ext</t>
  </si>
  <si>
    <t>kit_control_pbs_wash_buffer</t>
  </si>
  <si>
    <t>rembrandt</t>
  </si>
  <si>
    <t>kvium</t>
  </si>
  <si>
    <t>sheriff</t>
  </si>
  <si>
    <t>N/A</t>
  </si>
  <si>
    <t>shotgun</t>
  </si>
  <si>
    <t>sample collection</t>
  </si>
  <si>
    <t>DNA extraction</t>
  </si>
  <si>
    <t>lib building</t>
  </si>
  <si>
    <t>sequencing</t>
  </si>
  <si>
    <t>shotgun amplicons</t>
  </si>
  <si>
    <t>Sif Christine Lykke Hougaard</t>
  </si>
  <si>
    <t>Leise Riber</t>
  </si>
  <si>
    <t>Nikoline S. Olsen</t>
  </si>
  <si>
    <t>Alex Gobi</t>
  </si>
  <si>
    <t>GeoGenetics Sequencing Core</t>
  </si>
  <si>
    <t>Marie Højmark Fischer</t>
  </si>
  <si>
    <t>Helen Helgå Lading</t>
  </si>
  <si>
    <t>Knud Nor Nielsen</t>
  </si>
  <si>
    <t>Lars H. Hansen</t>
  </si>
  <si>
    <t>number of days:</t>
  </si>
  <si>
    <t>7 of 8</t>
  </si>
  <si>
    <t>6 of 8</t>
  </si>
  <si>
    <t>6 og 8</t>
  </si>
  <si>
    <t>4 of 8</t>
  </si>
  <si>
    <t>2 of 8</t>
  </si>
  <si>
    <t>1 of 8</t>
  </si>
  <si>
    <t>Road</t>
  </si>
  <si>
    <t>MATRIX: DK sampling, 2022-June+</t>
  </si>
  <si>
    <t>VKST sign on the grass</t>
  </si>
  <si>
    <t>Design: Ringsted, 011542222-004. Winter wheat varieties, A+ and B, with and without fungicide treatment.</t>
  </si>
  <si>
    <t>Other trial</t>
  </si>
  <si>
    <t>værn</t>
  </si>
  <si>
    <t>A46</t>
  </si>
  <si>
    <t>B4</t>
  </si>
  <si>
    <t>Spray track</t>
  </si>
  <si>
    <t>B6</t>
  </si>
  <si>
    <t>A37</t>
  </si>
  <si>
    <t>A10</t>
  </si>
  <si>
    <t>B47</t>
  </si>
  <si>
    <t>B28</t>
  </si>
  <si>
    <t>M10 - A7 - 
Heerup</t>
  </si>
  <si>
    <t>A42</t>
  </si>
  <si>
    <t>B26</t>
  </si>
  <si>
    <t>B22</t>
  </si>
  <si>
    <t>A45</t>
  </si>
  <si>
    <t>A13</t>
  </si>
  <si>
    <t>B50</t>
  </si>
  <si>
    <t>B39</t>
  </si>
  <si>
    <t>Værn</t>
  </si>
  <si>
    <t>A49</t>
  </si>
  <si>
    <t>B13</t>
  </si>
  <si>
    <t>B37</t>
  </si>
  <si>
    <t>A26</t>
  </si>
  <si>
    <t>A32</t>
  </si>
  <si>
    <t>B15</t>
  </si>
  <si>
    <t>B42</t>
  </si>
  <si>
    <t>A20</t>
  </si>
  <si>
    <t>M16 - B16 - 
Rembrandt</t>
  </si>
  <si>
    <t>B19</t>
  </si>
  <si>
    <t>A3</t>
  </si>
  <si>
    <t>A50</t>
  </si>
  <si>
    <t>B46</t>
  </si>
  <si>
    <t>B11</t>
  </si>
  <si>
    <t>A19</t>
  </si>
  <si>
    <t>B51</t>
  </si>
  <si>
    <t>A38</t>
  </si>
  <si>
    <t>B2</t>
  </si>
  <si>
    <t>B35</t>
  </si>
  <si>
    <t>A1</t>
  </si>
  <si>
    <t>B44</t>
  </si>
  <si>
    <t>A15</t>
  </si>
  <si>
    <t>A36</t>
  </si>
  <si>
    <t>B38</t>
  </si>
  <si>
    <t>A39</t>
  </si>
  <si>
    <t>A29</t>
  </si>
  <si>
    <t>B49</t>
  </si>
  <si>
    <t>A44</t>
  </si>
  <si>
    <t>B27</t>
  </si>
  <si>
    <t>B3</t>
  </si>
  <si>
    <t>A9</t>
  </si>
  <si>
    <t>B17</t>
  </si>
  <si>
    <t>A43</t>
  </si>
  <si>
    <t>B21</t>
  </si>
  <si>
    <t>A28</t>
  </si>
  <si>
    <t>B10</t>
  </si>
  <si>
    <t>B12</t>
  </si>
  <si>
    <t>A47</t>
  </si>
  <si>
    <t>M11 - A16 - 
Rembrandt</t>
  </si>
  <si>
    <t>A21</t>
  </si>
  <si>
    <t>A18</t>
  </si>
  <si>
    <t>A25</t>
  </si>
  <si>
    <t>B25</t>
  </si>
  <si>
    <t>A33</t>
  </si>
  <si>
    <t>B43</t>
  </si>
  <si>
    <t>A41</t>
  </si>
  <si>
    <t>A11</t>
  </si>
  <si>
    <t>B31</t>
  </si>
  <si>
    <t>B18</t>
  </si>
  <si>
    <t>B45</t>
  </si>
  <si>
    <t>M1 - A16 - 
Rembrandt</t>
  </si>
  <si>
    <t>B34</t>
  </si>
  <si>
    <t>M3 - B5 - 
Kvium</t>
  </si>
  <si>
    <t>A2</t>
  </si>
  <si>
    <t>B14</t>
  </si>
  <si>
    <t>A27</t>
  </si>
  <si>
    <t>A34</t>
  </si>
  <si>
    <t>B8</t>
  </si>
  <si>
    <t>B30</t>
  </si>
  <si>
    <t>A40</t>
  </si>
  <si>
    <t>B24</t>
  </si>
  <si>
    <t>M4 - B7 - 
Heerup</t>
  </si>
  <si>
    <t>B23</t>
  </si>
  <si>
    <t>A6</t>
  </si>
  <si>
    <t>B36</t>
  </si>
  <si>
    <t>B20</t>
  </si>
  <si>
    <t>A23</t>
  </si>
  <si>
    <t>B9</t>
  </si>
  <si>
    <t>A51</t>
  </si>
  <si>
    <t>M24 - A5 - 
Kvium</t>
  </si>
  <si>
    <t>A48</t>
  </si>
  <si>
    <t>B48</t>
  </si>
  <si>
    <t>A12</t>
  </si>
  <si>
    <t>A8</t>
  </si>
  <si>
    <t>A17</t>
  </si>
  <si>
    <t>M22 - B5 - 
Kvium</t>
  </si>
  <si>
    <t>A4</t>
  </si>
  <si>
    <t>A30</t>
  </si>
  <si>
    <t>M8 - B16 - 
Rembrandt</t>
  </si>
  <si>
    <t>A22</t>
  </si>
  <si>
    <t>M13 - A7 - 
Heerup</t>
  </si>
  <si>
    <t>M19 - A16 - 
Rembrandt</t>
  </si>
  <si>
    <t>B32</t>
  </si>
  <si>
    <t>A35</t>
  </si>
  <si>
    <t>B29</t>
  </si>
  <si>
    <t>B41</t>
  </si>
  <si>
    <t>A24</t>
  </si>
  <si>
    <t>A31</t>
  </si>
  <si>
    <t>M9 - B5 - 
Kvium</t>
  </si>
  <si>
    <t>A14</t>
  </si>
  <si>
    <t>M21 - B7 - 
Heerup</t>
  </si>
  <si>
    <t>B40</t>
  </si>
  <si>
    <t>M17 - B7 - 
Heerup</t>
  </si>
  <si>
    <t>B33</t>
  </si>
  <si>
    <t>B1</t>
  </si>
  <si>
    <t>M20 - A7 - 
Heerup</t>
  </si>
  <si>
    <t>M23 - B16 - 
Rembrandt</t>
  </si>
  <si>
    <t>M2 - A7 - 
Heerup</t>
  </si>
  <si>
    <t>M5 - B16 - 
Rembrandt</t>
  </si>
  <si>
    <t>M18 - B5 - 
Kvium</t>
  </si>
  <si>
    <t>M12 - A5 - 
Kvium</t>
  </si>
  <si>
    <t>M14 - A5 - 
Kvium</t>
  </si>
  <si>
    <t>M6 - A5 - 
Kvium</t>
  </si>
  <si>
    <t>M7 - B7 - 
Heerup</t>
  </si>
  <si>
    <t>M15 - A16 - 
Rembrandt</t>
  </si>
  <si>
    <t>Other trials 
continue far 
below here</t>
  </si>
  <si>
    <t xml:space="preserve">sampling year </t>
  </si>
  <si>
    <r>
      <t xml:space="preserve">note                                            </t>
    </r>
    <r>
      <rPr>
        <sz val="12"/>
        <color rgb="FFFF0000"/>
        <rFont val="Aptos Narrow"/>
        <scheme val="minor"/>
      </rPr>
      <t>SPRAY ACCIDENT IN TAASTRUP</t>
    </r>
  </si>
  <si>
    <t>in Ringsted</t>
  </si>
  <si>
    <t>samples/sampling day:</t>
  </si>
  <si>
    <t>24 samples: 4 reps, 3 cultivars, fungicide: y/n</t>
  </si>
  <si>
    <t>deep sampling date:</t>
  </si>
  <si>
    <t>samples in deep:</t>
  </si>
  <si>
    <t>total libs planned</t>
  </si>
  <si>
    <t>samples missing</t>
  </si>
  <si>
    <t>also referred to as 'Nr on field' in old Alex files)</t>
  </si>
  <si>
    <t>samples sequenced</t>
  </si>
  <si>
    <t>lib controls (neg+pos):</t>
  </si>
  <si>
    <t>total libs seq:</t>
  </si>
  <si>
    <t>if excluding the day of deep sampling</t>
  </si>
  <si>
    <t>2 reps of 36 samples: 4 cultivars, 3 fertiliser levels, 3 densities</t>
  </si>
  <si>
    <t>day 5</t>
  </si>
  <si>
    <t>fertiliser (zero, half, normal, double)</t>
  </si>
  <si>
    <t>all plots, block 4  not collected by mistake, 36 part of timeseries but naming scheme differ and only one replicate!</t>
  </si>
  <si>
    <t xml:space="preserve">cultivar (sheriff, kvium, heerup, rembrandt, elixir, haldrup) </t>
  </si>
  <si>
    <t>density (150, 300, 450)</t>
  </si>
  <si>
    <t>harvest_date (date of harvest, no yield data for 2020 as this was a production field)</t>
  </si>
  <si>
    <t>shotgun_ includes 8 samples with leaves w. many aphids</t>
  </si>
  <si>
    <t>Xianfu Liu</t>
  </si>
  <si>
    <t>Chayan Roy</t>
  </si>
  <si>
    <t>Peter Erdmann Dougherty</t>
  </si>
  <si>
    <t>Laura Milena Forero Junco</t>
  </si>
  <si>
    <t>samples procesing (washing and freezing)</t>
  </si>
  <si>
    <t>People invovled in generating the sequence data (from sample collection to sample reads):</t>
  </si>
  <si>
    <t>Naming scheme</t>
  </si>
  <si>
    <t>Location abreviations</t>
  </si>
  <si>
    <t>R</t>
  </si>
  <si>
    <t>Ringsted</t>
  </si>
  <si>
    <t>H</t>
  </si>
  <si>
    <t>Holeby</t>
  </si>
  <si>
    <t>A</t>
  </si>
  <si>
    <t>Randers</t>
  </si>
  <si>
    <t>T</t>
  </si>
  <si>
    <t>Tåstrup</t>
  </si>
  <si>
    <t>L</t>
  </si>
  <si>
    <t>løkken</t>
  </si>
  <si>
    <t>S</t>
  </si>
  <si>
    <t>Sønderborg</t>
  </si>
  <si>
    <t>Date of sample collection</t>
  </si>
  <si>
    <t>Amplicon</t>
  </si>
  <si>
    <t xml:space="preserve">type </t>
  </si>
  <si>
    <t>w</t>
  </si>
  <si>
    <t xml:space="preserve">washed </t>
  </si>
  <si>
    <t>c</t>
  </si>
  <si>
    <t>crushed</t>
  </si>
  <si>
    <t>s</t>
  </si>
  <si>
    <t>The plotnumber and for timeseries also the letter</t>
  </si>
  <si>
    <t xml:space="preserve">Replicates  </t>
  </si>
  <si>
    <t>Written as numbers not letters</t>
  </si>
  <si>
    <t>Columns explained:</t>
  </si>
  <si>
    <t>sample_number (may differ from number in Sample_ID, refers to plot)</t>
  </si>
  <si>
    <t>sample_type (timeline or deep, 'deep' is sometimes also called 'space' in old Alex files)</t>
  </si>
  <si>
    <t>washed_date (the date the leaf/leaves was/were washed)</t>
  </si>
  <si>
    <t>DNA_ext_date (date of DNA extraction)</t>
  </si>
  <si>
    <t>days_between_DNA_x (number of days between wash and DNA extraction)</t>
  </si>
  <si>
    <t>DNA_conc_individual (measured in tube ng/µl)</t>
  </si>
  <si>
    <t xml:space="preserve">speedvac_DNA_conc_individual (some washed_30_leaves = shotgun samples were speedvac'ed to </t>
  </si>
  <si>
    <t>concentrate, in ng/µl)</t>
  </si>
  <si>
    <t xml:space="preserve">lib_prep (customized (16S &amp; ITS), std nextera with 12 or 15 cycles or modified according to </t>
  </si>
  <si>
    <t>amplicon (16S or ITS)</t>
  </si>
  <si>
    <t>plate_position (on library plate)</t>
  </si>
  <si>
    <t>lib_DNA_concentration (ng/µl)</t>
  </si>
  <si>
    <t>index_set (1,2,3,4)</t>
  </si>
  <si>
    <t>S5_index (sequence)</t>
  </si>
  <si>
    <t>N7_index  (sequence)</t>
  </si>
  <si>
    <t>seq_sample_ID (ID of sequenced library used in samplesheets)</t>
  </si>
  <si>
    <t>run_ID (5 letter and/or digit code for each sequence run)</t>
  </si>
  <si>
    <t>run_ID_2nd (if library was sequenced twice)</t>
  </si>
  <si>
    <t>note (type of control, handling errors etc. notes found in Alex's old files start with 'Alex_')</t>
  </si>
  <si>
    <t>correct_seq_sample_ID (some samples have errors in seq_sample_ID, the correct is listed in this column)</t>
  </si>
  <si>
    <t>sample_date</t>
  </si>
  <si>
    <t>sample_type</t>
  </si>
  <si>
    <t>sample_date (date of sample harvest, in the format dd/mm/yyyy)</t>
  </si>
  <si>
    <t>Timeline sampling days:</t>
  </si>
  <si>
    <t>fertiliser</t>
  </si>
  <si>
    <t>timeline</t>
  </si>
  <si>
    <t xml:space="preserve">ID_on_field </t>
  </si>
  <si>
    <t>harvest_date</t>
  </si>
  <si>
    <t>yield_grain</t>
  </si>
  <si>
    <t>yield_straw</t>
  </si>
  <si>
    <t>yield_TGW</t>
  </si>
  <si>
    <t>not_available_yet</t>
  </si>
  <si>
    <t>Rinke et al: DOI: 10.7717/peerj.2486)</t>
  </si>
  <si>
    <t>x (coordinates on field)</t>
  </si>
  <si>
    <t>y (coordinates on field)</t>
  </si>
  <si>
    <t>PCR2_date (date of PCR2 reaction)</t>
  </si>
  <si>
    <t>PCR1_date (date of PCR1 reaction)</t>
  </si>
  <si>
    <t>lib_date (date of library prep)</t>
  </si>
  <si>
    <t>1 missing + 1 too low DNA for amplicon</t>
  </si>
  <si>
    <t>1 low DNA + 1 lib failed</t>
  </si>
  <si>
    <t>Sample number</t>
  </si>
  <si>
    <t>location_date_amplicon_type_sampleNumber_replicate(only deep sampling)</t>
  </si>
  <si>
    <t>DDMMYY</t>
  </si>
  <si>
    <t>location_date_type_sampleNumber_replicate(only deep sampling)</t>
  </si>
  <si>
    <t>R-070622-s-1A</t>
  </si>
  <si>
    <t>R-070622-s-2A</t>
  </si>
  <si>
    <t>R-070622-s-3A</t>
  </si>
  <si>
    <t>R-070622-s-4A</t>
  </si>
  <si>
    <t>R-070622-s-5A</t>
  </si>
  <si>
    <t>R-070622-s-6A</t>
  </si>
  <si>
    <t>R-070622-s-7A</t>
  </si>
  <si>
    <t>R-070622-s-8A</t>
  </si>
  <si>
    <t>R-070622-s-9A</t>
  </si>
  <si>
    <t>R-070622-s-10A</t>
  </si>
  <si>
    <t>R-070622-s-11A</t>
  </si>
  <si>
    <t>R-070622-s-12A</t>
  </si>
  <si>
    <t>R-070622-s-13A</t>
  </si>
  <si>
    <t>R-070622-s-14A</t>
  </si>
  <si>
    <t>R-070622-s-15A</t>
  </si>
  <si>
    <t>R-070622-s-16A</t>
  </si>
  <si>
    <t>R-070622-s-17A</t>
  </si>
  <si>
    <t>R-070622-s-18A</t>
  </si>
  <si>
    <t>R-070622-s-19A</t>
  </si>
  <si>
    <t>R-070622-s-20A</t>
  </si>
  <si>
    <t>R-070622-s-21A</t>
  </si>
  <si>
    <t>R-070622-s-22A</t>
  </si>
  <si>
    <t>R-070622-s-23A</t>
  </si>
  <si>
    <t>R-070622-s-24A</t>
  </si>
  <si>
    <t>R-100622-s-1B</t>
  </si>
  <si>
    <t>R-100622-s-2B</t>
  </si>
  <si>
    <t>R-100622-s-3B</t>
  </si>
  <si>
    <t>R-100622-s-4B</t>
  </si>
  <si>
    <t>R-100622-s-5B</t>
  </si>
  <si>
    <t>R-100622-s-6B</t>
  </si>
  <si>
    <t>R-100622-s-7B</t>
  </si>
  <si>
    <t>R-100622-s-8B</t>
  </si>
  <si>
    <t>R-100622-s-9B</t>
  </si>
  <si>
    <t>R-100622-s-10B</t>
  </si>
  <si>
    <t>R-100622-s-11B</t>
  </si>
  <si>
    <t>R-100622-s-12B</t>
  </si>
  <si>
    <t>R-100622-s-13B</t>
  </si>
  <si>
    <t>R-100622-s-14B</t>
  </si>
  <si>
    <t>R-100622-s-15B</t>
  </si>
  <si>
    <t>R-100622-s-16B</t>
  </si>
  <si>
    <t>R-100622-s-17B</t>
  </si>
  <si>
    <t>R-100622-s-18B</t>
  </si>
  <si>
    <t>R-100622-s-19B</t>
  </si>
  <si>
    <t>R-100622-s-20B</t>
  </si>
  <si>
    <t>R-100622-s-21B</t>
  </si>
  <si>
    <t>R-100622-s-22B</t>
  </si>
  <si>
    <t>R-100622-s-23B</t>
  </si>
  <si>
    <t>R-100622-s-24B</t>
  </si>
  <si>
    <t>R-140622-s-1C</t>
  </si>
  <si>
    <t>R-140622-s-2C</t>
  </si>
  <si>
    <t>R-140622-s-3C</t>
  </si>
  <si>
    <t>R-140622-s-4C</t>
  </si>
  <si>
    <t>R-140622-s-5C</t>
  </si>
  <si>
    <t>R-140622-s-6C</t>
  </si>
  <si>
    <t>R-140622-s-7C</t>
  </si>
  <si>
    <t>R-140622-s-8C</t>
  </si>
  <si>
    <t>R-140622-s-9C</t>
  </si>
  <si>
    <t>R-140622-s-10C</t>
  </si>
  <si>
    <t>R-140622-s-11C</t>
  </si>
  <si>
    <t>R-140622-s-12C</t>
  </si>
  <si>
    <t>R-140622-s-13C</t>
  </si>
  <si>
    <t>R-140622-s-14C</t>
  </si>
  <si>
    <t>R-140622-s-15C</t>
  </si>
  <si>
    <t>R-140622-s-16C</t>
  </si>
  <si>
    <t>R-140622-s-17C</t>
  </si>
  <si>
    <t>R-140622-s-18C</t>
  </si>
  <si>
    <t>R-140622-s-19C</t>
  </si>
  <si>
    <t>R-140622-s-20C</t>
  </si>
  <si>
    <t>R-140622-s-21C</t>
  </si>
  <si>
    <t>R-140622-s-22C</t>
  </si>
  <si>
    <t>R-140622-s-23C</t>
  </si>
  <si>
    <t>R-140622-s-24C</t>
  </si>
  <si>
    <t>R-170622-s-1D</t>
  </si>
  <si>
    <t>R-170622-s-2D</t>
  </si>
  <si>
    <t>R-170622-s-3D</t>
  </si>
  <si>
    <t>R-170622-s-4D</t>
  </si>
  <si>
    <t>R-170622-s-5D</t>
  </si>
  <si>
    <t>R-170622-s-6D</t>
  </si>
  <si>
    <t>R-170622-s-7D</t>
  </si>
  <si>
    <t>R-170622-s-8D</t>
  </si>
  <si>
    <t>R-170622-s-9D</t>
  </si>
  <si>
    <t>R-170622-s-10D</t>
  </si>
  <si>
    <t>R-170622-s-11D</t>
  </si>
  <si>
    <t>R-170622-s-12D</t>
  </si>
  <si>
    <t>R-170622-s-13D</t>
  </si>
  <si>
    <t>R-170622-s-14D</t>
  </si>
  <si>
    <t>R-170622-s-15D</t>
  </si>
  <si>
    <t>R-170622-s-16D</t>
  </si>
  <si>
    <t>R-170622-s-17D</t>
  </si>
  <si>
    <t>R-170622-s-18D</t>
  </si>
  <si>
    <t>R-170622-s-19D</t>
  </si>
  <si>
    <t>R-170622-s-20D</t>
  </si>
  <si>
    <t>R-170622-s-21D</t>
  </si>
  <si>
    <t>R-170622-s-22D</t>
  </si>
  <si>
    <t>R-170622-s-23D</t>
  </si>
  <si>
    <t>R-170622-s-24D</t>
  </si>
  <si>
    <t>R-210622-s-1E</t>
  </si>
  <si>
    <t>R-210622-s-2E</t>
  </si>
  <si>
    <t>R-210622-s-3E</t>
  </si>
  <si>
    <t>R-210622-s-4E</t>
  </si>
  <si>
    <t>R-210622-s-5E</t>
  </si>
  <si>
    <t>R-210622-s-6E</t>
  </si>
  <si>
    <t>R-210622-s-7E</t>
  </si>
  <si>
    <t>R-210622-s-8E</t>
  </si>
  <si>
    <t>R-210622-s-9E</t>
  </si>
  <si>
    <t>R-210622-s-10E</t>
  </si>
  <si>
    <t>R-210622-s-11E</t>
  </si>
  <si>
    <t>R-210622-s-12E</t>
  </si>
  <si>
    <t>R-210622-s-13E</t>
  </si>
  <si>
    <t>R-210622-s-14E</t>
  </si>
  <si>
    <t>R-210622-s-15E</t>
  </si>
  <si>
    <t>R-210622-s-16E</t>
  </si>
  <si>
    <t>R-210622-s-17E</t>
  </si>
  <si>
    <t>R-210622-s-18E</t>
  </si>
  <si>
    <t>R-210622-s-20E</t>
  </si>
  <si>
    <t>R-210622-s-19E</t>
  </si>
  <si>
    <t>R-210622-s-21E</t>
  </si>
  <si>
    <t>R-210622-s-22E</t>
  </si>
  <si>
    <t>R-210622-s-23E</t>
  </si>
  <si>
    <t>R-210622-s-24E</t>
  </si>
  <si>
    <t>R-280622-s-1F</t>
  </si>
  <si>
    <t>R-280622-s-2F</t>
  </si>
  <si>
    <t>R-280622-s-3F</t>
  </si>
  <si>
    <t>R-280622-s-4F</t>
  </si>
  <si>
    <t>R-280622-s-5F</t>
  </si>
  <si>
    <t>R-280622-s-6F</t>
  </si>
  <si>
    <t>R-280622-s-7F</t>
  </si>
  <si>
    <t>R-280622-s-8F</t>
  </si>
  <si>
    <t>R-280622-s-9F</t>
  </si>
  <si>
    <t>R-280622-s-10F</t>
  </si>
  <si>
    <t>R-280622-s-11F</t>
  </si>
  <si>
    <t>R-280622-s-12F</t>
  </si>
  <si>
    <t>R-280622-s-13F</t>
  </si>
  <si>
    <t>R-280622-s-14F</t>
  </si>
  <si>
    <t>R-280622-s-15F</t>
  </si>
  <si>
    <t>R-280622-s-16F</t>
  </si>
  <si>
    <t>R-280622-s-17F</t>
  </si>
  <si>
    <t>R-280622-s-18F</t>
  </si>
  <si>
    <t>R-280622-s-19F</t>
  </si>
  <si>
    <t>R-280622-s-20F</t>
  </si>
  <si>
    <t>R-280622-s-21F</t>
  </si>
  <si>
    <t>R-280622-s-22F</t>
  </si>
  <si>
    <t>R-280622-s-23F</t>
  </si>
  <si>
    <t>R-280622-s-24F</t>
  </si>
  <si>
    <t>R-040722-s-1G</t>
  </si>
  <si>
    <t>R-040722-s-2G</t>
  </si>
  <si>
    <t>R-040722-s-3G</t>
  </si>
  <si>
    <t>R-040722-s-4G</t>
  </si>
  <si>
    <t>R-040722-s-5G</t>
  </si>
  <si>
    <t>R-040722-s-6G</t>
  </si>
  <si>
    <t>R-040722-s-7G</t>
  </si>
  <si>
    <t>R-040722-s-8G</t>
  </si>
  <si>
    <t>R-040722-s-9G</t>
  </si>
  <si>
    <t>R-040722-s-10G</t>
  </si>
  <si>
    <t>R-040722-s-11G</t>
  </si>
  <si>
    <t>R-040722-s-12G</t>
  </si>
  <si>
    <t>R-040722-s-13G</t>
  </si>
  <si>
    <t>R-040722-s-14G</t>
  </si>
  <si>
    <t>R-040722-s-15G</t>
  </si>
  <si>
    <t>R-040722-s-16G</t>
  </si>
  <si>
    <t>R-040722-s-17G</t>
  </si>
  <si>
    <t>R-040722-s-18G</t>
  </si>
  <si>
    <t>R-040722-s-19G</t>
  </si>
  <si>
    <t>R-040722-s-20G</t>
  </si>
  <si>
    <t>R-040722-s-21G</t>
  </si>
  <si>
    <t>R-040722-s-22G</t>
  </si>
  <si>
    <t>R-040722-s-23G</t>
  </si>
  <si>
    <t>R-040722-s-24G</t>
  </si>
  <si>
    <t>R-07072-s-1H</t>
  </si>
  <si>
    <t>R-07072-s-2H</t>
  </si>
  <si>
    <t>R-07072-s-3H</t>
  </si>
  <si>
    <t>R-07072-s-4H</t>
  </si>
  <si>
    <t>R-07072-s-5H</t>
  </si>
  <si>
    <t>R-07072-s-6H</t>
  </si>
  <si>
    <t>R-07072-s-7H</t>
  </si>
  <si>
    <t>R-07072-s-8H</t>
  </si>
  <si>
    <t>R-07072-s-9H</t>
  </si>
  <si>
    <t>R-07072-s-10H</t>
  </si>
  <si>
    <t>R-07072-s-11H</t>
  </si>
  <si>
    <t>R-07072-s-12H</t>
  </si>
  <si>
    <t>R-07072-s-13H</t>
  </si>
  <si>
    <t>R-07072-s-14H</t>
  </si>
  <si>
    <t>R-07072-s-15H</t>
  </si>
  <si>
    <t>R-07072-s-16H</t>
  </si>
  <si>
    <t>R-07072-s-17H</t>
  </si>
  <si>
    <t>R-07072-s-18H</t>
  </si>
  <si>
    <t>R-07072-s-19H</t>
  </si>
  <si>
    <t>R-07072-s-20H</t>
  </si>
  <si>
    <t>R-07072-s-21H</t>
  </si>
  <si>
    <t>R-07072-s-22H</t>
  </si>
  <si>
    <t>R-07072-s-23H</t>
  </si>
  <si>
    <t>R-07072-s-24H</t>
  </si>
  <si>
    <t>R-140722-s-1I</t>
  </si>
  <si>
    <t>R-140722-s-2I</t>
  </si>
  <si>
    <t>R-140722-s-3I</t>
  </si>
  <si>
    <t>R-140722-s-4I</t>
  </si>
  <si>
    <t>R-140722-s-5I</t>
  </si>
  <si>
    <t>R-140722-s-6I</t>
  </si>
  <si>
    <t>R-140722-s-7I</t>
  </si>
  <si>
    <t>R-140722-s-8I</t>
  </si>
  <si>
    <t>R-140722-s-10I</t>
  </si>
  <si>
    <t>R-140722-s-11I</t>
  </si>
  <si>
    <t>R-140722-s-12I</t>
  </si>
  <si>
    <t>R-140722-s-13I</t>
  </si>
  <si>
    <t>R-140722-s-14I</t>
  </si>
  <si>
    <t>R-140722-s-15I</t>
  </si>
  <si>
    <t>R-140722-s-16I</t>
  </si>
  <si>
    <t>R-140722-s-17I</t>
  </si>
  <si>
    <t>R-140722-s-18I</t>
  </si>
  <si>
    <t>R-140722-s-19I</t>
  </si>
  <si>
    <t>R-140722-s-20I</t>
  </si>
  <si>
    <t>R-140722-s-21I</t>
  </si>
  <si>
    <t>R-140722-s-22I</t>
  </si>
  <si>
    <t>R-140722-s-23I</t>
  </si>
  <si>
    <t>R-140722-s-24I</t>
  </si>
  <si>
    <t>R-hug-lib-neg-1</t>
  </si>
  <si>
    <t>R-hug-lib-neg-2</t>
  </si>
  <si>
    <t>R-nex-lib-neg-1</t>
  </si>
  <si>
    <t>R-nex-lib-neg-2</t>
  </si>
  <si>
    <t>R-nex-lib-neg-3</t>
  </si>
  <si>
    <t>R-nex-lib-neg-4</t>
  </si>
  <si>
    <t>R-nex-lib-neg-5</t>
  </si>
  <si>
    <t>R-nex-lib-neg-6</t>
  </si>
  <si>
    <t>R-hug-kit-des-neg-1</t>
  </si>
  <si>
    <t>R-hug-kit-pbs-neg-2</t>
  </si>
  <si>
    <t>R-hug-kit-pbs-neg-3</t>
  </si>
  <si>
    <t>bio_sample_ID</t>
  </si>
  <si>
    <t>R-070722-s-1H</t>
  </si>
  <si>
    <t>R-070722-s-2H</t>
  </si>
  <si>
    <t>R-070722-s-3H</t>
  </si>
  <si>
    <t>R-070722-s-4H</t>
  </si>
  <si>
    <t>R-070722-s-5H</t>
  </si>
  <si>
    <t>R-070722-s-6H</t>
  </si>
  <si>
    <t>R-070722-s-7H</t>
  </si>
  <si>
    <t>R-070722-s-8H</t>
  </si>
  <si>
    <t>R-070722-s-9H</t>
  </si>
  <si>
    <t>R-070722-s-10H</t>
  </si>
  <si>
    <t>R-070722-s-11H</t>
  </si>
  <si>
    <t>R-070722-s-12H</t>
  </si>
  <si>
    <t>R-070722-s-13H</t>
  </si>
  <si>
    <t>R-070722-s-14H</t>
  </si>
  <si>
    <t>R-070722-s-15H</t>
  </si>
  <si>
    <t>R-070722-s-16H</t>
  </si>
  <si>
    <t>R-070722-s-17H</t>
  </si>
  <si>
    <t>R-070722-s-18H</t>
  </si>
  <si>
    <t>R-070722-s-19H</t>
  </si>
  <si>
    <t>R-070722-s-20H</t>
  </si>
  <si>
    <t>R-070722-s-21H</t>
  </si>
  <si>
    <t>R-070722-s-22H</t>
  </si>
  <si>
    <t>R-070722-s-23H</t>
  </si>
  <si>
    <t>R-070722-s-24H</t>
  </si>
  <si>
    <t>R-140722-s-9I</t>
  </si>
  <si>
    <t>Ultrapure-water</t>
  </si>
  <si>
    <t>ZymoBIOMICS-Microbial-Community-DNA-Standard-D6306</t>
  </si>
  <si>
    <t>R-040722-16S-s-1G</t>
  </si>
  <si>
    <t>R-040722-16S-s-2G</t>
  </si>
  <si>
    <t>R-040722-16S-s-3G</t>
  </si>
  <si>
    <t>R-040722-16S-s-4G</t>
  </si>
  <si>
    <t>R-040722-16S-s-5G</t>
  </si>
  <si>
    <t>R-040722-16S-s-6G</t>
  </si>
  <si>
    <t>R-040722-16S-s-7G</t>
  </si>
  <si>
    <t>R-040722-16S-s-8G</t>
  </si>
  <si>
    <t>R-140722-s-21G</t>
  </si>
  <si>
    <t>R-07072-16S-s-1H</t>
  </si>
  <si>
    <t>R-07072-16S-s-2H</t>
  </si>
  <si>
    <t>R-07072-16S-s-3H</t>
  </si>
  <si>
    <t>R-07072-16S-s-4H</t>
  </si>
  <si>
    <t>R-07072-16S-s-5H</t>
  </si>
  <si>
    <t>R-07072-16S-s-6H</t>
  </si>
  <si>
    <t>R-07072-16S-s-7H</t>
  </si>
  <si>
    <t>R-07072-16S-s-8H</t>
  </si>
  <si>
    <t>R-140722-16S-s-1I</t>
  </si>
  <si>
    <t>R-140722-16S-s-2I</t>
  </si>
  <si>
    <t>R-140722-16S-s-3I</t>
  </si>
  <si>
    <t>R-140722-16S-s-4I</t>
  </si>
  <si>
    <t>R-140722-16S-s-5I</t>
  </si>
  <si>
    <t>R-140722-16S-s-6I</t>
  </si>
  <si>
    <t>R-140722-16S-s-7I</t>
  </si>
  <si>
    <t>R-140722-16S-s-8I</t>
  </si>
  <si>
    <t>R-040722-ITS-s-1G</t>
  </si>
  <si>
    <t>R-040722-ITS-s-2G</t>
  </si>
  <si>
    <t>R-040722-ITS-s-3G</t>
  </si>
  <si>
    <t>R-040722-ITS-s-4G</t>
  </si>
  <si>
    <t>R-040722-ITS-s-5G</t>
  </si>
  <si>
    <t>R-040722-ITS-s-6G</t>
  </si>
  <si>
    <t>R-040722-ITS-s-7G</t>
  </si>
  <si>
    <t>R-040722-ITS-s-8G</t>
  </si>
  <si>
    <t>R-07072-ITS-s-1H</t>
  </si>
  <si>
    <t>R-07072-ITS-s-2H</t>
  </si>
  <si>
    <t>R-07072-ITS-s-3H</t>
  </si>
  <si>
    <t>R-07072-ITS-s-4H</t>
  </si>
  <si>
    <t>R-07072-ITS-s-5H</t>
  </si>
  <si>
    <t>R-07072-ITS-s-6H</t>
  </si>
  <si>
    <t>R-07072-ITS-s-7H</t>
  </si>
  <si>
    <t>R-07072-ITS-s-8H</t>
  </si>
  <si>
    <t>R-140722-ITS-s-1I</t>
  </si>
  <si>
    <t>R-140722-ITS-s-2I</t>
  </si>
  <si>
    <t>R-140722-ITS-s-3I</t>
  </si>
  <si>
    <t>R-140722-ITS-s-4I</t>
  </si>
  <si>
    <t>R-140722-ITS-s-5I</t>
  </si>
  <si>
    <t>R-140722-ITS-s-6I</t>
  </si>
  <si>
    <t>R-140722-ITS-s-7I</t>
  </si>
  <si>
    <t>R-140722-ITS-s-8I</t>
  </si>
  <si>
    <t>R-040722-16S-s-9G</t>
  </si>
  <si>
    <t>R-040722-16S-s-10G</t>
  </si>
  <si>
    <t>R-040722-16S-s-11G</t>
  </si>
  <si>
    <t>R-040722-16S-s-12G</t>
  </si>
  <si>
    <t>R-040722-16S-s-13G</t>
  </si>
  <si>
    <t>R-040722-16S-s-14G</t>
  </si>
  <si>
    <t>R-040722-16S-s-15G</t>
  </si>
  <si>
    <t>R-040722-16S-s-16G</t>
  </si>
  <si>
    <t>R-040722-16S-s-17G</t>
  </si>
  <si>
    <t>R-040722-16S-s-18G</t>
  </si>
  <si>
    <t>R-040722-16S-s-19G</t>
  </si>
  <si>
    <t>R-040722-16S-s-20G</t>
  </si>
  <si>
    <t>R-040722-16S-s-21G</t>
  </si>
  <si>
    <t>R-040722-16S-s-22G</t>
  </si>
  <si>
    <t>R-040722-16S-s-23G</t>
  </si>
  <si>
    <t>R-040722-16S-s-24G</t>
  </si>
  <si>
    <t>R-140722-16S-s-10I</t>
  </si>
  <si>
    <t>R-140722-16S-s-11I</t>
  </si>
  <si>
    <t>R-140722-16S-s-12I</t>
  </si>
  <si>
    <t>R-140722-16S-s-13I</t>
  </si>
  <si>
    <t>R-140722-16S-s-14I</t>
  </si>
  <si>
    <t>R-140722-16S-s-15I</t>
  </si>
  <si>
    <t>R-140722-16S-s-16I</t>
  </si>
  <si>
    <t>R-140722-16S-s-17I</t>
  </si>
  <si>
    <t>R-140722-16S-s-18I</t>
  </si>
  <si>
    <t>R-140722-16S-s-19I</t>
  </si>
  <si>
    <t>R-140722-16S-s-20I</t>
  </si>
  <si>
    <t>R-140722-16S-s-21I</t>
  </si>
  <si>
    <t>R-140722-16S-s-23I</t>
  </si>
  <si>
    <t>R-140722-16S-s-24I</t>
  </si>
  <si>
    <t>R-040722-ITS-s-9G</t>
  </si>
  <si>
    <t>R-040722-ITS-s-10G</t>
  </si>
  <si>
    <t>R-040722-ITS-s-11G</t>
  </si>
  <si>
    <t>R-040722-ITS-s-12G</t>
  </si>
  <si>
    <t>R-040722-ITS-s-13G</t>
  </si>
  <si>
    <t>R-040722-ITS-s-14G</t>
  </si>
  <si>
    <t>R-040722-ITS-s-15G</t>
  </si>
  <si>
    <t>R-040722-ITS-s-16G</t>
  </si>
  <si>
    <t>R-040722-ITS-s-17G</t>
  </si>
  <si>
    <t>R-040722-ITS-s-18G</t>
  </si>
  <si>
    <t>R-040722-ITS-s-19G</t>
  </si>
  <si>
    <t>R-040722-ITS-s-20G</t>
  </si>
  <si>
    <t>R-040722-ITS-s-21G</t>
  </si>
  <si>
    <t>R-040722-ITS-s-22G</t>
  </si>
  <si>
    <t>R-040722-ITS-s-23G</t>
  </si>
  <si>
    <t>R-040722-ITS-s-24G</t>
  </si>
  <si>
    <t>R-140722-ITS-s-10I</t>
  </si>
  <si>
    <t>R-140722-ITS-s-11I</t>
  </si>
  <si>
    <t>R-140722-ITS-s-12I</t>
  </si>
  <si>
    <t>R-140722-ITS-s-13I</t>
  </si>
  <si>
    <t>R-140722-ITS-s-14I</t>
  </si>
  <si>
    <t>R-140722-ITS-s-15I</t>
  </si>
  <si>
    <t>R-140722-ITS-s-16I</t>
  </si>
  <si>
    <t>R-140722-ITS-s-17I</t>
  </si>
  <si>
    <t>R-140722-ITS-s-18I</t>
  </si>
  <si>
    <t>R-140722-ITS-s-19I</t>
  </si>
  <si>
    <t>R-140722-ITS-s-20I</t>
  </si>
  <si>
    <t>R-140722-ITS-s-23I</t>
  </si>
  <si>
    <t>R-140722-ITS-s-24I</t>
  </si>
  <si>
    <t>T-300523-5A</t>
  </si>
  <si>
    <t>T-300523-9A</t>
  </si>
  <si>
    <t>T-300523-10A</t>
  </si>
  <si>
    <t>T-300523-17A</t>
  </si>
  <si>
    <t>T-300523-18A</t>
  </si>
  <si>
    <t>T-300523-22A</t>
  </si>
  <si>
    <t>T-300523-24A</t>
  </si>
  <si>
    <t>T-300523-25A</t>
  </si>
  <si>
    <t>T-300523-26A</t>
  </si>
  <si>
    <t>T-300523-28A</t>
  </si>
  <si>
    <t>T-300523-35A</t>
  </si>
  <si>
    <t>T-300523-37A</t>
  </si>
  <si>
    <t>T-300523-38A</t>
  </si>
  <si>
    <t>T-300523-41A</t>
  </si>
  <si>
    <t>T-300523-44A</t>
  </si>
  <si>
    <t>T-300523-51A</t>
  </si>
  <si>
    <t>T-300523-53A</t>
  </si>
  <si>
    <t>T-300523-55A</t>
  </si>
  <si>
    <t>T-300523-59A</t>
  </si>
  <si>
    <t>T-300523-61A</t>
  </si>
  <si>
    <t>T-300523-66A</t>
  </si>
  <si>
    <t>T-300523-68A</t>
  </si>
  <si>
    <t>T-300523-72A</t>
  </si>
  <si>
    <t>T-300523-75A</t>
  </si>
  <si>
    <t>T-300523-80A</t>
  </si>
  <si>
    <t>T-300523-81A</t>
  </si>
  <si>
    <t>T-300523-82A</t>
  </si>
  <si>
    <t>T-300523-87A</t>
  </si>
  <si>
    <t>T-300523-88A</t>
  </si>
  <si>
    <t>T-300523-89A</t>
  </si>
  <si>
    <t>T-300523-91A</t>
  </si>
  <si>
    <t>T-300523-98A</t>
  </si>
  <si>
    <t>T-300523-100A</t>
  </si>
  <si>
    <t>T-300523-104A</t>
  </si>
  <si>
    <t>T-300523-107A</t>
  </si>
  <si>
    <t>T-060623-3B</t>
  </si>
  <si>
    <t>T-060623-5B</t>
  </si>
  <si>
    <t>T-060623-9B</t>
  </si>
  <si>
    <t>T-060623-10B</t>
  </si>
  <si>
    <t>T-060623-17B</t>
  </si>
  <si>
    <t>T-060623-18B</t>
  </si>
  <si>
    <t>T-060623-22B</t>
  </si>
  <si>
    <t>T-060623-24B</t>
  </si>
  <si>
    <t>T-060623-25B</t>
  </si>
  <si>
    <t>T-060623-26B</t>
  </si>
  <si>
    <t>T-060623-28B</t>
  </si>
  <si>
    <t>T-060623-35B</t>
  </si>
  <si>
    <t>T-060623-37B</t>
  </si>
  <si>
    <t>T-060623-38B</t>
  </si>
  <si>
    <t>T-060623-41B</t>
  </si>
  <si>
    <t>T-060623-44B</t>
  </si>
  <si>
    <t>T-060623-51B</t>
  </si>
  <si>
    <t>T-060623-53B</t>
  </si>
  <si>
    <t>T-060623-55B</t>
  </si>
  <si>
    <t>T-060623-59B</t>
  </si>
  <si>
    <t>T-060623-61B</t>
  </si>
  <si>
    <t>T-060623-66B</t>
  </si>
  <si>
    <t>T-060623-68B</t>
  </si>
  <si>
    <t>T-060623-72B</t>
  </si>
  <si>
    <t>T-060623-75B</t>
  </si>
  <si>
    <t>T-060623-80B</t>
  </si>
  <si>
    <t>T-060623-81B</t>
  </si>
  <si>
    <t>T-060623-82B</t>
  </si>
  <si>
    <t>T-060623-87B</t>
  </si>
  <si>
    <t>T-060623-88B</t>
  </si>
  <si>
    <t>T-060623-89B</t>
  </si>
  <si>
    <t>T-060623-91B</t>
  </si>
  <si>
    <t>T-060623-98B</t>
  </si>
  <si>
    <t>T-060623-100B</t>
  </si>
  <si>
    <t>T-060623-104B</t>
  </si>
  <si>
    <t>T-060623-107B</t>
  </si>
  <si>
    <t>T-130623-3C</t>
  </si>
  <si>
    <t>T-130623-5C</t>
  </si>
  <si>
    <t>T-130623-9C</t>
  </si>
  <si>
    <t>T-130623-10C</t>
  </si>
  <si>
    <t>T-130623-17C</t>
  </si>
  <si>
    <t>T-130623-18C</t>
  </si>
  <si>
    <t>T-130623-22C</t>
  </si>
  <si>
    <t>T-130623-24C</t>
  </si>
  <si>
    <t>T-130623-25C</t>
  </si>
  <si>
    <t>T-130623-26C</t>
  </si>
  <si>
    <t>T-130623-28C</t>
  </si>
  <si>
    <t>T-130623-35C</t>
  </si>
  <si>
    <t>T-130623-37C</t>
  </si>
  <si>
    <t>T-130623-38C</t>
  </si>
  <si>
    <t>T-130623-41C</t>
  </si>
  <si>
    <t>T-130623-44C</t>
  </si>
  <si>
    <t>T-130623-51C</t>
  </si>
  <si>
    <t>T-130623-53C</t>
  </si>
  <si>
    <t>T-130623-55C</t>
  </si>
  <si>
    <t>T-130623-59C</t>
  </si>
  <si>
    <t>T-130623-61C</t>
  </si>
  <si>
    <t>T-130623-66C</t>
  </si>
  <si>
    <t>T-130623-68C</t>
  </si>
  <si>
    <t>T-130623-72C</t>
  </si>
  <si>
    <t>T-130623-75C</t>
  </si>
  <si>
    <t>T-130623-80C</t>
  </si>
  <si>
    <t>T-130623-81C</t>
  </si>
  <si>
    <t>T-130623-82C</t>
  </si>
  <si>
    <t>T-130623-87C</t>
  </si>
  <si>
    <t>T-130623-88C</t>
  </si>
  <si>
    <t>T-130623-89C</t>
  </si>
  <si>
    <t>T-130623-91C</t>
  </si>
  <si>
    <t>T-130623-98C</t>
  </si>
  <si>
    <t>T-130623-100C</t>
  </si>
  <si>
    <t>T-130623-104C</t>
  </si>
  <si>
    <t>T-130623-107C</t>
  </si>
  <si>
    <t>T-200623-3D</t>
  </si>
  <si>
    <t>T-200623-5D</t>
  </si>
  <si>
    <t>T-200623-9D</t>
  </si>
  <si>
    <t>T-200623-10D</t>
  </si>
  <si>
    <t>T-200623-17D</t>
  </si>
  <si>
    <t>T-200623-18D</t>
  </si>
  <si>
    <t>T-200623-22D</t>
  </si>
  <si>
    <t>T-200623-24D</t>
  </si>
  <si>
    <t>T-200623-25D</t>
  </si>
  <si>
    <t>T-200623-26D</t>
  </si>
  <si>
    <t>T-200623-28D</t>
  </si>
  <si>
    <t>T-200623-35D</t>
  </si>
  <si>
    <t>T-200623-37D</t>
  </si>
  <si>
    <t>T-200623-38D</t>
  </si>
  <si>
    <t>T-200623-41D</t>
  </si>
  <si>
    <t>T-200623-44D</t>
  </si>
  <si>
    <t>T-200623-51D</t>
  </si>
  <si>
    <t>T-200623-53D</t>
  </si>
  <si>
    <t>T-200623-55D</t>
  </si>
  <si>
    <t>T-200623-59D</t>
  </si>
  <si>
    <t>T-200623-61D</t>
  </si>
  <si>
    <t>T-200623-66D</t>
  </si>
  <si>
    <t>T-200623-68D</t>
  </si>
  <si>
    <t>T-200623-72D</t>
  </si>
  <si>
    <t>T-200623-75D</t>
  </si>
  <si>
    <t>T-200623-80D</t>
  </si>
  <si>
    <t>T-200623-81D</t>
  </si>
  <si>
    <t>T-200623-82D</t>
  </si>
  <si>
    <t>T-200623-87D</t>
  </si>
  <si>
    <t>T-200623-88D</t>
  </si>
  <si>
    <t>T-200623-89D</t>
  </si>
  <si>
    <t>T-200623-91D</t>
  </si>
  <si>
    <t>T-200623-98D</t>
  </si>
  <si>
    <t>T-200623-100D</t>
  </si>
  <si>
    <t>T-200623-104D</t>
  </si>
  <si>
    <t>T-200623-107D</t>
  </si>
  <si>
    <t>T-270623-3E</t>
  </si>
  <si>
    <t>T-270623-5E</t>
  </si>
  <si>
    <t>T-270623-9E</t>
  </si>
  <si>
    <t>T-270623-10E</t>
  </si>
  <si>
    <t>T-270623-17E</t>
  </si>
  <si>
    <t>T-270623-18E</t>
  </si>
  <si>
    <t>T-270623-22E</t>
  </si>
  <si>
    <t>T-270623-24E</t>
  </si>
  <si>
    <t>T-270623-25E</t>
  </si>
  <si>
    <t>T-270623-26E</t>
  </si>
  <si>
    <t>T-270623-28E</t>
  </si>
  <si>
    <t>T-270623-35E</t>
  </si>
  <si>
    <t>T-270623-37E</t>
  </si>
  <si>
    <t>T-270623-38E</t>
  </si>
  <si>
    <t>T-270623-41E</t>
  </si>
  <si>
    <t>T-270623-44E</t>
  </si>
  <si>
    <t>T-270623-51E</t>
  </si>
  <si>
    <t>T-270623-53E</t>
  </si>
  <si>
    <t>T-270623-55E</t>
  </si>
  <si>
    <t>T-270623-59E</t>
  </si>
  <si>
    <t>T-270623-61E</t>
  </si>
  <si>
    <t>T-270623-66E</t>
  </si>
  <si>
    <t>T-270623-68E</t>
  </si>
  <si>
    <t>T-270623-72E</t>
  </si>
  <si>
    <t>T-270623-75E</t>
  </si>
  <si>
    <t>T-270623-80E</t>
  </si>
  <si>
    <t>T-270623-81E</t>
  </si>
  <si>
    <t>T-270623-82E</t>
  </si>
  <si>
    <t>T-270623-87E</t>
  </si>
  <si>
    <t>T-270623-88E</t>
  </si>
  <si>
    <t>T-270623-89E</t>
  </si>
  <si>
    <t>T-270623-91E</t>
  </si>
  <si>
    <t>T-270623-98E</t>
  </si>
  <si>
    <t>T-270623-100E</t>
  </si>
  <si>
    <t>T-270623-104E</t>
  </si>
  <si>
    <t>T-270623-107E</t>
  </si>
  <si>
    <t>T-040723-3F</t>
  </si>
  <si>
    <t>T-040723-5F</t>
  </si>
  <si>
    <t>T-040723-9F</t>
  </si>
  <si>
    <t>T-040723-10F</t>
  </si>
  <si>
    <t>T-040723-17F</t>
  </si>
  <si>
    <t>T-040723-18F</t>
  </si>
  <si>
    <t>T-040723-22F</t>
  </si>
  <si>
    <t>T-040723-24F</t>
  </si>
  <si>
    <t>T-040723-25F</t>
  </si>
  <si>
    <t>T-040723-26F</t>
  </si>
  <si>
    <t>T-040723-28F</t>
  </si>
  <si>
    <t>T-040723-35F</t>
  </si>
  <si>
    <t>T-040723-37F</t>
  </si>
  <si>
    <t>T-040723-38F</t>
  </si>
  <si>
    <t>T-040723-41F</t>
  </si>
  <si>
    <t>T-040723-44F</t>
  </si>
  <si>
    <t>T-040723-51F</t>
  </si>
  <si>
    <t>T-040723-53F</t>
  </si>
  <si>
    <t>T-040723-55F</t>
  </si>
  <si>
    <t>T-040723-59F</t>
  </si>
  <si>
    <t>T-040723-61F</t>
  </si>
  <si>
    <t>T-040723-66F</t>
  </si>
  <si>
    <t>T-040723-68F</t>
  </si>
  <si>
    <t>T-040723-72F</t>
  </si>
  <si>
    <t>T-040723-75F</t>
  </si>
  <si>
    <t>T-040723-80F</t>
  </si>
  <si>
    <t>T-040723-81F</t>
  </si>
  <si>
    <t>T-040723-82F</t>
  </si>
  <si>
    <t>T-040723-87F</t>
  </si>
  <si>
    <t>T-040723-88F</t>
  </si>
  <si>
    <t>T-040723-89F</t>
  </si>
  <si>
    <t>T-040723-91F</t>
  </si>
  <si>
    <t>T-040723-98F</t>
  </si>
  <si>
    <t>T-040723-100F</t>
  </si>
  <si>
    <t>T-040723-104F</t>
  </si>
  <si>
    <t>T-040723-107F</t>
  </si>
  <si>
    <t>T-110723-3G</t>
  </si>
  <si>
    <t>T-110723-5G</t>
  </si>
  <si>
    <t>T-110723-9G</t>
  </si>
  <si>
    <t>T-110723-10G</t>
  </si>
  <si>
    <t>T-110723-17G</t>
  </si>
  <si>
    <t>T-110723-18G</t>
  </si>
  <si>
    <t>T-110723-22G</t>
  </si>
  <si>
    <t>T-110723-24G</t>
  </si>
  <si>
    <t>T-110723-25G</t>
  </si>
  <si>
    <t>T-110723-26G</t>
  </si>
  <si>
    <t>T-110723-28G</t>
  </si>
  <si>
    <t>T-110723-35G</t>
  </si>
  <si>
    <t>T-110723-37G</t>
  </si>
  <si>
    <t>T-110723-38G</t>
  </si>
  <si>
    <t>T-110723-41G</t>
  </si>
  <si>
    <t>T-110723-44G</t>
  </si>
  <si>
    <t>T-110723-51G</t>
  </si>
  <si>
    <t>T-110723-53G</t>
  </si>
  <si>
    <t>T-110723-55G</t>
  </si>
  <si>
    <t>T-110723-59G</t>
  </si>
  <si>
    <t>T-110723-61G</t>
  </si>
  <si>
    <t>T-110723-66G</t>
  </si>
  <si>
    <t>T-110723-68G</t>
  </si>
  <si>
    <t>T-110723-72G</t>
  </si>
  <si>
    <t>T-110723-75G</t>
  </si>
  <si>
    <t>T-110723-80G</t>
  </si>
  <si>
    <t>T-110723-81G</t>
  </si>
  <si>
    <t>T-110723-82G</t>
  </si>
  <si>
    <t>T-110723-87G</t>
  </si>
  <si>
    <t>T-110723-88G</t>
  </si>
  <si>
    <t>T-110723-89G</t>
  </si>
  <si>
    <t>T-110723-91G</t>
  </si>
  <si>
    <t>T-110723-98G</t>
  </si>
  <si>
    <t>T-110723-100G</t>
  </si>
  <si>
    <t>T-110723-104G</t>
  </si>
  <si>
    <t>T-110723-107G</t>
  </si>
  <si>
    <t>T-180723-3H</t>
  </si>
  <si>
    <t>T-180723-5H</t>
  </si>
  <si>
    <t>T-180723-9H</t>
  </si>
  <si>
    <t>T-180723-10H</t>
  </si>
  <si>
    <t>T-180723-17H</t>
  </si>
  <si>
    <t>T-180723-18H</t>
  </si>
  <si>
    <t>T-180723-22H</t>
  </si>
  <si>
    <t>T-180723-24H</t>
  </si>
  <si>
    <t>T-180723-25H</t>
  </si>
  <si>
    <t>T-180723-26H</t>
  </si>
  <si>
    <t>T-180723-28H</t>
  </si>
  <si>
    <t>T-180723-35H</t>
  </si>
  <si>
    <t>T-180723-37H</t>
  </si>
  <si>
    <t>T-180723-38H</t>
  </si>
  <si>
    <t>T-180723-41H</t>
  </si>
  <si>
    <t>T-180723-44H</t>
  </si>
  <si>
    <t>T-180723-51H</t>
  </si>
  <si>
    <t>T-180723-53H</t>
  </si>
  <si>
    <t>T-180723-55H</t>
  </si>
  <si>
    <t>T-180723-59H</t>
  </si>
  <si>
    <t>T-180723-61H</t>
  </si>
  <si>
    <t>T-180723-66H</t>
  </si>
  <si>
    <t>T-180723-68H</t>
  </si>
  <si>
    <t>T-180723-72H</t>
  </si>
  <si>
    <t>T-180723-75H</t>
  </si>
  <si>
    <t>T-180723-80H</t>
  </si>
  <si>
    <t>T-180723-81H</t>
  </si>
  <si>
    <t>T-180723-82H</t>
  </si>
  <si>
    <t>T-180723-87H</t>
  </si>
  <si>
    <t>T-180723-88H</t>
  </si>
  <si>
    <t>T-180723-89H</t>
  </si>
  <si>
    <t>T-180723-91H</t>
  </si>
  <si>
    <t>T-180723-98H</t>
  </si>
  <si>
    <t>T-180723-100H</t>
  </si>
  <si>
    <t>T-180723-104H</t>
  </si>
  <si>
    <t>T-180723-107H</t>
  </si>
  <si>
    <t>T-210623-aphid-3-61D</t>
  </si>
  <si>
    <t>T-210623-aphid-5-68D</t>
  </si>
  <si>
    <t>T-210623-aphid-66D</t>
  </si>
  <si>
    <t>T-210623-aphid-72D</t>
  </si>
  <si>
    <t>T-210623-aphid-98D</t>
  </si>
  <si>
    <t>T-210623-aphid-100D</t>
  </si>
  <si>
    <t>T-210623-aphid-104D</t>
  </si>
  <si>
    <t>T-210623-aphid-107D</t>
  </si>
  <si>
    <t>T-300523-s-3A</t>
  </si>
  <si>
    <t>T-300523-s-5A</t>
  </si>
  <si>
    <t>T-300523-s-9A</t>
  </si>
  <si>
    <t>T-300523-s-10A</t>
  </si>
  <si>
    <t>T-300523-s-17A</t>
  </si>
  <si>
    <t>T-300523-s-18A</t>
  </si>
  <si>
    <t>T-300523-s-22A</t>
  </si>
  <si>
    <t>T-300523-s-24A</t>
  </si>
  <si>
    <t>T-300523-s-25A</t>
  </si>
  <si>
    <t>T-300523-s-26A</t>
  </si>
  <si>
    <t>T-300523-s-28A</t>
  </si>
  <si>
    <t>T-300523-s-35A</t>
  </si>
  <si>
    <t>T-300523-s-37A</t>
  </si>
  <si>
    <t>T-300523-s-38A</t>
  </si>
  <si>
    <t>T-300523-s-41A</t>
  </si>
  <si>
    <t>T-300523-s-44A</t>
  </si>
  <si>
    <t>T-300523-s-51A</t>
  </si>
  <si>
    <t>T-300523-s-53A</t>
  </si>
  <si>
    <t>T-300523-s-55A</t>
  </si>
  <si>
    <t>T-300523-s-59A</t>
  </si>
  <si>
    <t>T-300523-s-61A</t>
  </si>
  <si>
    <t>T-300523-s-66A</t>
  </si>
  <si>
    <t>T-300523-s-68A</t>
  </si>
  <si>
    <t>T-300523-s-72A</t>
  </si>
  <si>
    <t>T-300523-s-75A</t>
  </si>
  <si>
    <t>T-300523-s-80A</t>
  </si>
  <si>
    <t>T-300523-s-81A</t>
  </si>
  <si>
    <t>T-300523-s-82A</t>
  </si>
  <si>
    <t>T-300523-s-87A</t>
  </si>
  <si>
    <t>T-300523-s-88A</t>
  </si>
  <si>
    <t>T-300523-s-89A</t>
  </si>
  <si>
    <t>T-300523-s-91A</t>
  </si>
  <si>
    <t>T-300523-s-98A</t>
  </si>
  <si>
    <t>T-300523-s-100A</t>
  </si>
  <si>
    <t>T-300523-s-104A</t>
  </si>
  <si>
    <t>T-300523-s-107A</t>
  </si>
  <si>
    <t>T-060623-s-3B</t>
  </si>
  <si>
    <t>T-060623-s-5B</t>
  </si>
  <si>
    <t>T-060623-s-9B</t>
  </si>
  <si>
    <t>T-060623-s-10B</t>
  </si>
  <si>
    <t>T-060623-s-17B</t>
  </si>
  <si>
    <t>T-060623-s-18B</t>
  </si>
  <si>
    <t>T-060623-s-22B</t>
  </si>
  <si>
    <t>T-060623-s-24B</t>
  </si>
  <si>
    <t>T-060623-s-25B</t>
  </si>
  <si>
    <t>T-060623-s-26B</t>
  </si>
  <si>
    <t>T-060623-s-28B</t>
  </si>
  <si>
    <t>T-060623-s-35B</t>
  </si>
  <si>
    <t>T-060623-s-37B</t>
  </si>
  <si>
    <t>T-060623-s-38B</t>
  </si>
  <si>
    <t>T-060623-s-41B</t>
  </si>
  <si>
    <t>T-060623-s-44B</t>
  </si>
  <si>
    <t>T-060623-s-51B</t>
  </si>
  <si>
    <t>T-060623-s-53B</t>
  </si>
  <si>
    <t>T-060623-s-55B</t>
  </si>
  <si>
    <t>T-060623-s-59B</t>
  </si>
  <si>
    <t>T-060623-s-61B</t>
  </si>
  <si>
    <t>T-060623-s-66B</t>
  </si>
  <si>
    <t>T-060623-s-68B</t>
  </si>
  <si>
    <t>T-060623-s-72B</t>
  </si>
  <si>
    <t>T-060623-s-75B</t>
  </si>
  <si>
    <t>T-060623-s-80B</t>
  </si>
  <si>
    <t>T-060623-s-81B</t>
  </si>
  <si>
    <t>T-060623-s-82B</t>
  </si>
  <si>
    <t>T-060623-s-87B</t>
  </si>
  <si>
    <t>T-060623-s-88B</t>
  </si>
  <si>
    <t>T-060623-s-89B</t>
  </si>
  <si>
    <t>T-060623-s-91B</t>
  </si>
  <si>
    <t>T-060623-s-98B</t>
  </si>
  <si>
    <t>T-060623-s-100B</t>
  </si>
  <si>
    <t>T-060623-s-104B</t>
  </si>
  <si>
    <t>T-060623-s-107B</t>
  </si>
  <si>
    <t>T-130623-s-3C</t>
  </si>
  <si>
    <t>T-130623-s-5C</t>
  </si>
  <si>
    <t>T-130623-s-9C</t>
  </si>
  <si>
    <t>T-130623-s-10C</t>
  </si>
  <si>
    <t>T-130623-s-17C</t>
  </si>
  <si>
    <t>T-130623-s-18C</t>
  </si>
  <si>
    <t>T-130623-s-22C</t>
  </si>
  <si>
    <t>T-130623-s-24C</t>
  </si>
  <si>
    <t>T-130623-s-25C</t>
  </si>
  <si>
    <t>T-130623-s-26C</t>
  </si>
  <si>
    <t>T-130623-s-28C</t>
  </si>
  <si>
    <t>T-130623-s-35C</t>
  </si>
  <si>
    <t>T-130623-s-37C</t>
  </si>
  <si>
    <t>T-130623-s-38C</t>
  </si>
  <si>
    <t>T-130623-s-41C</t>
  </si>
  <si>
    <t>T-130623-s-44C</t>
  </si>
  <si>
    <t>T-130623-s-51C</t>
  </si>
  <si>
    <t>T-130623-s-53C</t>
  </si>
  <si>
    <t>T-130623-s-55C</t>
  </si>
  <si>
    <t>T-130623-s-59C</t>
  </si>
  <si>
    <t>T-130623-s-61C</t>
  </si>
  <si>
    <t>T-130623-s-66C</t>
  </si>
  <si>
    <t>T-130623-s-68C</t>
  </si>
  <si>
    <t>T-130623-s-72C</t>
  </si>
  <si>
    <t>T-130623-s-75C</t>
  </si>
  <si>
    <t>T-130623-s-80C</t>
  </si>
  <si>
    <t>T-130623-s-81C</t>
  </si>
  <si>
    <t>T-130623-s-82C</t>
  </si>
  <si>
    <t>T-130623-s-87C</t>
  </si>
  <si>
    <t>T-130623-s-88C</t>
  </si>
  <si>
    <t>T-130623-s-89C</t>
  </si>
  <si>
    <t>T-130623-s-91C</t>
  </si>
  <si>
    <t>T-130623-s-98C</t>
  </si>
  <si>
    <t>T-130623-s-100C</t>
  </si>
  <si>
    <t>T-130623-s-104C</t>
  </si>
  <si>
    <t>T-130623-s-107C</t>
  </si>
  <si>
    <t>T-200623-s-3D</t>
  </si>
  <si>
    <t>T-200623-s-5D</t>
  </si>
  <si>
    <t>T-200623-s-9D</t>
  </si>
  <si>
    <t>T-200623-s-10D</t>
  </si>
  <si>
    <t>T-200623-s-17D</t>
  </si>
  <si>
    <t>T-200623-s-18D</t>
  </si>
  <si>
    <t>T-200623-s-22D</t>
  </si>
  <si>
    <t>T-200623-s-24D</t>
  </si>
  <si>
    <t>T-200623-s-25D</t>
  </si>
  <si>
    <t>T-200623-s-26D</t>
  </si>
  <si>
    <t>T-200623-s-28D</t>
  </si>
  <si>
    <t>T-200623-s-35D</t>
  </si>
  <si>
    <t>T-200623-s-37D</t>
  </si>
  <si>
    <t>T-200623-s-38D</t>
  </si>
  <si>
    <t>T-200623-s-41D</t>
  </si>
  <si>
    <t>T-200623-s-44D</t>
  </si>
  <si>
    <t>T-200623-s-51D</t>
  </si>
  <si>
    <t>T-200623-s-53D</t>
  </si>
  <si>
    <t>T-200623-s-55D</t>
  </si>
  <si>
    <t>T-200623-s-59D</t>
  </si>
  <si>
    <t>T-200623-s-61D</t>
  </si>
  <si>
    <t>T-200623-s-66D</t>
  </si>
  <si>
    <t>T-200623-s-68D</t>
  </si>
  <si>
    <t>T-200623-s-72D</t>
  </si>
  <si>
    <t>T-200623-s-75D</t>
  </si>
  <si>
    <t>T-200623-s-80D</t>
  </si>
  <si>
    <t>T-200623-s-81D</t>
  </si>
  <si>
    <t>T-200623-s-82D</t>
  </si>
  <si>
    <t>T-200623-s-87D</t>
  </si>
  <si>
    <t>T-200623-s-88D</t>
  </si>
  <si>
    <t>T-200623-s-89D</t>
  </si>
  <si>
    <t>T-200623-s-91D</t>
  </si>
  <si>
    <t>T-200623-s-98D</t>
  </si>
  <si>
    <t>T-200623-s-100D</t>
  </si>
  <si>
    <t>T-200623-s-104D</t>
  </si>
  <si>
    <t>T-200623-s-107D</t>
  </si>
  <si>
    <t>T-270623-s-3E</t>
  </si>
  <si>
    <t>T-270623-s-5E</t>
  </si>
  <si>
    <t>T-270623-s-9E</t>
  </si>
  <si>
    <t>T-270623-s-10E</t>
  </si>
  <si>
    <t>T-270623-s-17E</t>
  </si>
  <si>
    <t>T-270623-s-18E</t>
  </si>
  <si>
    <t>T-270623-s-22E</t>
  </si>
  <si>
    <t>T-270623-s-24E</t>
  </si>
  <si>
    <t>T-270623-s-25E</t>
  </si>
  <si>
    <t>T-270623-s-26E</t>
  </si>
  <si>
    <t>T-270623-s-28E</t>
  </si>
  <si>
    <t>T-270623-s-35E</t>
  </si>
  <si>
    <t>T-270623-s-37E</t>
  </si>
  <si>
    <t>T-270623-s-38E</t>
  </si>
  <si>
    <t>T-270623-s-41E</t>
  </si>
  <si>
    <t>T-270623-s-44E</t>
  </si>
  <si>
    <t>T-270623-s-51E</t>
  </si>
  <si>
    <t>T-270623-s-53E</t>
  </si>
  <si>
    <t>T-270623-s-55E</t>
  </si>
  <si>
    <t>T-270623-s-59E</t>
  </si>
  <si>
    <t>T-270623-s-61E</t>
  </si>
  <si>
    <t>T-270623-s-66E</t>
  </si>
  <si>
    <t>T-270623-s-68E</t>
  </si>
  <si>
    <t>T-270623-s-72E</t>
  </si>
  <si>
    <t>T-270623-s-75E</t>
  </si>
  <si>
    <t>T-270623-s-80E</t>
  </si>
  <si>
    <t>T-270623-s-81E</t>
  </si>
  <si>
    <t>T-270623-s-82E</t>
  </si>
  <si>
    <t>T-270623-s-87E</t>
  </si>
  <si>
    <t>T-270623-s-88E</t>
  </si>
  <si>
    <t>T-270623-s-89E</t>
  </si>
  <si>
    <t>T-270623-s-91E</t>
  </si>
  <si>
    <t>T-270623-s-98E</t>
  </si>
  <si>
    <t>T-270623-s-100E</t>
  </si>
  <si>
    <t>T-270623-s-104E</t>
  </si>
  <si>
    <t>T-270623-s-107E</t>
  </si>
  <si>
    <t>T-040723-s-3F</t>
  </si>
  <si>
    <t>T-040723-s-5F</t>
  </si>
  <si>
    <t>T-040723-s-9F</t>
  </si>
  <si>
    <t>T-040723-s-10F</t>
  </si>
  <si>
    <t>T-040723-s-17F</t>
  </si>
  <si>
    <t>T-040723-s-18F</t>
  </si>
  <si>
    <t>T-040723-s-22F</t>
  </si>
  <si>
    <t>T-040723-s-24F</t>
  </si>
  <si>
    <t>T-040723-s-25F</t>
  </si>
  <si>
    <t>T-040723-s-26F</t>
  </si>
  <si>
    <t>T-040723-s-28F</t>
  </si>
  <si>
    <t>T-040723-s-35F</t>
  </si>
  <si>
    <t>T-040723-s-37F</t>
  </si>
  <si>
    <t>T-040723-s-38F</t>
  </si>
  <si>
    <t>T-040723-s-41F</t>
  </si>
  <si>
    <t>T-040723-s-44F</t>
  </si>
  <si>
    <t>T-040723-s-51F</t>
  </si>
  <si>
    <t>T-040723-s-53F</t>
  </si>
  <si>
    <t>T-040723-s-55F</t>
  </si>
  <si>
    <t>T-040723-s-59F</t>
  </si>
  <si>
    <t>T-040723-s-61F</t>
  </si>
  <si>
    <t>T-040723-s-66F</t>
  </si>
  <si>
    <t>T-040723-s-68F</t>
  </si>
  <si>
    <t>T-040723-s-72F</t>
  </si>
  <si>
    <t>T-040723-s-75F</t>
  </si>
  <si>
    <t>T-040723-s-80F</t>
  </si>
  <si>
    <t>T-040723-s-81F</t>
  </si>
  <si>
    <t>T-040723-s-82F</t>
  </si>
  <si>
    <t>T-040723-s-87F</t>
  </si>
  <si>
    <t>T-040723-s-88F</t>
  </si>
  <si>
    <t>T-040723-s-89F</t>
  </si>
  <si>
    <t>T-040723-s-91F</t>
  </si>
  <si>
    <t>T-040723-s-98F</t>
  </si>
  <si>
    <t>T-040723-s-100F</t>
  </si>
  <si>
    <t>T-040723-s-104F</t>
  </si>
  <si>
    <t>T-040723-s-107F</t>
  </si>
  <si>
    <t>T-110723-s-3G</t>
  </si>
  <si>
    <t>T-110723-s-5G</t>
  </si>
  <si>
    <t>T-110723-s-9G</t>
  </si>
  <si>
    <t>T-110723-s-10G</t>
  </si>
  <si>
    <t>T-110723-s-17G</t>
  </si>
  <si>
    <t>T-110723-s-18G</t>
  </si>
  <si>
    <t>T-110723-s-22G</t>
  </si>
  <si>
    <t>T-110723-s-24G</t>
  </si>
  <si>
    <t>T-110723-s-25G</t>
  </si>
  <si>
    <t>T-110723-s-26G</t>
  </si>
  <si>
    <t>T-110723-s-28G</t>
  </si>
  <si>
    <t>T-110723-s-35G</t>
  </si>
  <si>
    <t>T-110723-s-37G</t>
  </si>
  <si>
    <t>T-110723-s-38G</t>
  </si>
  <si>
    <t>T-110723-s-41G</t>
  </si>
  <si>
    <t>T-110723-s-44G</t>
  </si>
  <si>
    <t>T-110723-s-51G</t>
  </si>
  <si>
    <t>T-110723-s-53G</t>
  </si>
  <si>
    <t>T-110723-s-55G</t>
  </si>
  <si>
    <t>T-110723-s-59G</t>
  </si>
  <si>
    <t>T-110723-s-61G</t>
  </si>
  <si>
    <t>T-110723-s-66G</t>
  </si>
  <si>
    <t>T-110723-s-68G</t>
  </si>
  <si>
    <t>T-110723-s-72G</t>
  </si>
  <si>
    <t>T-110723-s-75G</t>
  </si>
  <si>
    <t>T-110723-s-80G</t>
  </si>
  <si>
    <t>T-110723-s-81G</t>
  </si>
  <si>
    <t>T-110723-s-82G</t>
  </si>
  <si>
    <t>T-110723-s-87G</t>
  </si>
  <si>
    <t>T-110723-s-88G</t>
  </si>
  <si>
    <t>T-110723-s-89G</t>
  </si>
  <si>
    <t>T-110723-s-91G</t>
  </si>
  <si>
    <t>T-110723-s-98G</t>
  </si>
  <si>
    <t>T-110723-s-100G</t>
  </si>
  <si>
    <t>T-110723-s-104G</t>
  </si>
  <si>
    <t>T-110723-s-107G</t>
  </si>
  <si>
    <t>T-180723-s-3H</t>
  </si>
  <si>
    <t>T-180723-s-5H</t>
  </si>
  <si>
    <t>T-180723-s-9H</t>
  </si>
  <si>
    <t>T-180723-s-10H</t>
  </si>
  <si>
    <t>T-180723-s-17H</t>
  </si>
  <si>
    <t>T-180723-s-18H</t>
  </si>
  <si>
    <t>T-180723-s-22H</t>
  </si>
  <si>
    <t>T-180723-s-24H</t>
  </si>
  <si>
    <t>T-180723-s-25H</t>
  </si>
  <si>
    <t>T-180723-s-26H</t>
  </si>
  <si>
    <t>T-180723-s-28H</t>
  </si>
  <si>
    <t>T-180723-s-35H</t>
  </si>
  <si>
    <t>T-180723-s-37H</t>
  </si>
  <si>
    <t>T-180723-s-38H</t>
  </si>
  <si>
    <t>T-180723-s-41H</t>
  </si>
  <si>
    <t>T-180723-s-44H</t>
  </si>
  <si>
    <t>T-180723-s-51H</t>
  </si>
  <si>
    <t>T-180723-s-53H</t>
  </si>
  <si>
    <t>T-180723-s-55H</t>
  </si>
  <si>
    <t>T-180723-s-59H</t>
  </si>
  <si>
    <t>T-180723-s-61H</t>
  </si>
  <si>
    <t>T-180723-s-66H</t>
  </si>
  <si>
    <t>T-180723-s-68H</t>
  </si>
  <si>
    <t>T-180723-s-72H</t>
  </si>
  <si>
    <t>T-180723-s-75H</t>
  </si>
  <si>
    <t>T-180723-s-80H</t>
  </si>
  <si>
    <t>T-180723-s-81H</t>
  </si>
  <si>
    <t>T-180723-s-82H</t>
  </si>
  <si>
    <t>T-180723-s-87H</t>
  </si>
  <si>
    <t>T-180723-s-88H</t>
  </si>
  <si>
    <t>T-180723-s-89H</t>
  </si>
  <si>
    <t>T-180723-s-91H</t>
  </si>
  <si>
    <t>T-180723-s-98H</t>
  </si>
  <si>
    <t>T-180723-s-100H</t>
  </si>
  <si>
    <t>T-180723-s-104H</t>
  </si>
  <si>
    <t>T-180723-s-107H</t>
  </si>
  <si>
    <t>shotgun-std15-P2-neg</t>
  </si>
  <si>
    <t>shotgun-std15-P3-neg</t>
  </si>
  <si>
    <t>shotgun-hug-p4-neg</t>
  </si>
  <si>
    <t>T-210623-s-aphid-3-61D</t>
  </si>
  <si>
    <t>T-210623-s-aphid-5-68D</t>
  </si>
  <si>
    <t>T-210623-s-aphid-66D</t>
  </si>
  <si>
    <t>T-210623-s-aphid-72D</t>
  </si>
  <si>
    <t>T-210623-s-aphid-98D</t>
  </si>
  <si>
    <t>T-210623-s-aphid-100D</t>
  </si>
  <si>
    <t>T-210623-s-aphid-104D</t>
  </si>
  <si>
    <t>T-210623-s-aphid-107D</t>
  </si>
  <si>
    <t>T-040723-16S-s-3F</t>
  </si>
  <si>
    <t>T-040723-16S-s-5F</t>
  </si>
  <si>
    <t>T-040723-16S-s-9F</t>
  </si>
  <si>
    <t>T-040723-16S-s-10F</t>
  </si>
  <si>
    <t>T-040723-16S-s-17F</t>
  </si>
  <si>
    <t>T-040723-16S-s-18F</t>
  </si>
  <si>
    <t>T-040723-16S-s-22F</t>
  </si>
  <si>
    <t>T-040723-16S-s-24F</t>
  </si>
  <si>
    <t>T-040723-16S-s-25F</t>
  </si>
  <si>
    <t>T-040723-16S-s-26F</t>
  </si>
  <si>
    <t>T-040723-16S-s-35F</t>
  </si>
  <si>
    <t>T-040723-16S-s-37F</t>
  </si>
  <si>
    <t>T-040723-16S-s-38F</t>
  </si>
  <si>
    <t>T-040723-16S-s-41F</t>
  </si>
  <si>
    <t>T-040723-16S-s-44F</t>
  </si>
  <si>
    <t>T-040723-16S-s-51F</t>
  </si>
  <si>
    <t>T-040723-16S-s-53F</t>
  </si>
  <si>
    <t>T-040723-16S-s-55F</t>
  </si>
  <si>
    <t>T-040723-16S-s-59F</t>
  </si>
  <si>
    <t>T-040723-16S-s-61F</t>
  </si>
  <si>
    <t>T-040723-16S-s-66F</t>
  </si>
  <si>
    <t>T-040723-16S-s-68F</t>
  </si>
  <si>
    <t>T-040723-16S-s-72F</t>
  </si>
  <si>
    <t>T-040723-16S-s-75F</t>
  </si>
  <si>
    <t>T-040723-16S-s-80F</t>
  </si>
  <si>
    <t>T-040723-16S-s-81F</t>
  </si>
  <si>
    <t>T-040723-16S-s-82F</t>
  </si>
  <si>
    <t>T-040723-16S-s-87F</t>
  </si>
  <si>
    <t>T-040723-16S-s-88F</t>
  </si>
  <si>
    <t>T-040723-16S-s-89F</t>
  </si>
  <si>
    <t>T-040723-16S-s-91F</t>
  </si>
  <si>
    <t>T-040723-16S-s-98F</t>
  </si>
  <si>
    <t>T-040723-16S-s-100F</t>
  </si>
  <si>
    <t>T-040723-16S-s-104F</t>
  </si>
  <si>
    <t>T-040723-16S-s-107F</t>
  </si>
  <si>
    <t>T-110723-16S-s-3G</t>
  </si>
  <si>
    <t>T-110723-16S-s-5G</t>
  </si>
  <si>
    <t>T-110723-16S-s-9G</t>
  </si>
  <si>
    <t>T-110723-16S-s-10G</t>
  </si>
  <si>
    <t>T-110723-16S-s-17G</t>
  </si>
  <si>
    <t>T-110723-16S-s-18G</t>
  </si>
  <si>
    <t>T-110723-16S-s-22G</t>
  </si>
  <si>
    <t>T-110723-16S-s-24G</t>
  </si>
  <si>
    <t>T-110723-16S-s-25G</t>
  </si>
  <si>
    <t>T-110723-16S-s-26G</t>
  </si>
  <si>
    <t>T-110723-16S-s-28G</t>
  </si>
  <si>
    <t>T-110723-16S-s-35G</t>
  </si>
  <si>
    <t>T-110723-16S-s-37G</t>
  </si>
  <si>
    <t>T-110723-16S-s-38G</t>
  </si>
  <si>
    <t>T-110723-16S-s-41G</t>
  </si>
  <si>
    <t>T-110723-16S-s-44G</t>
  </si>
  <si>
    <t>T-110723-16S-s-51G</t>
  </si>
  <si>
    <t>T-110723-16S-s-53G</t>
  </si>
  <si>
    <t>T-110723-16S-s-55G</t>
  </si>
  <si>
    <t>T-110723-16S-s-59G</t>
  </si>
  <si>
    <t>T-110723-16S-s-61G</t>
  </si>
  <si>
    <t>T-110723-16S-s-66G</t>
  </si>
  <si>
    <t>T-110723-16S-s-68G</t>
  </si>
  <si>
    <t>T-110723-16S-s-72G</t>
  </si>
  <si>
    <t>T-110723-16S-s-75G</t>
  </si>
  <si>
    <t>T-110723-16S-s-80G</t>
  </si>
  <si>
    <t>T-110723-16S-s-81G</t>
  </si>
  <si>
    <t>T-110723-16S-s-82G</t>
  </si>
  <si>
    <t>T-110723-16S-s-87G</t>
  </si>
  <si>
    <t>T-110723-16S-s-88G</t>
  </si>
  <si>
    <t>T-110723-16S-s-89G</t>
  </si>
  <si>
    <t>T-110723-16S-s-91G</t>
  </si>
  <si>
    <t>T-110723-16S-s-98G</t>
  </si>
  <si>
    <t>T-110723-16S-s-100G</t>
  </si>
  <si>
    <t>T-110723-16S-s-104G</t>
  </si>
  <si>
    <t>T-110723-16S-s-107G</t>
  </si>
  <si>
    <t>T-180723-16S-s-3H</t>
  </si>
  <si>
    <t>T-180723-16S-s-5H</t>
  </si>
  <si>
    <t>T-180723-16S-s-9H</t>
  </si>
  <si>
    <t>T-180723-16S-s-10H</t>
  </si>
  <si>
    <t>T-180723-16S-s-17H</t>
  </si>
  <si>
    <t>T-180723-16S-s-18H</t>
  </si>
  <si>
    <t>T-180723-16S-s-22H</t>
  </si>
  <si>
    <t>T-180723-16S-s-24H</t>
  </si>
  <si>
    <t>T-180723-16S-s-25H</t>
  </si>
  <si>
    <t>T-180723-16S-s-26H</t>
  </si>
  <si>
    <t>T-180723-16S-s-28H</t>
  </si>
  <si>
    <t>T-180723-16S-s-35H</t>
  </si>
  <si>
    <t>T-180723-16S-s-37H</t>
  </si>
  <si>
    <t>T-180723-16S-s-38H</t>
  </si>
  <si>
    <t>T-180723-16S-s-41H</t>
  </si>
  <si>
    <t>T-180723-16S-s-44H</t>
  </si>
  <si>
    <t>T-180723-16S-s-51H</t>
  </si>
  <si>
    <t>T-180723-16S-s-53H</t>
  </si>
  <si>
    <t>T-180723-16S-s-55H</t>
  </si>
  <si>
    <t>T-180723-16S-s-59H</t>
  </si>
  <si>
    <t>T-2023-ITS-s-P1-neg</t>
  </si>
  <si>
    <t>T-2023-ITS-s-P1-pos</t>
  </si>
  <si>
    <t>T-180723-16S-s-61H</t>
  </si>
  <si>
    <t>T-180723-16S-s-66H</t>
  </si>
  <si>
    <t>T-180723-16S-s-68H</t>
  </si>
  <si>
    <t>T-180723-16S-s-72H</t>
  </si>
  <si>
    <t>T-180723-16S-s-75H</t>
  </si>
  <si>
    <t>T-180723-16S-s-80H</t>
  </si>
  <si>
    <t>T-180723-16S-s-81H</t>
  </si>
  <si>
    <t>T-180723-16S-s-82H</t>
  </si>
  <si>
    <t>T-180723-16S-s-87H</t>
  </si>
  <si>
    <t>T-180723-16S-s-88H</t>
  </si>
  <si>
    <t>T-180723-16S-s-89H</t>
  </si>
  <si>
    <t>T-180723-16S-s-91H</t>
  </si>
  <si>
    <t>T-180723-16S-s-98H</t>
  </si>
  <si>
    <t>T-180723-16S-s-100H</t>
  </si>
  <si>
    <t>T-180723-16S-s-104H</t>
  </si>
  <si>
    <t>T-180723-16S-s-107H</t>
  </si>
  <si>
    <t>T-2023-16S-s-P2-neg</t>
  </si>
  <si>
    <t>T-2023-16S-s-P2-pos</t>
  </si>
  <si>
    <t>T-200723-16S-w-aphid-66D</t>
  </si>
  <si>
    <t>T-200723-16S-w-aphid-72D</t>
  </si>
  <si>
    <t>T-200723-16S-w-aphid-98D</t>
  </si>
  <si>
    <t>T-200723-16S-w-aphid-100D</t>
  </si>
  <si>
    <t>T-200723-16S-w-aphid-104D</t>
  </si>
  <si>
    <t>T-200723-16S-w-aphid-107D</t>
  </si>
  <si>
    <t>T-040723-ITS-s-3F</t>
  </si>
  <si>
    <t>T-040723-ITS-s-5F</t>
  </si>
  <si>
    <t>T-040723-ITS-s-9F</t>
  </si>
  <si>
    <t>T-040723-ITS-s-10F</t>
  </si>
  <si>
    <t>T-040723-ITS-s-17F</t>
  </si>
  <si>
    <t>T-040723-ITS-s-18F</t>
  </si>
  <si>
    <t>T-040723-ITS-s-22F</t>
  </si>
  <si>
    <t>T-040723-ITS-s-24F</t>
  </si>
  <si>
    <t>T-040723-ITS-s-25F</t>
  </si>
  <si>
    <t>T-040723-ITS-s-26F</t>
  </si>
  <si>
    <t>T-040723-ITS-s-28F</t>
  </si>
  <si>
    <t>T-040723-ITS-s-35F</t>
  </si>
  <si>
    <t>T-040723-ITS-s-37F</t>
  </si>
  <si>
    <t>T-040723-ITS-s-38F</t>
  </si>
  <si>
    <t>T-040723-ITS-s-41F</t>
  </si>
  <si>
    <t>T-040723-ITS-s-44F</t>
  </si>
  <si>
    <t>T-040723-ITS-s-51F</t>
  </si>
  <si>
    <t>T-040723-ITS-s-53F</t>
  </si>
  <si>
    <t>T-040723-ITS-s-55F</t>
  </si>
  <si>
    <t>T-040723-ITS-s-59F</t>
  </si>
  <si>
    <t>T-040723-ITS-s-66F</t>
  </si>
  <si>
    <t>T-040723-ITS-s-68F</t>
  </si>
  <si>
    <t>T-040723-ITS-s-72F</t>
  </si>
  <si>
    <t>T-040723-ITS-s-75F</t>
  </si>
  <si>
    <t>T-040723-ITS-s-80F</t>
  </si>
  <si>
    <t>T-040723-ITS-s-81F</t>
  </si>
  <si>
    <t>T-040723-ITS-s-82F</t>
  </si>
  <si>
    <t>T-040723-ITS-s-87F</t>
  </si>
  <si>
    <t>T-040723-ITS-s-88F</t>
  </si>
  <si>
    <t>T-040723-ITS-s-89F</t>
  </si>
  <si>
    <t>T-040723-ITS-s-91F</t>
  </si>
  <si>
    <t>T-040723-ITS-s-98F</t>
  </si>
  <si>
    <t>T-040723-ITS-s-100F</t>
  </si>
  <si>
    <t>T-040723-ITS-s-104F</t>
  </si>
  <si>
    <t>T-040723-ITS-s-107F</t>
  </si>
  <si>
    <t>T-110723-ITS-s-3G</t>
  </si>
  <si>
    <t>T-110723-ITS-s-5G</t>
  </si>
  <si>
    <t>T-110723-ITS-s-9G</t>
  </si>
  <si>
    <t>T-110723-ITS-s-10G</t>
  </si>
  <si>
    <t>T-110723-ITS-s-17G</t>
  </si>
  <si>
    <t>T-110723-ITS-s-18G</t>
  </si>
  <si>
    <t>T-110723-ITS-s-22G</t>
  </si>
  <si>
    <t>T-110723-ITS-s-24G</t>
  </si>
  <si>
    <t>T-110723-ITS-s-25G</t>
  </si>
  <si>
    <t>T-110723-ITS-s-26G</t>
  </si>
  <si>
    <t>T-110723-ITS-s-28G</t>
  </si>
  <si>
    <t>T-110723-ITS-s-35G</t>
  </si>
  <si>
    <t>T-110723-ITS-s-37G</t>
  </si>
  <si>
    <t>T-110723-ITS-s-38G</t>
  </si>
  <si>
    <t>T-110723-ITS-s-41G</t>
  </si>
  <si>
    <t>T-110723-ITS-s-44G</t>
  </si>
  <si>
    <t>T-110723-ITS-s-51G</t>
  </si>
  <si>
    <t>T-110723-ITS-s-53G</t>
  </si>
  <si>
    <t>T-110723-ITS-s-55G</t>
  </si>
  <si>
    <t>T-110723-ITS-s-59G</t>
  </si>
  <si>
    <t>T-110723-ITS-s-61G</t>
  </si>
  <si>
    <t>T-110723-ITS-s-66G</t>
  </si>
  <si>
    <t>T-110723-ITS-s-68G</t>
  </si>
  <si>
    <t>T-110723-ITS-s-72G</t>
  </si>
  <si>
    <t>T-110723-ITS-s-75G</t>
  </si>
  <si>
    <t>T-110723-ITS-s-80G</t>
  </si>
  <si>
    <t>T-110723-ITS-s-81G</t>
  </si>
  <si>
    <t>T-110723-ITS-s-82G</t>
  </si>
  <si>
    <t>T-110723-ITS-s-87G</t>
  </si>
  <si>
    <t>T-110723-ITS-s-88G</t>
  </si>
  <si>
    <t>T-110723-ITS-s-89G</t>
  </si>
  <si>
    <t>T-110723-ITS-s-91G</t>
  </si>
  <si>
    <t>T-110723-ITS-s-98G</t>
  </si>
  <si>
    <t>T-110723-ITS-s-100G</t>
  </si>
  <si>
    <t>T-110723-ITS-s-104G</t>
  </si>
  <si>
    <t>T-110723-ITS-s-107G</t>
  </si>
  <si>
    <t>T-180723-ITS-s-3H</t>
  </si>
  <si>
    <t>T-180723-ITS-s-5H</t>
  </si>
  <si>
    <t>T-180723-ITS-s-9H</t>
  </si>
  <si>
    <t>T-180723-ITS-s-10H</t>
  </si>
  <si>
    <t>T-180723-ITS-s-17H</t>
  </si>
  <si>
    <t>T-180723-ITS-s-18H</t>
  </si>
  <si>
    <t>T-180723-ITS-s-22H</t>
  </si>
  <si>
    <t>T-180723-ITS-s-24H</t>
  </si>
  <si>
    <t>T-180723-ITS-s-25H</t>
  </si>
  <si>
    <t>T-180723-ITS-s-26H</t>
  </si>
  <si>
    <t>T-180723-ITS-s-28H</t>
  </si>
  <si>
    <t>T-180723-ITS-s-37H</t>
  </si>
  <si>
    <t>T-180723-ITS-s-38H</t>
  </si>
  <si>
    <t>T-180723-ITS-s-41H</t>
  </si>
  <si>
    <t>T-180723-ITS-s-51H</t>
  </si>
  <si>
    <t>T-180723-ITS-s-53H</t>
  </si>
  <si>
    <t>T-180723-ITS-s-55H</t>
  </si>
  <si>
    <t>T-180723-ITS-s-59H</t>
  </si>
  <si>
    <t>T-180723-ITS-s-61H</t>
  </si>
  <si>
    <t>T-180723-ITS-s-66H</t>
  </si>
  <si>
    <t>T-180723-ITS-s-68H</t>
  </si>
  <si>
    <t>T-180723-ITS-s-72H</t>
  </si>
  <si>
    <t>T-180723-ITS-s-75H</t>
  </si>
  <si>
    <t>T-180723-ITS-s-80H</t>
  </si>
  <si>
    <t>T-180723-ITS-s-81H</t>
  </si>
  <si>
    <t>T-180723-ITS-s-82H</t>
  </si>
  <si>
    <t>T-180723-ITS-s-87H</t>
  </si>
  <si>
    <t>T-180723-ITS-s-88H</t>
  </si>
  <si>
    <t>T-180723-ITS-s-89H</t>
  </si>
  <si>
    <t>T-180723-ITS-s-91H</t>
  </si>
  <si>
    <t>T-180723-ITS-s-98H</t>
  </si>
  <si>
    <t>T-180723-ITS-s-100H</t>
  </si>
  <si>
    <t>T-180723-ITS-s-104H</t>
  </si>
  <si>
    <t>T-180723-ITS-s-107H</t>
  </si>
  <si>
    <t>T-2023-ITS-s-P2-neg</t>
  </si>
  <si>
    <t>T-2023-ITS-s-P2-pos</t>
  </si>
  <si>
    <t>T-200723-ITS-w-aphid-66D</t>
  </si>
  <si>
    <t>T-200723-ITS-w-aphid-72D</t>
  </si>
  <si>
    <t>T-200723-ITS-w-aphid-98D</t>
  </si>
  <si>
    <t>T-200723-ITS-w-aphid-100D</t>
  </si>
  <si>
    <t>T-200723-ITS-w-aphid-104D</t>
  </si>
  <si>
    <t>T-200723-ITS-w-aphid-107D</t>
  </si>
  <si>
    <t>seq240719_NR8NI</t>
  </si>
  <si>
    <t>seq240710_DR8PG</t>
  </si>
  <si>
    <t>seq240508_LNERQ</t>
  </si>
  <si>
    <t>seq231107_RISO1</t>
  </si>
  <si>
    <t>seq240515_E8KTD</t>
  </si>
  <si>
    <t>seq230315_PF2CP</t>
  </si>
  <si>
    <t>seq230714_FWU63</t>
  </si>
  <si>
    <t>seq230710_GW4I8</t>
  </si>
  <si>
    <t>DNA_x kit controsl (PBS + DES)</t>
  </si>
  <si>
    <t>block (Taastrup:1_4, Ringsted: 1_16, Holeby: 1_8, Randers: 1_4 ('rk'))</t>
  </si>
  <si>
    <t xml:space="preserve">plot (division of Taastrup field 1_144, in 2022 1_24, sometimes correspond to sample_number, </t>
  </si>
  <si>
    <t>subplot (Taastrup: 1_12, it would be more accurate to refer to this as a sub_block. The field is divided in 4 blocks, each with 36 plots ordered in 3 subblock/subplots of 12 plots each)</t>
  </si>
  <si>
    <t>ID_on_field (letter_number identifier for 'other' locations, also refered to as 'letter' in old Alex files)</t>
  </si>
  <si>
    <t>spray (use of fungicide y/n) Note: in 'Timeline and Space Plot Layouts Amplicons and WGS 2022.xlsx' spray is regisstered wrong for all locations, it is opposite of 'Matrix samples 2022 _ Split for DNA extraction.xlsx' which has actual field overview, green = not sprayed = 'n', also an 'A' in ID_on_field = not sprayed, 'B' = sprayed.</t>
  </si>
  <si>
    <t>yield_grain (only 2021_2023: in kilogram/plot, 8m x 1,25m = 10 m^2)</t>
  </si>
  <si>
    <t>yield_straw (only 2021_2023: in kilogram/plot, 8m x 1,25m = 10 m^2)</t>
  </si>
  <si>
    <t>yield_TGW (only 2021_2023: weight of 1000 grains, clean)</t>
  </si>
  <si>
    <t>sample_weight_g (weight of crushed leaf in mg ±2 or washed leaf/leaves in gram, 2021: Alex: some mg of leaf_tissue (around 50 if my memory still works)).</t>
  </si>
  <si>
    <t>bio-sample_ID</t>
  </si>
  <si>
    <t>bio_sample_ID (ID of the leaf/leaves sample)</t>
  </si>
  <si>
    <t>R-070722-16S-s-9H</t>
  </si>
  <si>
    <t>R-070722-16S-s-10H</t>
  </si>
  <si>
    <t>R-070722-16S-s-11H</t>
  </si>
  <si>
    <t>R-070722-16S-s-12H</t>
  </si>
  <si>
    <t>R-070722-16S-s-13H</t>
  </si>
  <si>
    <t>R-070722-16S-s-14H</t>
  </si>
  <si>
    <t>R-070722-16S-s-15H</t>
  </si>
  <si>
    <t>R-070722-16S-s-16H</t>
  </si>
  <si>
    <t>R-070722-16S-s-17H</t>
  </si>
  <si>
    <t>R-070722-16S-s-18H</t>
  </si>
  <si>
    <t>R-070722-16S-s-19H</t>
  </si>
  <si>
    <t>R-070722-16S-s-20H</t>
  </si>
  <si>
    <t>R-070722-16S-s-21H</t>
  </si>
  <si>
    <t>R-070722-16S-s-22H</t>
  </si>
  <si>
    <t>R-070722-16S-s-23H</t>
  </si>
  <si>
    <t>R-070722-16S-s-24H</t>
  </si>
  <si>
    <t>R-070722-16S-s-1H</t>
  </si>
  <si>
    <t>R-070722-16S-s-2H</t>
  </si>
  <si>
    <t>R-070722-16S-s-3H</t>
  </si>
  <si>
    <t>R-070722-16S-s-4H</t>
  </si>
  <si>
    <t>R-070722-16S-s-5H</t>
  </si>
  <si>
    <t>R-070722-16S-s-6H</t>
  </si>
  <si>
    <t>R-070722-16S-s-7H</t>
  </si>
  <si>
    <t>R-070722-16S-s-8H</t>
  </si>
  <si>
    <t>R-070722-ITS-s-1H</t>
  </si>
  <si>
    <t>R-070722-ITS-s-2H</t>
  </si>
  <si>
    <t>R-070722-ITS-s-3H</t>
  </si>
  <si>
    <t>R-070722-ITS-s-4H</t>
  </si>
  <si>
    <t>R-070722-ITS-s-5H</t>
  </si>
  <si>
    <t>R-070722-ITS-s-6H</t>
  </si>
  <si>
    <t>R-070722-ITS-s-7H</t>
  </si>
  <si>
    <t>R-070722-ITS-s-8H</t>
  </si>
  <si>
    <t>R-070722-ITS-s-9H</t>
  </si>
  <si>
    <t>R-070722-ITS-s-10H</t>
  </si>
  <si>
    <t>R-070722-ITS-s-11H</t>
  </si>
  <si>
    <t>R-070722-ITS-s-12H</t>
  </si>
  <si>
    <t>R-070722-ITS-s-13H</t>
  </si>
  <si>
    <t>R-070722-ITS-s-14H</t>
  </si>
  <si>
    <t>R-070722-ITS-s-15H</t>
  </si>
  <si>
    <t>R-070722-ITS-s-16H</t>
  </si>
  <si>
    <t>R-070722-ITS-s-17H</t>
  </si>
  <si>
    <t>R-070722-ITS-s-18H</t>
  </si>
  <si>
    <t>R-070722-ITS-s-19H</t>
  </si>
  <si>
    <t>R-070722-ITS-s-20H</t>
  </si>
  <si>
    <t>R-070722-ITS-s-21H</t>
  </si>
  <si>
    <t>R-070722-ITS-s-22H</t>
  </si>
  <si>
    <t>R-070722-ITS-s-23H</t>
  </si>
  <si>
    <t>R-070722-ITS-s-24H</t>
  </si>
  <si>
    <t>seq230526_LQJXR</t>
  </si>
  <si>
    <t>T-300523-3A</t>
  </si>
  <si>
    <t>seq240222_RQS8X</t>
  </si>
  <si>
    <t>T-2023-16S-s-P1-neg</t>
  </si>
  <si>
    <t>T-000023-16S-s-P1-neg</t>
  </si>
  <si>
    <t>T-2023-16S-s-P1-pos</t>
  </si>
  <si>
    <t>T-000023-16S-s-P1-pos</t>
  </si>
  <si>
    <t>T-000023-16S-s-P2-neg</t>
  </si>
  <si>
    <t>T-000023-16S-s-P2-pos</t>
  </si>
  <si>
    <t>T-200723-16S-w-aphid-3-6D</t>
  </si>
  <si>
    <t>T-200723-16S-w-aphid-5-68D</t>
  </si>
  <si>
    <t>T-000023-ITS-s-P1-neg</t>
  </si>
  <si>
    <t>T-000023-ITS-s-P1-pos</t>
  </si>
  <si>
    <t>T-000023-ITS-s-P2-neg</t>
  </si>
  <si>
    <t>T-000023-ITS-s-P2-pos</t>
  </si>
  <si>
    <t>T-200723-ITS-w-aphid-3-6D</t>
  </si>
  <si>
    <t>T-200723-ITS-w-aphid-5-68D</t>
  </si>
  <si>
    <t>missing</t>
  </si>
  <si>
    <t>16S-R-s-neg</t>
  </si>
  <si>
    <t>R-000022-16S-s-P1-neg</t>
  </si>
  <si>
    <t>16S-R-s-pos</t>
  </si>
  <si>
    <t>R-000022-16S-s-P1-pos</t>
  </si>
  <si>
    <t>R-140722-ITS-s-21I</t>
  </si>
  <si>
    <t>ITS-R-s-neg</t>
  </si>
  <si>
    <t>R-000022-ITS-s-P1-neg</t>
  </si>
  <si>
    <t>ITS-R-s-pos</t>
  </si>
  <si>
    <t>R-000022-ITS-s-P1-pos</t>
  </si>
  <si>
    <t>missing_too_low_input_DNA</t>
  </si>
  <si>
    <t>missing_sample_tube_was_empty</t>
  </si>
  <si>
    <t>seq_twice_combine_reads_speedvac_DNA</t>
  </si>
  <si>
    <t>seq_twice_combine_reads</t>
  </si>
  <si>
    <t>missing_empty_tube</t>
  </si>
  <si>
    <t>seq_twice_combine_reads_speedvac_DNA_still_no_DNA</t>
  </si>
  <si>
    <t>seq_twice_combine_reads_reached_roomtemp_before_milling_speedvac_DNA</t>
  </si>
  <si>
    <t>reached_roomtemp_before_milling;seq_twice_combine_reads_speedvac_DNA</t>
  </si>
  <si>
    <t>R-000022-s-hug-lib-neg-1</t>
  </si>
  <si>
    <t>R-000022-s-hug-lib-neg-2</t>
  </si>
  <si>
    <t>R-000022-s-nex-lib-neg-1</t>
  </si>
  <si>
    <t>R-000022-s-nex-lib-neg-2</t>
  </si>
  <si>
    <t>R-000022-s-nex-lib-neg-3</t>
  </si>
  <si>
    <t>R-000022-s-nex-lib-neg-4</t>
  </si>
  <si>
    <t>R-000022-s-nex-lib-neg-5</t>
  </si>
  <si>
    <t>R-000022-s-nex-lib-neg-6</t>
  </si>
  <si>
    <t>R-000022-s-hug-kit-des-neg-1</t>
  </si>
  <si>
    <t>R-000022-s-hug-kit-pbs-neg-2</t>
  </si>
  <si>
    <t>R-000022-s-hug-kit-pbs-neg-3</t>
  </si>
  <si>
    <t>T-000023-s-nex15-P2-neg</t>
  </si>
  <si>
    <t>T-000023-s-nex15-P3-neg</t>
  </si>
  <si>
    <t>T-000023-s-hug-P4-neg</t>
  </si>
  <si>
    <t>mix_of_sample_3_and_6_pooled_after_centrifugation_hole_in_bag3_lost_33ml</t>
  </si>
  <si>
    <t>mix_of_sample_5_and_68_hole_in_beaker_lost_20ml</t>
  </si>
  <si>
    <t>missing_no_input_DNA</t>
  </si>
  <si>
    <t>missing_lib_failed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</si>
</sst>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d/mm/yy;@"/>
    <numFmt numFmtId="166" formatCode="0.0000"/>
    <numFmt numFmtId="167" formatCode="dd/mm/yyyy;@"/>
  </numFmts>
  <fonts count="23">
    <font>
      <sz val="12"/>
      <color theme="1"/>
      <name val="Aptos Narrow"/>
      <family val="2"/>
      <scheme val="minor"/>
    </font>
    <font>
      <sz val="12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252525"/>
      <name val="Aptos Narrow"/>
      <scheme val="minor"/>
    </font>
    <font>
      <sz val="12"/>
      <color rgb="FF000000"/>
      <name val="Aptos Narrow"/>
      <scheme val="minor"/>
    </font>
    <font>
      <sz val="11"/>
      <color rgb="FFFFFFFF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z val="18"/>
      <color rgb="FF000000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sz val="8"/>
      <color rgb="FF3F3F76"/>
      <name val="Calibri"/>
      <family val="2"/>
    </font>
    <font>
      <sz val="10"/>
      <color rgb="FF000000"/>
      <name val="Arial"/>
      <family val="2"/>
    </font>
    <font>
      <sz val="8"/>
      <color rgb="FF9C0006"/>
      <name val="Calibri"/>
      <family val="2"/>
    </font>
    <font>
      <sz val="9"/>
      <color rgb="FF000000"/>
      <name val="Calibri"/>
      <family val="2"/>
    </font>
    <font>
      <sz val="9"/>
      <color rgb="FF3F3F76"/>
      <name val="Calibri"/>
      <family val="2"/>
    </font>
    <font>
      <b/>
      <sz val="9"/>
      <color rgb="FF3F3F76"/>
      <name val="Calibri"/>
      <family val="2"/>
    </font>
    <font>
      <sz val="12"/>
      <color rgb="FFFF0000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12"/>
      <color rgb="FF000000"/>
      <name val="Aptos Narrow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FFEB9C"/>
        <bgColor rgb="FFFFEB9C"/>
      </patternFill>
    </fill>
    <fill>
      <patternFill patternType="solid">
        <fgColor rgb="FFFFCC99"/>
        <bgColor rgb="FFFFCC99"/>
      </patternFill>
    </fill>
    <fill>
      <patternFill patternType="solid">
        <fgColor rgb="FFECECEC"/>
        <bgColor rgb="FFECECEC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DEEAF6"/>
        <bgColor rgb="FFDEEAF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rgb="FFFFFD78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0" borderId="0" xfId="0" applyFont="1"/>
    <xf numFmtId="1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67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/>
    <xf numFmtId="1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left"/>
    </xf>
    <xf numFmtId="167" fontId="0" fillId="0" borderId="0" xfId="0" applyNumberFormat="1" applyAlignment="1">
      <alignment horizontal="center"/>
    </xf>
    <xf numFmtId="167" fontId="1" fillId="0" borderId="0" xfId="0" applyNumberFormat="1" applyFont="1" applyAlignment="1">
      <alignment horizontal="left" vertical="center"/>
    </xf>
    <xf numFmtId="0" fontId="4" fillId="0" borderId="0" xfId="0" applyFont="1"/>
    <xf numFmtId="0" fontId="6" fillId="0" borderId="0" xfId="0" applyFont="1"/>
    <xf numFmtId="0" fontId="6" fillId="0" borderId="1" xfId="0" applyFont="1" applyBorder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10" fillId="0" borderId="0" xfId="0" applyFont="1"/>
    <xf numFmtId="0" fontId="11" fillId="4" borderId="3" xfId="0" applyFont="1" applyFill="1" applyBorder="1"/>
    <xf numFmtId="0" fontId="11" fillId="4" borderId="4" xfId="0" applyFont="1" applyFill="1" applyBorder="1"/>
    <xf numFmtId="0" fontId="12" fillId="5" borderId="2" xfId="0" applyFont="1" applyFill="1" applyBorder="1"/>
    <xf numFmtId="0" fontId="12" fillId="5" borderId="5" xfId="0" applyFont="1" applyFill="1" applyBorder="1"/>
    <xf numFmtId="0" fontId="12" fillId="5" borderId="6" xfId="0" applyFont="1" applyFill="1" applyBorder="1"/>
    <xf numFmtId="0" fontId="12" fillId="5" borderId="7" xfId="0" applyFont="1" applyFill="1" applyBorder="1"/>
    <xf numFmtId="0" fontId="13" fillId="5" borderId="6" xfId="0" applyFont="1" applyFill="1" applyBorder="1"/>
    <xf numFmtId="0" fontId="13" fillId="5" borderId="7" xfId="0" applyFont="1" applyFill="1" applyBorder="1"/>
    <xf numFmtId="0" fontId="14" fillId="0" borderId="8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 wrapText="1"/>
    </xf>
    <xf numFmtId="0" fontId="8" fillId="11" borderId="12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 wrapText="1"/>
    </xf>
    <xf numFmtId="0" fontId="9" fillId="10" borderId="1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16" fillId="0" borderId="0" xfId="0" applyFont="1"/>
    <xf numFmtId="0" fontId="17" fillId="5" borderId="6" xfId="0" applyFont="1" applyFill="1" applyBorder="1"/>
    <xf numFmtId="0" fontId="18" fillId="5" borderId="7" xfId="0" applyFont="1" applyFill="1" applyBorder="1" applyAlignment="1">
      <alignment wrapText="1"/>
    </xf>
    <xf numFmtId="0" fontId="17" fillId="5" borderId="7" xfId="0" applyFont="1" applyFill="1" applyBorder="1"/>
    <xf numFmtId="0" fontId="17" fillId="5" borderId="7" xfId="0" applyFont="1" applyFill="1" applyBorder="1" applyAlignment="1">
      <alignment wrapText="1"/>
    </xf>
    <xf numFmtId="0" fontId="4" fillId="12" borderId="0" xfId="0" applyFont="1" applyFill="1"/>
    <xf numFmtId="0" fontId="2" fillId="12" borderId="0" xfId="0" applyFont="1" applyFill="1"/>
    <xf numFmtId="0" fontId="4" fillId="15" borderId="0" xfId="0" applyFont="1" applyFill="1"/>
    <xf numFmtId="0" fontId="2" fillId="15" borderId="0" xfId="0" applyFont="1" applyFill="1"/>
    <xf numFmtId="0" fontId="4" fillId="16" borderId="0" xfId="0" applyFont="1" applyFill="1"/>
    <xf numFmtId="0" fontId="5" fillId="0" borderId="0" xfId="0" applyFont="1"/>
    <xf numFmtId="0" fontId="20" fillId="17" borderId="0" xfId="0" applyFont="1" applyFill="1"/>
    <xf numFmtId="0" fontId="21" fillId="17" borderId="0" xfId="0" applyFont="1" applyFill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6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14" fontId="1" fillId="0" borderId="0" xfId="0" applyNumberFormat="1" applyFont="1" applyAlignment="1">
      <alignment horizontal="center" vertical="center"/>
    </xf>
    <xf numFmtId="0" fontId="1" fillId="15" borderId="0" xfId="0" applyFont="1" applyFill="1" applyAlignment="1">
      <alignment horizontal="left" vertical="center"/>
    </xf>
    <xf numFmtId="0" fontId="1" fillId="15" borderId="0" xfId="0" applyFont="1" applyFill="1" applyAlignment="1">
      <alignment horizontal="left"/>
    </xf>
    <xf numFmtId="14" fontId="1" fillId="15" borderId="0" xfId="0" applyNumberFormat="1" applyFont="1" applyFill="1" applyAlignment="1">
      <alignment horizontal="left"/>
    </xf>
    <xf numFmtId="0" fontId="22" fillId="12" borderId="0" xfId="0" applyFont="1" applyFill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" fillId="14" borderId="0" xfId="0" applyFont="1" applyFill="1"/>
    <xf numFmtId="0" fontId="2" fillId="2" borderId="0" xfId="0" applyFont="1" applyFill="1"/>
    <xf numFmtId="0" fontId="2" fillId="13" borderId="0" xfId="0" applyFont="1" applyFill="1"/>
    <xf numFmtId="0" fontId="2" fillId="14" borderId="23" xfId="0" applyFont="1" applyFill="1" applyBorder="1"/>
    <xf numFmtId="0" fontId="2" fillId="2" borderId="23" xfId="0" applyFont="1" applyFill="1" applyBorder="1"/>
    <xf numFmtId="0" fontId="2" fillId="13" borderId="23" xfId="0" applyFont="1" applyFill="1" applyBorder="1"/>
    <xf numFmtId="14" fontId="2" fillId="0" borderId="0" xfId="0" applyNumberFormat="1" applyFont="1"/>
    <xf numFmtId="167" fontId="1" fillId="0" borderId="0" xfId="0" applyNumberFormat="1" applyFont="1" applyAlignment="1">
      <alignment horizontal="center"/>
    </xf>
    <xf numFmtId="0" fontId="1" fillId="18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1" fillId="0" borderId="27" xfId="0" applyFont="1" applyBorder="1"/>
    <xf numFmtId="49" fontId="2" fillId="18" borderId="0" xfId="0" applyNumberFormat="1" applyFont="1" applyFill="1" applyAlignment="1">
      <alignment horizontal="center"/>
    </xf>
    <xf numFmtId="0" fontId="2" fillId="18" borderId="0" xfId="0" applyFont="1" applyFill="1"/>
    <xf numFmtId="0" fontId="2" fillId="19" borderId="0" xfId="0" applyFont="1" applyFill="1"/>
    <xf numFmtId="49" fontId="2" fillId="19" borderId="0" xfId="0" applyNumberFormat="1" applyFont="1" applyFill="1" applyAlignment="1">
      <alignment horizontal="center"/>
    </xf>
    <xf numFmtId="0" fontId="1" fillId="0" borderId="25" xfId="0" applyFont="1" applyBorder="1"/>
    <xf numFmtId="0" fontId="1" fillId="0" borderId="26" xfId="0" applyFont="1" applyBorder="1"/>
    <xf numFmtId="0" fontId="6" fillId="0" borderId="25" xfId="0" applyFont="1" applyBorder="1"/>
    <xf numFmtId="0" fontId="6" fillId="0" borderId="27" xfId="0" applyFont="1" applyBorder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D78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352425</xdr:colOff>
      <xdr:row>44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B00A10-891D-804D-AC90-529C8B8D8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58425" cy="91186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1">
    <v>1</v>
    <v>5</v>
    <v>Free North Arrow, Download Free North Arrow png images, Free ClipArts on  Clipart Library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0473-ECEE-794C-8FDB-952D380FB34B}">
  <sheetPr>
    <tabColor rgb="FFFFFF00"/>
  </sheetPr>
  <dimension ref="A1:AH1032218"/>
  <sheetViews>
    <sheetView topLeftCell="A69" zoomScaleNormal="100" workbookViewId="0">
      <selection activeCell="I36" sqref="I36"/>
    </sheetView>
  </sheetViews>
  <sheetFormatPr baseColWidth="10" defaultRowHeight="16"/>
  <cols>
    <col min="1" max="1" width="28.1640625" style="9" customWidth="1"/>
    <col min="2" max="3" width="15.1640625" style="9" customWidth="1"/>
    <col min="4" max="4" width="14" style="9" customWidth="1"/>
    <col min="5" max="5" width="19.1640625" style="9" bestFit="1" customWidth="1"/>
    <col min="6" max="6" width="16.6640625" style="9" bestFit="1" customWidth="1"/>
    <col min="7" max="7" width="15" style="9" bestFit="1" customWidth="1"/>
    <col min="8" max="8" width="13.1640625" style="9" bestFit="1" customWidth="1"/>
    <col min="9" max="9" width="10.83203125" style="9"/>
    <col min="10" max="10" width="10.83203125" style="26"/>
    <col min="11" max="16384" width="10.83203125" style="9"/>
  </cols>
  <sheetData>
    <row r="1" spans="1:34">
      <c r="J1" s="86"/>
      <c r="K1" s="107" t="s">
        <v>461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</row>
    <row r="2" spans="1:34" s="38" customFormat="1">
      <c r="A2" s="83" t="s">
        <v>408</v>
      </c>
      <c r="B2" s="83">
        <v>2022</v>
      </c>
      <c r="C2" s="83" t="s">
        <v>409</v>
      </c>
      <c r="D2" s="87"/>
      <c r="E2" s="87"/>
      <c r="F2" s="83"/>
      <c r="G2" s="83"/>
      <c r="H2" s="83"/>
      <c r="J2" s="85"/>
      <c r="K2" s="39"/>
    </row>
    <row r="3" spans="1:34" s="38" customFormat="1">
      <c r="J3" s="104"/>
      <c r="K3" s="39" t="s">
        <v>1711</v>
      </c>
    </row>
    <row r="4" spans="1:34">
      <c r="A4" s="91" t="s">
        <v>485</v>
      </c>
      <c r="B4" s="92">
        <v>9</v>
      </c>
      <c r="C4" s="92" t="s">
        <v>410</v>
      </c>
      <c r="D4" s="92"/>
      <c r="E4" s="93"/>
      <c r="J4" s="86"/>
      <c r="K4" s="39"/>
    </row>
    <row r="5" spans="1:34">
      <c r="A5" s="94" t="s">
        <v>411</v>
      </c>
      <c r="B5" s="108">
        <v>24</v>
      </c>
      <c r="C5" s="9" t="s">
        <v>412</v>
      </c>
      <c r="E5" s="95"/>
      <c r="J5" s="86"/>
      <c r="K5" s="39" t="s">
        <v>462</v>
      </c>
    </row>
    <row r="6" spans="1:34">
      <c r="A6" s="94"/>
      <c r="B6" s="109" t="s">
        <v>257</v>
      </c>
      <c r="C6" s="38" t="s">
        <v>35</v>
      </c>
      <c r="D6" s="38" t="s">
        <v>36</v>
      </c>
      <c r="E6" s="95"/>
      <c r="J6" s="86"/>
      <c r="K6" s="39"/>
    </row>
    <row r="7" spans="1:34">
      <c r="A7" s="94" t="s">
        <v>415</v>
      </c>
      <c r="B7" s="110">
        <v>216</v>
      </c>
      <c r="C7" s="111">
        <v>72</v>
      </c>
      <c r="D7" s="112">
        <v>72</v>
      </c>
      <c r="E7" s="95"/>
      <c r="J7" s="86"/>
      <c r="K7" s="39" t="s">
        <v>484</v>
      </c>
    </row>
    <row r="8" spans="1:34">
      <c r="A8" s="94" t="s">
        <v>416</v>
      </c>
      <c r="B8" s="110">
        <v>1</v>
      </c>
      <c r="C8" s="111">
        <v>2</v>
      </c>
      <c r="D8" s="112">
        <v>2</v>
      </c>
      <c r="E8" s="95" t="s">
        <v>500</v>
      </c>
      <c r="J8" s="86"/>
      <c r="K8" s="39"/>
    </row>
    <row r="9" spans="1:34">
      <c r="A9" s="94" t="s">
        <v>418</v>
      </c>
      <c r="B9" s="110">
        <v>215</v>
      </c>
      <c r="C9" s="111">
        <v>70</v>
      </c>
      <c r="D9" s="112">
        <v>70</v>
      </c>
      <c r="E9" s="95"/>
      <c r="J9" s="86"/>
      <c r="K9" s="39" t="s">
        <v>463</v>
      </c>
    </row>
    <row r="10" spans="1:34">
      <c r="A10" s="94" t="s">
        <v>419</v>
      </c>
      <c r="B10" s="110">
        <v>8</v>
      </c>
      <c r="C10" s="111">
        <v>2</v>
      </c>
      <c r="D10" s="112">
        <v>2</v>
      </c>
      <c r="E10" s="95"/>
      <c r="J10" s="86"/>
      <c r="K10" s="39"/>
    </row>
    <row r="11" spans="1:34">
      <c r="A11" s="94" t="s">
        <v>1700</v>
      </c>
      <c r="B11" s="110">
        <v>3</v>
      </c>
      <c r="C11" s="111"/>
      <c r="D11" s="112"/>
      <c r="E11" s="95"/>
      <c r="J11" s="86"/>
      <c r="K11" s="39" t="s">
        <v>1701</v>
      </c>
    </row>
    <row r="12" spans="1:34">
      <c r="A12" s="100" t="s">
        <v>420</v>
      </c>
      <c r="B12" s="113">
        <v>226</v>
      </c>
      <c r="C12" s="114">
        <v>72</v>
      </c>
      <c r="D12" s="115">
        <v>72</v>
      </c>
      <c r="E12" s="102"/>
      <c r="J12" s="86"/>
      <c r="K12" s="39"/>
    </row>
    <row r="13" spans="1:34">
      <c r="J13" s="85"/>
      <c r="K13" s="39" t="s">
        <v>1702</v>
      </c>
    </row>
    <row r="14" spans="1:34" s="38" customFormat="1">
      <c r="A14" s="83" t="s">
        <v>408</v>
      </c>
      <c r="B14" s="83">
        <v>2023</v>
      </c>
      <c r="C14" s="83" t="s">
        <v>29</v>
      </c>
      <c r="D14" s="83"/>
      <c r="E14" s="83"/>
      <c r="F14" s="83"/>
      <c r="G14" s="83"/>
      <c r="H14" s="83"/>
      <c r="J14" s="86"/>
      <c r="K14" s="39" t="s">
        <v>417</v>
      </c>
    </row>
    <row r="15" spans="1:34" s="38" customFormat="1">
      <c r="J15" s="86"/>
      <c r="K15" s="39"/>
    </row>
    <row r="16" spans="1:34">
      <c r="A16" s="91" t="s">
        <v>485</v>
      </c>
      <c r="B16" s="92">
        <v>8</v>
      </c>
      <c r="C16" s="92" t="s">
        <v>421</v>
      </c>
      <c r="D16" s="92"/>
      <c r="E16" s="92"/>
      <c r="F16" s="92"/>
      <c r="G16" s="92"/>
      <c r="H16" s="93"/>
      <c r="J16" s="86"/>
      <c r="K16" s="39" t="s">
        <v>1703</v>
      </c>
    </row>
    <row r="17" spans="1:11">
      <c r="A17" s="94" t="s">
        <v>411</v>
      </c>
      <c r="B17" s="9">
        <f>36*2</f>
        <v>72</v>
      </c>
      <c r="C17" s="9" t="s">
        <v>422</v>
      </c>
      <c r="H17" s="95"/>
      <c r="J17" s="86"/>
      <c r="K17" s="39"/>
    </row>
    <row r="18" spans="1:11">
      <c r="A18" s="94" t="s">
        <v>413</v>
      </c>
      <c r="B18" s="116">
        <v>45104</v>
      </c>
      <c r="C18" s="9" t="s">
        <v>423</v>
      </c>
      <c r="H18" s="95"/>
      <c r="J18" s="86"/>
      <c r="K18" s="39" t="s">
        <v>1704</v>
      </c>
    </row>
    <row r="19" spans="1:11">
      <c r="A19" s="94" t="s">
        <v>414</v>
      </c>
      <c r="B19" s="9">
        <v>144</v>
      </c>
      <c r="C19" s="9" t="s">
        <v>425</v>
      </c>
      <c r="H19" s="95"/>
      <c r="J19" s="86"/>
      <c r="K19" s="39"/>
    </row>
    <row r="20" spans="1:11">
      <c r="A20" s="94"/>
      <c r="B20" s="109" t="s">
        <v>257</v>
      </c>
      <c r="C20" s="38" t="s">
        <v>35</v>
      </c>
      <c r="D20" s="38" t="s">
        <v>36</v>
      </c>
      <c r="H20" s="95"/>
      <c r="J20" s="86"/>
      <c r="K20" s="39" t="s">
        <v>1705</v>
      </c>
    </row>
    <row r="21" spans="1:11">
      <c r="A21" s="94" t="s">
        <v>415</v>
      </c>
      <c r="B21" s="110">
        <v>296</v>
      </c>
      <c r="C21" s="111">
        <v>116</v>
      </c>
      <c r="D21" s="112">
        <v>116</v>
      </c>
      <c r="E21" s="9" t="s">
        <v>429</v>
      </c>
      <c r="H21" s="95"/>
      <c r="J21" s="86"/>
      <c r="K21" s="39"/>
    </row>
    <row r="22" spans="1:11">
      <c r="A22" s="94" t="s">
        <v>416</v>
      </c>
      <c r="B22" s="110">
        <v>0</v>
      </c>
      <c r="C22" s="111">
        <v>1</v>
      </c>
      <c r="D22" s="112">
        <v>2</v>
      </c>
      <c r="E22" s="9" t="s">
        <v>501</v>
      </c>
      <c r="H22" s="95"/>
      <c r="J22" s="86"/>
      <c r="K22" s="39" t="s">
        <v>424</v>
      </c>
    </row>
    <row r="23" spans="1:11">
      <c r="A23" s="94" t="s">
        <v>418</v>
      </c>
      <c r="B23" s="110">
        <v>296</v>
      </c>
      <c r="C23" s="111">
        <v>115</v>
      </c>
      <c r="D23" s="112">
        <v>114</v>
      </c>
      <c r="H23" s="95"/>
      <c r="J23" s="86"/>
      <c r="K23" s="39"/>
    </row>
    <row r="24" spans="1:11">
      <c r="A24" s="94" t="s">
        <v>419</v>
      </c>
      <c r="B24" s="110">
        <v>3</v>
      </c>
      <c r="C24" s="111">
        <v>4</v>
      </c>
      <c r="D24" s="112">
        <v>4</v>
      </c>
      <c r="H24" s="95"/>
      <c r="J24" s="86"/>
      <c r="K24" s="39" t="s">
        <v>426</v>
      </c>
    </row>
    <row r="25" spans="1:11">
      <c r="A25" s="100" t="s">
        <v>420</v>
      </c>
      <c r="B25" s="113">
        <v>299</v>
      </c>
      <c r="C25" s="114">
        <v>119</v>
      </c>
      <c r="D25" s="115">
        <v>118</v>
      </c>
      <c r="E25" s="101"/>
      <c r="F25" s="101"/>
      <c r="G25" s="101"/>
      <c r="H25" s="102"/>
      <c r="J25" s="86"/>
      <c r="K25" s="39"/>
    </row>
    <row r="26" spans="1:11">
      <c r="J26" s="86"/>
      <c r="K26" s="39" t="s">
        <v>427</v>
      </c>
    </row>
    <row r="27" spans="1:11">
      <c r="J27" s="86"/>
      <c r="K27" s="39"/>
    </row>
    <row r="28" spans="1:11">
      <c r="A28" s="83" t="s">
        <v>436</v>
      </c>
      <c r="B28" s="84"/>
      <c r="C28" s="84"/>
      <c r="D28" s="84"/>
      <c r="E28" s="84"/>
      <c r="F28" s="84"/>
      <c r="G28" s="84"/>
      <c r="H28" s="84"/>
      <c r="J28" s="86"/>
      <c r="K28" s="39" t="s">
        <v>495</v>
      </c>
    </row>
    <row r="29" spans="1:11">
      <c r="J29" s="105"/>
      <c r="K29" s="39"/>
    </row>
    <row r="30" spans="1:11">
      <c r="A30" s="118" t="s">
        <v>1710</v>
      </c>
      <c r="B30" s="126"/>
      <c r="C30" s="127"/>
      <c r="E30" s="128" t="s">
        <v>27</v>
      </c>
      <c r="F30" s="129"/>
      <c r="G30" s="128"/>
      <c r="H30" s="128"/>
      <c r="J30" s="86"/>
      <c r="K30" s="39" t="s">
        <v>496</v>
      </c>
    </row>
    <row r="31" spans="1:11">
      <c r="A31" s="122" t="s">
        <v>505</v>
      </c>
      <c r="B31" s="123"/>
      <c r="C31" s="124"/>
      <c r="E31" s="122" t="s">
        <v>503</v>
      </c>
      <c r="F31" s="123"/>
      <c r="G31" s="123"/>
      <c r="H31" s="124"/>
      <c r="J31" s="86"/>
      <c r="K31" s="39"/>
    </row>
    <row r="32" spans="1:11">
      <c r="A32" s="39"/>
      <c r="E32" s="39"/>
      <c r="J32" s="86"/>
      <c r="K32" s="39" t="s">
        <v>428</v>
      </c>
    </row>
    <row r="33" spans="1:11">
      <c r="A33" s="9" t="s">
        <v>437</v>
      </c>
      <c r="E33" s="9" t="s">
        <v>437</v>
      </c>
      <c r="J33" s="86"/>
      <c r="K33" s="39"/>
    </row>
    <row r="34" spans="1:11">
      <c r="A34" s="96" t="s">
        <v>438</v>
      </c>
      <c r="B34" s="40" t="s">
        <v>439</v>
      </c>
      <c r="E34" s="96" t="s">
        <v>438</v>
      </c>
      <c r="F34" s="40" t="s">
        <v>439</v>
      </c>
      <c r="J34" s="105"/>
      <c r="K34" s="39" t="s">
        <v>1706</v>
      </c>
    </row>
    <row r="35" spans="1:11">
      <c r="A35" s="96" t="s">
        <v>440</v>
      </c>
      <c r="B35" s="40" t="s">
        <v>441</v>
      </c>
      <c r="E35" s="96" t="s">
        <v>440</v>
      </c>
      <c r="F35" s="40" t="s">
        <v>441</v>
      </c>
      <c r="J35" s="86"/>
      <c r="K35" s="39"/>
    </row>
    <row r="36" spans="1:11">
      <c r="A36" s="96" t="s">
        <v>442</v>
      </c>
      <c r="B36" s="40" t="s">
        <v>443</v>
      </c>
      <c r="E36" s="96" t="s">
        <v>442</v>
      </c>
      <c r="F36" s="40" t="s">
        <v>443</v>
      </c>
      <c r="J36" s="105"/>
      <c r="K36" s="39" t="s">
        <v>1707</v>
      </c>
    </row>
    <row r="37" spans="1:11">
      <c r="A37" s="96" t="s">
        <v>444</v>
      </c>
      <c r="B37" s="40" t="s">
        <v>445</v>
      </c>
      <c r="E37" s="96" t="s">
        <v>444</v>
      </c>
      <c r="F37" s="40" t="s">
        <v>445</v>
      </c>
      <c r="J37" s="86"/>
      <c r="K37" s="39"/>
    </row>
    <row r="38" spans="1:11">
      <c r="A38" s="96" t="s">
        <v>446</v>
      </c>
      <c r="B38" s="40" t="s">
        <v>447</v>
      </c>
      <c r="E38" s="96" t="s">
        <v>446</v>
      </c>
      <c r="F38" s="40" t="s">
        <v>447</v>
      </c>
      <c r="J38" s="86"/>
      <c r="K38" s="39" t="s">
        <v>1708</v>
      </c>
    </row>
    <row r="39" spans="1:11">
      <c r="A39" s="96" t="s">
        <v>448</v>
      </c>
      <c r="B39" s="40" t="s">
        <v>449</v>
      </c>
      <c r="E39" s="96" t="s">
        <v>448</v>
      </c>
      <c r="F39" s="40" t="s">
        <v>449</v>
      </c>
      <c r="J39" s="86"/>
      <c r="K39" s="39"/>
    </row>
    <row r="40" spans="1:11">
      <c r="A40" s="119"/>
      <c r="B40" s="39"/>
      <c r="E40" s="119"/>
      <c r="F40" s="39"/>
      <c r="J40" s="105"/>
      <c r="K40" s="39" t="s">
        <v>1709</v>
      </c>
    </row>
    <row r="41" spans="1:11">
      <c r="A41" s="120" t="s">
        <v>450</v>
      </c>
      <c r="E41" s="120" t="s">
        <v>450</v>
      </c>
      <c r="J41" s="86"/>
      <c r="K41" s="39"/>
    </row>
    <row r="42" spans="1:11">
      <c r="A42" s="40" t="s">
        <v>504</v>
      </c>
      <c r="B42" s="39"/>
      <c r="E42" s="40" t="s">
        <v>504</v>
      </c>
      <c r="F42" s="39"/>
      <c r="J42" s="86"/>
      <c r="K42" s="39" t="s">
        <v>464</v>
      </c>
    </row>
    <row r="43" spans="1:11">
      <c r="J43" s="86"/>
      <c r="K43" s="39"/>
    </row>
    <row r="44" spans="1:11">
      <c r="A44" s="120" t="s">
        <v>452</v>
      </c>
      <c r="B44" s="121"/>
      <c r="E44" s="2" t="s">
        <v>451</v>
      </c>
      <c r="F44" s="121"/>
      <c r="J44" s="86"/>
      <c r="K44" s="39" t="s">
        <v>465</v>
      </c>
    </row>
    <row r="45" spans="1:11">
      <c r="A45" s="96" t="s">
        <v>453</v>
      </c>
      <c r="B45" s="99" t="s">
        <v>454</v>
      </c>
      <c r="C45" s="2"/>
      <c r="E45" s="98" t="s">
        <v>36</v>
      </c>
      <c r="F45" s="121"/>
      <c r="J45" s="86"/>
      <c r="K45" s="39"/>
    </row>
    <row r="46" spans="1:11">
      <c r="A46" s="96" t="s">
        <v>455</v>
      </c>
      <c r="B46" s="99" t="s">
        <v>456</v>
      </c>
      <c r="E46" s="98" t="s">
        <v>35</v>
      </c>
      <c r="F46" s="121"/>
      <c r="J46" s="86"/>
      <c r="K46" s="39" t="s">
        <v>466</v>
      </c>
    </row>
    <row r="47" spans="1:11">
      <c r="A47" s="96" t="s">
        <v>457</v>
      </c>
      <c r="B47" s="99" t="s">
        <v>257</v>
      </c>
      <c r="E47" s="18"/>
      <c r="F47" s="121"/>
      <c r="J47" s="86"/>
      <c r="K47" s="39"/>
    </row>
    <row r="48" spans="1:11">
      <c r="C48" s="39"/>
      <c r="E48" s="120" t="s">
        <v>452</v>
      </c>
      <c r="F48" s="121"/>
      <c r="I48" s="39"/>
      <c r="J48" s="86"/>
      <c r="K48" s="39" t="s">
        <v>467</v>
      </c>
    </row>
    <row r="49" spans="1:11">
      <c r="A49" s="9" t="s">
        <v>502</v>
      </c>
      <c r="B49" s="121"/>
      <c r="E49" s="96" t="s">
        <v>453</v>
      </c>
      <c r="F49" s="99" t="s">
        <v>454</v>
      </c>
      <c r="I49" s="39"/>
      <c r="J49" s="86"/>
      <c r="K49" s="39"/>
    </row>
    <row r="50" spans="1:11">
      <c r="A50" s="97" t="s">
        <v>458</v>
      </c>
      <c r="B50" s="125"/>
      <c r="E50" s="96" t="s">
        <v>455</v>
      </c>
      <c r="F50" s="99" t="s">
        <v>456</v>
      </c>
      <c r="J50" s="86"/>
      <c r="K50" s="39" t="s">
        <v>468</v>
      </c>
    </row>
    <row r="51" spans="1:11">
      <c r="B51" s="121"/>
      <c r="E51" s="96" t="s">
        <v>457</v>
      </c>
      <c r="F51" s="99" t="s">
        <v>257</v>
      </c>
      <c r="J51" s="86"/>
      <c r="K51" s="39" t="s">
        <v>469</v>
      </c>
    </row>
    <row r="52" spans="1:11">
      <c r="A52" s="120" t="s">
        <v>459</v>
      </c>
      <c r="B52" s="121"/>
      <c r="E52" s="119"/>
      <c r="F52" s="121"/>
      <c r="J52" s="106"/>
      <c r="K52" s="39"/>
    </row>
    <row r="53" spans="1:11">
      <c r="A53" s="40" t="s">
        <v>460</v>
      </c>
      <c r="B53" s="39"/>
      <c r="E53" s="9" t="s">
        <v>502</v>
      </c>
      <c r="F53" s="121"/>
      <c r="J53" s="86"/>
      <c r="K53" s="39" t="s">
        <v>470</v>
      </c>
    </row>
    <row r="54" spans="1:11">
      <c r="E54" s="130" t="s">
        <v>458</v>
      </c>
      <c r="F54" s="131"/>
      <c r="G54" s="125"/>
      <c r="J54" s="106"/>
      <c r="K54" s="39" t="s">
        <v>494</v>
      </c>
    </row>
    <row r="55" spans="1:11">
      <c r="F55" s="121"/>
      <c r="J55" s="86"/>
      <c r="K55" s="39"/>
    </row>
    <row r="56" spans="1:11">
      <c r="E56" s="120" t="s">
        <v>459</v>
      </c>
      <c r="F56" s="121"/>
      <c r="I56" s="39"/>
      <c r="J56" s="86"/>
      <c r="K56" s="39" t="s">
        <v>471</v>
      </c>
    </row>
    <row r="57" spans="1:11">
      <c r="E57" s="132" t="s">
        <v>460</v>
      </c>
      <c r="F57" s="133"/>
      <c r="G57" s="39"/>
      <c r="I57"/>
      <c r="J57" s="86"/>
      <c r="K57" s="39"/>
    </row>
    <row r="58" spans="1:11">
      <c r="F58" s="121"/>
      <c r="J58" s="86"/>
      <c r="K58" s="39" t="s">
        <v>23</v>
      </c>
    </row>
    <row r="59" spans="1:11">
      <c r="J59" s="86"/>
      <c r="K59" s="39"/>
    </row>
    <row r="60" spans="1:11">
      <c r="J60" s="86"/>
      <c r="K60" s="39" t="s">
        <v>472</v>
      </c>
    </row>
    <row r="61" spans="1:11">
      <c r="J61" s="86"/>
      <c r="K61" s="39"/>
    </row>
    <row r="62" spans="1:11">
      <c r="J62" s="106"/>
      <c r="K62" s="39" t="s">
        <v>499</v>
      </c>
    </row>
    <row r="63" spans="1:11">
      <c r="J63" s="86"/>
      <c r="K63" s="39"/>
    </row>
    <row r="64" spans="1:11">
      <c r="J64" s="106"/>
      <c r="K64" s="37" t="s">
        <v>498</v>
      </c>
    </row>
    <row r="65" spans="10:11">
      <c r="J65" s="86"/>
      <c r="K65" s="39"/>
    </row>
    <row r="66" spans="10:11">
      <c r="J66" s="104"/>
      <c r="K66" s="37" t="s">
        <v>497</v>
      </c>
    </row>
    <row r="67" spans="10:11">
      <c r="J67" s="86"/>
      <c r="K67" s="39"/>
    </row>
    <row r="68" spans="10:11">
      <c r="J68" s="86"/>
      <c r="K68" s="39" t="s">
        <v>473</v>
      </c>
    </row>
    <row r="69" spans="10:11">
      <c r="J69" s="86"/>
      <c r="K69" s="39"/>
    </row>
    <row r="70" spans="10:11">
      <c r="J70" s="104"/>
      <c r="K70" s="39" t="s">
        <v>474</v>
      </c>
    </row>
    <row r="71" spans="10:11">
      <c r="J71" s="86"/>
      <c r="K71" s="39"/>
    </row>
    <row r="72" spans="10:11">
      <c r="J72" s="86"/>
      <c r="K72" s="39" t="s">
        <v>183</v>
      </c>
    </row>
    <row r="73" spans="10:11">
      <c r="J73" s="105"/>
      <c r="K73" s="39"/>
    </row>
    <row r="74" spans="10:11">
      <c r="J74" s="86"/>
      <c r="K74" s="39" t="s">
        <v>475</v>
      </c>
    </row>
    <row r="75" spans="10:11">
      <c r="J75" s="86"/>
      <c r="K75" s="39"/>
    </row>
    <row r="76" spans="10:11">
      <c r="J76" s="86"/>
      <c r="K76" s="39" t="s">
        <v>182</v>
      </c>
    </row>
    <row r="77" spans="10:11">
      <c r="J77" s="86"/>
      <c r="K77" s="39"/>
    </row>
    <row r="78" spans="10:11">
      <c r="J78" s="104"/>
      <c r="K78" s="39" t="s">
        <v>476</v>
      </c>
    </row>
    <row r="79" spans="10:11">
      <c r="J79" s="86"/>
      <c r="K79" s="39"/>
    </row>
    <row r="80" spans="10:11">
      <c r="J80" s="104"/>
      <c r="K80" s="39" t="s">
        <v>26</v>
      </c>
    </row>
    <row r="81" spans="10:11">
      <c r="J81" s="86"/>
      <c r="K81" s="39"/>
    </row>
    <row r="82" spans="10:11">
      <c r="J82" s="86"/>
      <c r="K82" s="39" t="s">
        <v>477</v>
      </c>
    </row>
    <row r="83" spans="10:11">
      <c r="J83" s="86"/>
      <c r="K83" s="39"/>
    </row>
    <row r="84" spans="10:11">
      <c r="J84" s="9"/>
      <c r="K84" s="39" t="s">
        <v>478</v>
      </c>
    </row>
    <row r="85" spans="10:11">
      <c r="J85" s="9"/>
      <c r="K85" s="39"/>
    </row>
    <row r="86" spans="10:11">
      <c r="J86" s="1"/>
      <c r="K86" s="39" t="s">
        <v>479</v>
      </c>
    </row>
    <row r="87" spans="10:11">
      <c r="J87" s="9"/>
      <c r="K87" s="39"/>
    </row>
    <row r="88" spans="10:11">
      <c r="J88" s="1"/>
      <c r="K88" s="39" t="s">
        <v>480</v>
      </c>
    </row>
    <row r="89" spans="10:11">
      <c r="J89" s="4"/>
      <c r="K89" s="39"/>
    </row>
    <row r="90" spans="10:11">
      <c r="J90" s="5"/>
      <c r="K90" s="39" t="s">
        <v>481</v>
      </c>
    </row>
    <row r="91" spans="10:11">
      <c r="J91" s="5"/>
    </row>
    <row r="92" spans="10:11">
      <c r="J92" s="5"/>
    </row>
    <row r="93" spans="10:11">
      <c r="J93" s="5"/>
    </row>
    <row r="94" spans="10:11">
      <c r="J94" s="1"/>
    </row>
    <row r="95" spans="10:11">
      <c r="J95" s="1"/>
    </row>
    <row r="96" spans="10:11">
      <c r="J96" s="1"/>
    </row>
    <row r="97" spans="10:10">
      <c r="J97" s="1"/>
    </row>
    <row r="98" spans="10:10">
      <c r="J98" s="1"/>
    </row>
    <row r="16385" spans="10:10">
      <c r="J16385" s="1"/>
    </row>
    <row r="16386" spans="10:10">
      <c r="J16386" s="24"/>
    </row>
    <row r="16387" spans="10:10">
      <c r="J16387" s="24"/>
    </row>
    <row r="16388" spans="10:10">
      <c r="J16388" s="24"/>
    </row>
    <row r="16389" spans="10:10">
      <c r="J16389" s="24"/>
    </row>
    <row r="16390" spans="10:10">
      <c r="J16390" s="25"/>
    </row>
    <row r="16391" spans="10:10">
      <c r="J16391" s="25"/>
    </row>
    <row r="16392" spans="10:10">
      <c r="J16392" s="25"/>
    </row>
    <row r="16393" spans="10:10">
      <c r="J16393" s="25"/>
    </row>
    <row r="16394" spans="10:10">
      <c r="J16394" s="1"/>
    </row>
    <row r="16395" spans="10:10">
      <c r="J16395" s="1"/>
    </row>
    <row r="16396" spans="10:10">
      <c r="J16396" s="24"/>
    </row>
    <row r="16397" spans="10:10">
      <c r="J16397" s="1"/>
    </row>
    <row r="16398" spans="10:10">
      <c r="J16398" s="1"/>
    </row>
    <row r="16399" spans="10:10">
      <c r="J16399" s="1"/>
    </row>
    <row r="16400" spans="10:10">
      <c r="J16400" s="1"/>
    </row>
    <row r="16401" spans="10:10">
      <c r="J16401" s="4"/>
    </row>
    <row r="16402" spans="10:10">
      <c r="J16402" s="5"/>
    </row>
    <row r="16403" spans="10:10">
      <c r="J16403" s="5"/>
    </row>
    <row r="16404" spans="10:10">
      <c r="J16404" s="5"/>
    </row>
    <row r="16405" spans="10:10">
      <c r="J16405" s="5"/>
    </row>
    <row r="16406" spans="10:10">
      <c r="J16406" s="1"/>
    </row>
    <row r="16407" spans="10:10">
      <c r="J16407" s="1"/>
    </row>
    <row r="16408" spans="10:10">
      <c r="J16408" s="1"/>
    </row>
    <row r="16409" spans="10:10">
      <c r="J16409" s="1"/>
    </row>
    <row r="16410" spans="10:10">
      <c r="J16410" s="1"/>
    </row>
    <row r="32769" spans="10:10">
      <c r="J32769" s="1"/>
    </row>
    <row r="32770" spans="10:10">
      <c r="J32770" s="24"/>
    </row>
    <row r="32771" spans="10:10">
      <c r="J32771" s="24"/>
    </row>
    <row r="32772" spans="10:10">
      <c r="J32772" s="24"/>
    </row>
    <row r="32773" spans="10:10">
      <c r="J32773" s="24"/>
    </row>
    <row r="32774" spans="10:10">
      <c r="J32774" s="25"/>
    </row>
    <row r="32775" spans="10:10">
      <c r="J32775" s="25"/>
    </row>
    <row r="32776" spans="10:10">
      <c r="J32776" s="25"/>
    </row>
    <row r="32777" spans="10:10">
      <c r="J32777" s="25"/>
    </row>
    <row r="32778" spans="10:10">
      <c r="J32778" s="1"/>
    </row>
    <row r="32779" spans="10:10">
      <c r="J32779" s="1"/>
    </row>
    <row r="32780" spans="10:10">
      <c r="J32780" s="24"/>
    </row>
    <row r="32781" spans="10:10">
      <c r="J32781" s="1"/>
    </row>
    <row r="32782" spans="10:10">
      <c r="J32782" s="1"/>
    </row>
    <row r="32783" spans="10:10">
      <c r="J32783" s="1"/>
    </row>
    <row r="32784" spans="10:10">
      <c r="J32784" s="1"/>
    </row>
    <row r="32785" spans="10:10">
      <c r="J32785" s="4"/>
    </row>
    <row r="32786" spans="10:10">
      <c r="J32786" s="5"/>
    </row>
    <row r="32787" spans="10:10">
      <c r="J32787" s="5"/>
    </row>
    <row r="32788" spans="10:10">
      <c r="J32788" s="5"/>
    </row>
    <row r="32789" spans="10:10">
      <c r="J32789" s="5"/>
    </row>
    <row r="32790" spans="10:10">
      <c r="J32790" s="1"/>
    </row>
    <row r="32791" spans="10:10">
      <c r="J32791" s="1"/>
    </row>
    <row r="32792" spans="10:10">
      <c r="J32792" s="1"/>
    </row>
    <row r="32793" spans="10:10">
      <c r="J32793" s="1"/>
    </row>
    <row r="32794" spans="10:10">
      <c r="J32794" s="1"/>
    </row>
    <row r="49153" spans="10:10">
      <c r="J49153" s="1"/>
    </row>
    <row r="49154" spans="10:10">
      <c r="J49154" s="24"/>
    </row>
    <row r="49155" spans="10:10">
      <c r="J49155" s="24"/>
    </row>
    <row r="49156" spans="10:10">
      <c r="J49156" s="24"/>
    </row>
    <row r="49157" spans="10:10">
      <c r="J49157" s="24"/>
    </row>
    <row r="49158" spans="10:10">
      <c r="J49158" s="25"/>
    </row>
    <row r="49159" spans="10:10">
      <c r="J49159" s="25"/>
    </row>
    <row r="49160" spans="10:10">
      <c r="J49160" s="25"/>
    </row>
    <row r="49161" spans="10:10">
      <c r="J49161" s="25"/>
    </row>
    <row r="49162" spans="10:10">
      <c r="J49162" s="1"/>
    </row>
    <row r="49163" spans="10:10">
      <c r="J49163" s="1"/>
    </row>
    <row r="49164" spans="10:10">
      <c r="J49164" s="24"/>
    </row>
    <row r="49165" spans="10:10">
      <c r="J49165" s="1"/>
    </row>
    <row r="49166" spans="10:10">
      <c r="J49166" s="1"/>
    </row>
    <row r="49167" spans="10:10">
      <c r="J49167" s="1"/>
    </row>
    <row r="49168" spans="10:10">
      <c r="J49168" s="1"/>
    </row>
    <row r="49169" spans="10:10">
      <c r="J49169" s="4"/>
    </row>
    <row r="49170" spans="10:10">
      <c r="J49170" s="5"/>
    </row>
    <row r="49171" spans="10:10">
      <c r="J49171" s="5"/>
    </row>
    <row r="49172" spans="10:10">
      <c r="J49172" s="5"/>
    </row>
    <row r="49173" spans="10:10">
      <c r="J49173" s="5"/>
    </row>
    <row r="49174" spans="10:10">
      <c r="J49174" s="1"/>
    </row>
    <row r="49175" spans="10:10">
      <c r="J49175" s="1"/>
    </row>
    <row r="49176" spans="10:10">
      <c r="J49176" s="1"/>
    </row>
    <row r="49177" spans="10:10">
      <c r="J49177" s="1"/>
    </row>
    <row r="49178" spans="10:10">
      <c r="J49178" s="1"/>
    </row>
    <row r="65537" spans="10:10">
      <c r="J65537" s="1"/>
    </row>
    <row r="65538" spans="10:10">
      <c r="J65538" s="24"/>
    </row>
    <row r="65539" spans="10:10">
      <c r="J65539" s="24"/>
    </row>
    <row r="65540" spans="10:10">
      <c r="J65540" s="24"/>
    </row>
    <row r="65541" spans="10:10">
      <c r="J65541" s="24"/>
    </row>
    <row r="65542" spans="10:10">
      <c r="J65542" s="25"/>
    </row>
    <row r="65543" spans="10:10">
      <c r="J65543" s="25"/>
    </row>
    <row r="65544" spans="10:10">
      <c r="J65544" s="25"/>
    </row>
    <row r="65545" spans="10:10">
      <c r="J65545" s="25"/>
    </row>
    <row r="65546" spans="10:10">
      <c r="J65546" s="1"/>
    </row>
    <row r="65547" spans="10:10">
      <c r="J65547" s="1"/>
    </row>
    <row r="65548" spans="10:10">
      <c r="J65548" s="24"/>
    </row>
    <row r="65549" spans="10:10">
      <c r="J65549" s="1"/>
    </row>
    <row r="65550" spans="10:10">
      <c r="J65550" s="1"/>
    </row>
    <row r="65551" spans="10:10">
      <c r="J65551" s="1"/>
    </row>
    <row r="65552" spans="10:10">
      <c r="J65552" s="1"/>
    </row>
    <row r="65553" spans="10:10">
      <c r="J65553" s="4"/>
    </row>
    <row r="65554" spans="10:10">
      <c r="J65554" s="5"/>
    </row>
    <row r="65555" spans="10:10">
      <c r="J65555" s="5"/>
    </row>
    <row r="65556" spans="10:10">
      <c r="J65556" s="5"/>
    </row>
    <row r="65557" spans="10:10">
      <c r="J65557" s="5"/>
    </row>
    <row r="65558" spans="10:10">
      <c r="J65558" s="1"/>
    </row>
    <row r="65559" spans="10:10">
      <c r="J65559" s="1"/>
    </row>
    <row r="65560" spans="10:10">
      <c r="J65560" s="1"/>
    </row>
    <row r="65561" spans="10:10">
      <c r="J65561" s="1"/>
    </row>
    <row r="65562" spans="10:10">
      <c r="J65562" s="1"/>
    </row>
    <row r="81921" spans="10:10">
      <c r="J81921" s="1"/>
    </row>
    <row r="81922" spans="10:10">
      <c r="J81922" s="24"/>
    </row>
    <row r="81923" spans="10:10">
      <c r="J81923" s="24"/>
    </row>
    <row r="81924" spans="10:10">
      <c r="J81924" s="24"/>
    </row>
    <row r="81925" spans="10:10">
      <c r="J81925" s="24"/>
    </row>
    <row r="81926" spans="10:10">
      <c r="J81926" s="25"/>
    </row>
    <row r="81927" spans="10:10">
      <c r="J81927" s="25"/>
    </row>
    <row r="81928" spans="10:10">
      <c r="J81928" s="25"/>
    </row>
    <row r="81929" spans="10:10">
      <c r="J81929" s="25"/>
    </row>
    <row r="81930" spans="10:10">
      <c r="J81930" s="1"/>
    </row>
    <row r="81931" spans="10:10">
      <c r="J81931" s="1"/>
    </row>
    <row r="81932" spans="10:10">
      <c r="J81932" s="24"/>
    </row>
    <row r="81933" spans="10:10">
      <c r="J81933" s="1"/>
    </row>
    <row r="81934" spans="10:10">
      <c r="J81934" s="1"/>
    </row>
    <row r="81935" spans="10:10">
      <c r="J81935" s="1"/>
    </row>
    <row r="81936" spans="10:10">
      <c r="J81936" s="1"/>
    </row>
    <row r="81937" spans="10:10">
      <c r="J81937" s="4"/>
    </row>
    <row r="81938" spans="10:10">
      <c r="J81938" s="5"/>
    </row>
    <row r="81939" spans="10:10">
      <c r="J81939" s="5"/>
    </row>
    <row r="81940" spans="10:10">
      <c r="J81940" s="5"/>
    </row>
    <row r="81941" spans="10:10">
      <c r="J81941" s="5"/>
    </row>
    <row r="81942" spans="10:10">
      <c r="J81942" s="1"/>
    </row>
    <row r="81943" spans="10:10">
      <c r="J81943" s="1"/>
    </row>
    <row r="81944" spans="10:10">
      <c r="J81944" s="1"/>
    </row>
    <row r="81945" spans="10:10">
      <c r="J81945" s="1"/>
    </row>
    <row r="81946" spans="10:10">
      <c r="J81946" s="1"/>
    </row>
    <row r="98305" spans="10:10">
      <c r="J98305" s="1"/>
    </row>
    <row r="98306" spans="10:10">
      <c r="J98306" s="24"/>
    </row>
    <row r="98307" spans="10:10">
      <c r="J98307" s="24"/>
    </row>
    <row r="98308" spans="10:10">
      <c r="J98308" s="24"/>
    </row>
    <row r="98309" spans="10:10">
      <c r="J98309" s="24"/>
    </row>
    <row r="98310" spans="10:10">
      <c r="J98310" s="25"/>
    </row>
    <row r="98311" spans="10:10">
      <c r="J98311" s="25"/>
    </row>
    <row r="98312" spans="10:10">
      <c r="J98312" s="25"/>
    </row>
    <row r="98313" spans="10:10">
      <c r="J98313" s="25"/>
    </row>
    <row r="98314" spans="10:10">
      <c r="J98314" s="1"/>
    </row>
    <row r="98315" spans="10:10">
      <c r="J98315" s="1"/>
    </row>
    <row r="98316" spans="10:10">
      <c r="J98316" s="24"/>
    </row>
    <row r="98317" spans="10:10">
      <c r="J98317" s="1"/>
    </row>
    <row r="98318" spans="10:10">
      <c r="J98318" s="1"/>
    </row>
    <row r="98319" spans="10:10">
      <c r="J98319" s="1"/>
    </row>
    <row r="98320" spans="10:10">
      <c r="J98320" s="1"/>
    </row>
    <row r="98321" spans="10:10">
      <c r="J98321" s="4"/>
    </row>
    <row r="98322" spans="10:10">
      <c r="J98322" s="5"/>
    </row>
    <row r="98323" spans="10:10">
      <c r="J98323" s="5"/>
    </row>
    <row r="98324" spans="10:10">
      <c r="J98324" s="5"/>
    </row>
    <row r="98325" spans="10:10">
      <c r="J98325" s="5"/>
    </row>
    <row r="98326" spans="10:10">
      <c r="J98326" s="1"/>
    </row>
    <row r="98327" spans="10:10">
      <c r="J98327" s="1"/>
    </row>
    <row r="98328" spans="10:10">
      <c r="J98328" s="1"/>
    </row>
    <row r="98329" spans="10:10">
      <c r="J98329" s="1"/>
    </row>
    <row r="98330" spans="10:10">
      <c r="J98330" s="1"/>
    </row>
    <row r="114689" spans="10:10">
      <c r="J114689" s="1"/>
    </row>
    <row r="114690" spans="10:10">
      <c r="J114690" s="24"/>
    </row>
    <row r="114691" spans="10:10">
      <c r="J114691" s="24"/>
    </row>
    <row r="114692" spans="10:10">
      <c r="J114692" s="24"/>
    </row>
    <row r="114693" spans="10:10">
      <c r="J114693" s="24"/>
    </row>
    <row r="114694" spans="10:10">
      <c r="J114694" s="25"/>
    </row>
    <row r="114695" spans="10:10">
      <c r="J114695" s="25"/>
    </row>
    <row r="114696" spans="10:10">
      <c r="J114696" s="25"/>
    </row>
    <row r="114697" spans="10:10">
      <c r="J114697" s="25"/>
    </row>
    <row r="114698" spans="10:10">
      <c r="J114698" s="1"/>
    </row>
    <row r="114699" spans="10:10">
      <c r="J114699" s="1"/>
    </row>
    <row r="114700" spans="10:10">
      <c r="J114700" s="24"/>
    </row>
    <row r="114701" spans="10:10">
      <c r="J114701" s="1"/>
    </row>
    <row r="114702" spans="10:10">
      <c r="J114702" s="1"/>
    </row>
    <row r="114703" spans="10:10">
      <c r="J114703" s="1"/>
    </row>
    <row r="114704" spans="10:10">
      <c r="J114704" s="1"/>
    </row>
    <row r="114705" spans="10:10">
      <c r="J114705" s="4"/>
    </row>
    <row r="114706" spans="10:10">
      <c r="J114706" s="5"/>
    </row>
    <row r="114707" spans="10:10">
      <c r="J114707" s="5"/>
    </row>
    <row r="114708" spans="10:10">
      <c r="J114708" s="5"/>
    </row>
    <row r="114709" spans="10:10">
      <c r="J114709" s="5"/>
    </row>
    <row r="114710" spans="10:10">
      <c r="J114710" s="1"/>
    </row>
    <row r="114711" spans="10:10">
      <c r="J114711" s="1"/>
    </row>
    <row r="114712" spans="10:10">
      <c r="J114712" s="1"/>
    </row>
    <row r="114713" spans="10:10">
      <c r="J114713" s="1"/>
    </row>
    <row r="114714" spans="10:10">
      <c r="J114714" s="1"/>
    </row>
    <row r="131073" spans="10:10">
      <c r="J131073" s="1"/>
    </row>
    <row r="131074" spans="10:10">
      <c r="J131074" s="24"/>
    </row>
    <row r="131075" spans="10:10">
      <c r="J131075" s="24"/>
    </row>
    <row r="131076" spans="10:10">
      <c r="J131076" s="24"/>
    </row>
    <row r="131077" spans="10:10">
      <c r="J131077" s="24"/>
    </row>
    <row r="131078" spans="10:10">
      <c r="J131078" s="25"/>
    </row>
    <row r="131079" spans="10:10">
      <c r="J131079" s="25"/>
    </row>
    <row r="131080" spans="10:10">
      <c r="J131080" s="25"/>
    </row>
    <row r="131081" spans="10:10">
      <c r="J131081" s="25"/>
    </row>
    <row r="131082" spans="10:10">
      <c r="J131082" s="1"/>
    </row>
    <row r="131083" spans="10:10">
      <c r="J131083" s="1"/>
    </row>
    <row r="131084" spans="10:10">
      <c r="J131084" s="24"/>
    </row>
    <row r="131085" spans="10:10">
      <c r="J131085" s="1"/>
    </row>
    <row r="131086" spans="10:10">
      <c r="J131086" s="1"/>
    </row>
    <row r="131087" spans="10:10">
      <c r="J131087" s="1"/>
    </row>
    <row r="131088" spans="10:10">
      <c r="J131088" s="1"/>
    </row>
    <row r="131089" spans="10:10">
      <c r="J131089" s="4"/>
    </row>
    <row r="131090" spans="10:10">
      <c r="J131090" s="5"/>
    </row>
    <row r="131091" spans="10:10">
      <c r="J131091" s="5"/>
    </row>
    <row r="131092" spans="10:10">
      <c r="J131092" s="5"/>
    </row>
    <row r="131093" spans="10:10">
      <c r="J131093" s="5"/>
    </row>
    <row r="131094" spans="10:10">
      <c r="J131094" s="1"/>
    </row>
    <row r="131095" spans="10:10">
      <c r="J131095" s="1"/>
    </row>
    <row r="131096" spans="10:10">
      <c r="J131096" s="1"/>
    </row>
    <row r="131097" spans="10:10">
      <c r="J131097" s="1"/>
    </row>
    <row r="131098" spans="10:10">
      <c r="J131098" s="1"/>
    </row>
    <row r="147457" spans="10:10">
      <c r="J147457" s="1"/>
    </row>
    <row r="147458" spans="10:10">
      <c r="J147458" s="24"/>
    </row>
    <row r="147459" spans="10:10">
      <c r="J147459" s="24"/>
    </row>
    <row r="147460" spans="10:10">
      <c r="J147460" s="24"/>
    </row>
    <row r="147461" spans="10:10">
      <c r="J147461" s="24"/>
    </row>
    <row r="147462" spans="10:10">
      <c r="J147462" s="25"/>
    </row>
    <row r="147463" spans="10:10">
      <c r="J147463" s="25"/>
    </row>
    <row r="147464" spans="10:10">
      <c r="J147464" s="25"/>
    </row>
    <row r="147465" spans="10:10">
      <c r="J147465" s="25"/>
    </row>
    <row r="147466" spans="10:10">
      <c r="J147466" s="1"/>
    </row>
    <row r="147467" spans="10:10">
      <c r="J147467" s="1"/>
    </row>
    <row r="147468" spans="10:10">
      <c r="J147468" s="24"/>
    </row>
    <row r="147469" spans="10:10">
      <c r="J147469" s="1"/>
    </row>
    <row r="147470" spans="10:10">
      <c r="J147470" s="1"/>
    </row>
    <row r="147471" spans="10:10">
      <c r="J147471" s="1"/>
    </row>
    <row r="147472" spans="10:10">
      <c r="J147472" s="1"/>
    </row>
    <row r="147473" spans="10:10">
      <c r="J147473" s="4"/>
    </row>
    <row r="147474" spans="10:10">
      <c r="J147474" s="5"/>
    </row>
    <row r="147475" spans="10:10">
      <c r="J147475" s="5"/>
    </row>
    <row r="147476" spans="10:10">
      <c r="J147476" s="5"/>
    </row>
    <row r="147477" spans="10:10">
      <c r="J147477" s="5"/>
    </row>
    <row r="147478" spans="10:10">
      <c r="J147478" s="1"/>
    </row>
    <row r="147479" spans="10:10">
      <c r="J147479" s="1"/>
    </row>
    <row r="147480" spans="10:10">
      <c r="J147480" s="1"/>
    </row>
    <row r="147481" spans="10:10">
      <c r="J147481" s="1"/>
    </row>
    <row r="147482" spans="10:10">
      <c r="J147482" s="1"/>
    </row>
    <row r="163841" spans="10:10">
      <c r="J163841" s="1"/>
    </row>
    <row r="163842" spans="10:10">
      <c r="J163842" s="24"/>
    </row>
    <row r="163843" spans="10:10">
      <c r="J163843" s="24"/>
    </row>
    <row r="163844" spans="10:10">
      <c r="J163844" s="24"/>
    </row>
    <row r="163845" spans="10:10">
      <c r="J163845" s="24"/>
    </row>
    <row r="163846" spans="10:10">
      <c r="J163846" s="25"/>
    </row>
    <row r="163847" spans="10:10">
      <c r="J163847" s="25"/>
    </row>
    <row r="163848" spans="10:10">
      <c r="J163848" s="25"/>
    </row>
    <row r="163849" spans="10:10">
      <c r="J163849" s="25"/>
    </row>
    <row r="163850" spans="10:10">
      <c r="J163850" s="1"/>
    </row>
    <row r="163851" spans="10:10">
      <c r="J163851" s="1"/>
    </row>
    <row r="163852" spans="10:10">
      <c r="J163852" s="24"/>
    </row>
    <row r="163853" spans="10:10">
      <c r="J163853" s="1"/>
    </row>
    <row r="163854" spans="10:10">
      <c r="J163854" s="1"/>
    </row>
    <row r="163855" spans="10:10">
      <c r="J163855" s="1"/>
    </row>
    <row r="163856" spans="10:10">
      <c r="J163856" s="1"/>
    </row>
    <row r="163857" spans="10:10">
      <c r="J163857" s="4"/>
    </row>
    <row r="163858" spans="10:10">
      <c r="J163858" s="5"/>
    </row>
    <row r="163859" spans="10:10">
      <c r="J163859" s="5"/>
    </row>
    <row r="163860" spans="10:10">
      <c r="J163860" s="5"/>
    </row>
    <row r="163861" spans="10:10">
      <c r="J163861" s="5"/>
    </row>
    <row r="163862" spans="10:10">
      <c r="J163862" s="1"/>
    </row>
    <row r="163863" spans="10:10">
      <c r="J163863" s="1"/>
    </row>
    <row r="163864" spans="10:10">
      <c r="J163864" s="1"/>
    </row>
    <row r="163865" spans="10:10">
      <c r="J163865" s="1"/>
    </row>
    <row r="163866" spans="10:10">
      <c r="J163866" s="1"/>
    </row>
    <row r="180225" spans="10:10">
      <c r="J180225" s="1"/>
    </row>
    <row r="180226" spans="10:10">
      <c r="J180226" s="24"/>
    </row>
    <row r="180227" spans="10:10">
      <c r="J180227" s="24"/>
    </row>
    <row r="180228" spans="10:10">
      <c r="J180228" s="24"/>
    </row>
    <row r="180229" spans="10:10">
      <c r="J180229" s="24"/>
    </row>
    <row r="180230" spans="10:10">
      <c r="J180230" s="25"/>
    </row>
    <row r="180231" spans="10:10">
      <c r="J180231" s="25"/>
    </row>
    <row r="180232" spans="10:10">
      <c r="J180232" s="25"/>
    </row>
    <row r="180233" spans="10:10">
      <c r="J180233" s="25"/>
    </row>
    <row r="180234" spans="10:10">
      <c r="J180234" s="1"/>
    </row>
    <row r="180235" spans="10:10">
      <c r="J180235" s="1"/>
    </row>
    <row r="180236" spans="10:10">
      <c r="J180236" s="24"/>
    </row>
    <row r="180237" spans="10:10">
      <c r="J180237" s="1"/>
    </row>
    <row r="180238" spans="10:10">
      <c r="J180238" s="1"/>
    </row>
    <row r="180239" spans="10:10">
      <c r="J180239" s="1"/>
    </row>
    <row r="180240" spans="10:10">
      <c r="J180240" s="1"/>
    </row>
    <row r="180241" spans="10:10">
      <c r="J180241" s="4"/>
    </row>
    <row r="180242" spans="10:10">
      <c r="J180242" s="5"/>
    </row>
    <row r="180243" spans="10:10">
      <c r="J180243" s="5"/>
    </row>
    <row r="180244" spans="10:10">
      <c r="J180244" s="5"/>
    </row>
    <row r="180245" spans="10:10">
      <c r="J180245" s="5"/>
    </row>
    <row r="180246" spans="10:10">
      <c r="J180246" s="1"/>
    </row>
    <row r="180247" spans="10:10">
      <c r="J180247" s="1"/>
    </row>
    <row r="180248" spans="10:10">
      <c r="J180248" s="1"/>
    </row>
    <row r="180249" spans="10:10">
      <c r="J180249" s="1"/>
    </row>
    <row r="180250" spans="10:10">
      <c r="J180250" s="1"/>
    </row>
    <row r="196609" spans="10:10">
      <c r="J196609" s="1"/>
    </row>
    <row r="196610" spans="10:10">
      <c r="J196610" s="24"/>
    </row>
    <row r="196611" spans="10:10">
      <c r="J196611" s="24"/>
    </row>
    <row r="196612" spans="10:10">
      <c r="J196612" s="24"/>
    </row>
    <row r="196613" spans="10:10">
      <c r="J196613" s="24"/>
    </row>
    <row r="196614" spans="10:10">
      <c r="J196614" s="25"/>
    </row>
    <row r="196615" spans="10:10">
      <c r="J196615" s="25"/>
    </row>
    <row r="196616" spans="10:10">
      <c r="J196616" s="25"/>
    </row>
    <row r="196617" spans="10:10">
      <c r="J196617" s="25"/>
    </row>
    <row r="196618" spans="10:10">
      <c r="J196618" s="1"/>
    </row>
    <row r="196619" spans="10:10">
      <c r="J196619" s="1"/>
    </row>
    <row r="196620" spans="10:10">
      <c r="J196620" s="24"/>
    </row>
    <row r="196621" spans="10:10">
      <c r="J196621" s="1"/>
    </row>
    <row r="196622" spans="10:10">
      <c r="J196622" s="1"/>
    </row>
    <row r="196623" spans="10:10">
      <c r="J196623" s="1"/>
    </row>
    <row r="196624" spans="10:10">
      <c r="J196624" s="1"/>
    </row>
    <row r="196625" spans="10:10">
      <c r="J196625" s="4"/>
    </row>
    <row r="196626" spans="10:10">
      <c r="J196626" s="5"/>
    </row>
    <row r="196627" spans="10:10">
      <c r="J196627" s="5"/>
    </row>
    <row r="196628" spans="10:10">
      <c r="J196628" s="5"/>
    </row>
    <row r="196629" spans="10:10">
      <c r="J196629" s="5"/>
    </row>
    <row r="196630" spans="10:10">
      <c r="J196630" s="1"/>
    </row>
    <row r="196631" spans="10:10">
      <c r="J196631" s="1"/>
    </row>
    <row r="196632" spans="10:10">
      <c r="J196632" s="1"/>
    </row>
    <row r="196633" spans="10:10">
      <c r="J196633" s="1"/>
    </row>
    <row r="196634" spans="10:10">
      <c r="J196634" s="1"/>
    </row>
    <row r="212993" spans="10:10">
      <c r="J212993" s="1"/>
    </row>
    <row r="212994" spans="10:10">
      <c r="J212994" s="24"/>
    </row>
    <row r="212995" spans="10:10">
      <c r="J212995" s="24"/>
    </row>
    <row r="212996" spans="10:10">
      <c r="J212996" s="24"/>
    </row>
    <row r="212997" spans="10:10">
      <c r="J212997" s="24"/>
    </row>
    <row r="212998" spans="10:10">
      <c r="J212998" s="25"/>
    </row>
    <row r="212999" spans="10:10">
      <c r="J212999" s="25"/>
    </row>
    <row r="213000" spans="10:10">
      <c r="J213000" s="25"/>
    </row>
    <row r="213001" spans="10:10">
      <c r="J213001" s="25"/>
    </row>
    <row r="213002" spans="10:10">
      <c r="J213002" s="1"/>
    </row>
    <row r="213003" spans="10:10">
      <c r="J213003" s="1"/>
    </row>
    <row r="213004" spans="10:10">
      <c r="J213004" s="24"/>
    </row>
    <row r="213005" spans="10:10">
      <c r="J213005" s="1"/>
    </row>
    <row r="213006" spans="10:10">
      <c r="J213006" s="1"/>
    </row>
    <row r="213007" spans="10:10">
      <c r="J213007" s="1"/>
    </row>
    <row r="213008" spans="10:10">
      <c r="J213008" s="1"/>
    </row>
    <row r="213009" spans="10:10">
      <c r="J213009" s="4"/>
    </row>
    <row r="213010" spans="10:10">
      <c r="J213010" s="5"/>
    </row>
    <row r="213011" spans="10:10">
      <c r="J213011" s="5"/>
    </row>
    <row r="213012" spans="10:10">
      <c r="J213012" s="5"/>
    </row>
    <row r="213013" spans="10:10">
      <c r="J213013" s="5"/>
    </row>
    <row r="213014" spans="10:10">
      <c r="J213014" s="1"/>
    </row>
    <row r="213015" spans="10:10">
      <c r="J213015" s="1"/>
    </row>
    <row r="213016" spans="10:10">
      <c r="J213016" s="1"/>
    </row>
    <row r="213017" spans="10:10">
      <c r="J213017" s="1"/>
    </row>
    <row r="213018" spans="10:10">
      <c r="J213018" s="1"/>
    </row>
    <row r="229377" spans="10:10">
      <c r="J229377" s="1"/>
    </row>
    <row r="229378" spans="10:10">
      <c r="J229378" s="24"/>
    </row>
    <row r="229379" spans="10:10">
      <c r="J229379" s="24"/>
    </row>
    <row r="229380" spans="10:10">
      <c r="J229380" s="24"/>
    </row>
    <row r="229381" spans="10:10">
      <c r="J229381" s="24"/>
    </row>
    <row r="229382" spans="10:10">
      <c r="J229382" s="25"/>
    </row>
    <row r="229383" spans="10:10">
      <c r="J229383" s="25"/>
    </row>
    <row r="229384" spans="10:10">
      <c r="J229384" s="25"/>
    </row>
    <row r="229385" spans="10:10">
      <c r="J229385" s="25"/>
    </row>
    <row r="229386" spans="10:10">
      <c r="J229386" s="1"/>
    </row>
    <row r="229387" spans="10:10">
      <c r="J229387" s="1"/>
    </row>
    <row r="229388" spans="10:10">
      <c r="J229388" s="24"/>
    </row>
    <row r="229389" spans="10:10">
      <c r="J229389" s="1"/>
    </row>
    <row r="229390" spans="10:10">
      <c r="J229390" s="1"/>
    </row>
    <row r="229391" spans="10:10">
      <c r="J229391" s="1"/>
    </row>
    <row r="229392" spans="10:10">
      <c r="J229392" s="1"/>
    </row>
    <row r="229393" spans="10:10">
      <c r="J229393" s="4"/>
    </row>
    <row r="229394" spans="10:10">
      <c r="J229394" s="5"/>
    </row>
    <row r="229395" spans="10:10">
      <c r="J229395" s="5"/>
    </row>
    <row r="229396" spans="10:10">
      <c r="J229396" s="5"/>
    </row>
    <row r="229397" spans="10:10">
      <c r="J229397" s="5"/>
    </row>
    <row r="229398" spans="10:10">
      <c r="J229398" s="1"/>
    </row>
    <row r="229399" spans="10:10">
      <c r="J229399" s="1"/>
    </row>
    <row r="229400" spans="10:10">
      <c r="J229400" s="1"/>
    </row>
    <row r="229401" spans="10:10">
      <c r="J229401" s="1"/>
    </row>
    <row r="229402" spans="10:10">
      <c r="J229402" s="1"/>
    </row>
    <row r="245761" spans="10:10">
      <c r="J245761" s="1"/>
    </row>
    <row r="245762" spans="10:10">
      <c r="J245762" s="24"/>
    </row>
    <row r="245763" spans="10:10">
      <c r="J245763" s="24"/>
    </row>
    <row r="245764" spans="10:10">
      <c r="J245764" s="24"/>
    </row>
    <row r="245765" spans="10:10">
      <c r="J245765" s="24"/>
    </row>
    <row r="245766" spans="10:10">
      <c r="J245766" s="25"/>
    </row>
    <row r="245767" spans="10:10">
      <c r="J245767" s="25"/>
    </row>
    <row r="245768" spans="10:10">
      <c r="J245768" s="25"/>
    </row>
    <row r="245769" spans="10:10">
      <c r="J245769" s="25"/>
    </row>
    <row r="245770" spans="10:10">
      <c r="J245770" s="1"/>
    </row>
    <row r="245771" spans="10:10">
      <c r="J245771" s="1"/>
    </row>
    <row r="245772" spans="10:10">
      <c r="J245772" s="24"/>
    </row>
    <row r="245773" spans="10:10">
      <c r="J245773" s="1"/>
    </row>
    <row r="245774" spans="10:10">
      <c r="J245774" s="1"/>
    </row>
    <row r="245775" spans="10:10">
      <c r="J245775" s="1"/>
    </row>
    <row r="245776" spans="10:10">
      <c r="J245776" s="1"/>
    </row>
    <row r="245777" spans="10:10">
      <c r="J245777" s="4"/>
    </row>
    <row r="245778" spans="10:10">
      <c r="J245778" s="5"/>
    </row>
    <row r="245779" spans="10:10">
      <c r="J245779" s="5"/>
    </row>
    <row r="245780" spans="10:10">
      <c r="J245780" s="5"/>
    </row>
    <row r="245781" spans="10:10">
      <c r="J245781" s="5"/>
    </row>
    <row r="245782" spans="10:10">
      <c r="J245782" s="1"/>
    </row>
    <row r="245783" spans="10:10">
      <c r="J245783" s="1"/>
    </row>
    <row r="245784" spans="10:10">
      <c r="J245784" s="1"/>
    </row>
    <row r="245785" spans="10:10">
      <c r="J245785" s="1"/>
    </row>
    <row r="245786" spans="10:10">
      <c r="J245786" s="1"/>
    </row>
    <row r="262145" spans="10:10">
      <c r="J262145" s="1"/>
    </row>
    <row r="262146" spans="10:10">
      <c r="J262146" s="24"/>
    </row>
    <row r="262147" spans="10:10">
      <c r="J262147" s="24"/>
    </row>
    <row r="262148" spans="10:10">
      <c r="J262148" s="24"/>
    </row>
    <row r="262149" spans="10:10">
      <c r="J262149" s="24"/>
    </row>
    <row r="262150" spans="10:10">
      <c r="J262150" s="25"/>
    </row>
    <row r="262151" spans="10:10">
      <c r="J262151" s="25"/>
    </row>
    <row r="262152" spans="10:10">
      <c r="J262152" s="25"/>
    </row>
    <row r="262153" spans="10:10">
      <c r="J262153" s="25"/>
    </row>
    <row r="262154" spans="10:10">
      <c r="J262154" s="1"/>
    </row>
    <row r="262155" spans="10:10">
      <c r="J262155" s="1"/>
    </row>
    <row r="262156" spans="10:10">
      <c r="J262156" s="24"/>
    </row>
    <row r="262157" spans="10:10">
      <c r="J262157" s="1"/>
    </row>
    <row r="262158" spans="10:10">
      <c r="J262158" s="1"/>
    </row>
    <row r="262159" spans="10:10">
      <c r="J262159" s="1"/>
    </row>
    <row r="262160" spans="10:10">
      <c r="J262160" s="1"/>
    </row>
    <row r="262161" spans="10:10">
      <c r="J262161" s="4"/>
    </row>
    <row r="262162" spans="10:10">
      <c r="J262162" s="5"/>
    </row>
    <row r="262163" spans="10:10">
      <c r="J262163" s="5"/>
    </row>
    <row r="262164" spans="10:10">
      <c r="J262164" s="5"/>
    </row>
    <row r="262165" spans="10:10">
      <c r="J262165" s="5"/>
    </row>
    <row r="262166" spans="10:10">
      <c r="J262166" s="1"/>
    </row>
    <row r="262167" spans="10:10">
      <c r="J262167" s="1"/>
    </row>
    <row r="262168" spans="10:10">
      <c r="J262168" s="1"/>
    </row>
    <row r="262169" spans="10:10">
      <c r="J262169" s="1"/>
    </row>
    <row r="262170" spans="10:10">
      <c r="J262170" s="1"/>
    </row>
    <row r="278529" spans="10:10">
      <c r="J278529" s="1"/>
    </row>
    <row r="278530" spans="10:10">
      <c r="J278530" s="24"/>
    </row>
    <row r="278531" spans="10:10">
      <c r="J278531" s="24"/>
    </row>
    <row r="278532" spans="10:10">
      <c r="J278532" s="24"/>
    </row>
    <row r="278533" spans="10:10">
      <c r="J278533" s="24"/>
    </row>
    <row r="278534" spans="10:10">
      <c r="J278534" s="25"/>
    </row>
    <row r="278535" spans="10:10">
      <c r="J278535" s="25"/>
    </row>
    <row r="278536" spans="10:10">
      <c r="J278536" s="25"/>
    </row>
    <row r="278537" spans="10:10">
      <c r="J278537" s="25"/>
    </row>
    <row r="278538" spans="10:10">
      <c r="J278538" s="1"/>
    </row>
    <row r="278539" spans="10:10">
      <c r="J278539" s="1"/>
    </row>
    <row r="278540" spans="10:10">
      <c r="J278540" s="24"/>
    </row>
    <row r="278541" spans="10:10">
      <c r="J278541" s="1"/>
    </row>
    <row r="278542" spans="10:10">
      <c r="J278542" s="1"/>
    </row>
    <row r="278543" spans="10:10">
      <c r="J278543" s="1"/>
    </row>
    <row r="278544" spans="10:10">
      <c r="J278544" s="1"/>
    </row>
    <row r="278545" spans="10:10">
      <c r="J278545" s="4"/>
    </row>
    <row r="278546" spans="10:10">
      <c r="J278546" s="5"/>
    </row>
    <row r="278547" spans="10:10">
      <c r="J278547" s="5"/>
    </row>
    <row r="278548" spans="10:10">
      <c r="J278548" s="5"/>
    </row>
    <row r="278549" spans="10:10">
      <c r="J278549" s="5"/>
    </row>
    <row r="278550" spans="10:10">
      <c r="J278550" s="1"/>
    </row>
    <row r="278551" spans="10:10">
      <c r="J278551" s="1"/>
    </row>
    <row r="278552" spans="10:10">
      <c r="J278552" s="1"/>
    </row>
    <row r="278553" spans="10:10">
      <c r="J278553" s="1"/>
    </row>
    <row r="278554" spans="10:10">
      <c r="J278554" s="1"/>
    </row>
    <row r="294913" spans="10:10">
      <c r="J294913" s="1"/>
    </row>
    <row r="294914" spans="10:10">
      <c r="J294914" s="24"/>
    </row>
    <row r="294915" spans="10:10">
      <c r="J294915" s="24"/>
    </row>
    <row r="294916" spans="10:10">
      <c r="J294916" s="24"/>
    </row>
    <row r="294917" spans="10:10">
      <c r="J294917" s="24"/>
    </row>
    <row r="294918" spans="10:10">
      <c r="J294918" s="25"/>
    </row>
    <row r="294919" spans="10:10">
      <c r="J294919" s="25"/>
    </row>
    <row r="294920" spans="10:10">
      <c r="J294920" s="25"/>
    </row>
    <row r="294921" spans="10:10">
      <c r="J294921" s="25"/>
    </row>
    <row r="294922" spans="10:10">
      <c r="J294922" s="1"/>
    </row>
    <row r="294923" spans="10:10">
      <c r="J294923" s="1"/>
    </row>
    <row r="294924" spans="10:10">
      <c r="J294924" s="24"/>
    </row>
    <row r="294925" spans="10:10">
      <c r="J294925" s="1"/>
    </row>
    <row r="294926" spans="10:10">
      <c r="J294926" s="1"/>
    </row>
    <row r="294927" spans="10:10">
      <c r="J294927" s="1"/>
    </row>
    <row r="294928" spans="10:10">
      <c r="J294928" s="1"/>
    </row>
    <row r="294929" spans="10:10">
      <c r="J294929" s="4"/>
    </row>
    <row r="294930" spans="10:10">
      <c r="J294930" s="5"/>
    </row>
    <row r="294931" spans="10:10">
      <c r="J294931" s="5"/>
    </row>
    <row r="294932" spans="10:10">
      <c r="J294932" s="5"/>
    </row>
    <row r="294933" spans="10:10">
      <c r="J294933" s="5"/>
    </row>
    <row r="294934" spans="10:10">
      <c r="J294934" s="1"/>
    </row>
    <row r="294935" spans="10:10">
      <c r="J294935" s="1"/>
    </row>
    <row r="294936" spans="10:10">
      <c r="J294936" s="1"/>
    </row>
    <row r="294937" spans="10:10">
      <c r="J294937" s="1"/>
    </row>
    <row r="294938" spans="10:10">
      <c r="J294938" s="1"/>
    </row>
    <row r="311297" spans="10:10">
      <c r="J311297" s="1"/>
    </row>
    <row r="311298" spans="10:10">
      <c r="J311298" s="24"/>
    </row>
    <row r="311299" spans="10:10">
      <c r="J311299" s="24"/>
    </row>
    <row r="311300" spans="10:10">
      <c r="J311300" s="24"/>
    </row>
    <row r="311301" spans="10:10">
      <c r="J311301" s="24"/>
    </row>
    <row r="311302" spans="10:10">
      <c r="J311302" s="25"/>
    </row>
    <row r="311303" spans="10:10">
      <c r="J311303" s="25"/>
    </row>
    <row r="311304" spans="10:10">
      <c r="J311304" s="25"/>
    </row>
    <row r="311305" spans="10:10">
      <c r="J311305" s="25"/>
    </row>
    <row r="311306" spans="10:10">
      <c r="J311306" s="1"/>
    </row>
    <row r="311307" spans="10:10">
      <c r="J311307" s="1"/>
    </row>
    <row r="311308" spans="10:10">
      <c r="J311308" s="24"/>
    </row>
    <row r="311309" spans="10:10">
      <c r="J311309" s="1"/>
    </row>
    <row r="311310" spans="10:10">
      <c r="J311310" s="1"/>
    </row>
    <row r="311311" spans="10:10">
      <c r="J311311" s="1"/>
    </row>
    <row r="311312" spans="10:10">
      <c r="J311312" s="1"/>
    </row>
    <row r="311313" spans="10:10">
      <c r="J311313" s="4"/>
    </row>
    <row r="311314" spans="10:10">
      <c r="J311314" s="5"/>
    </row>
    <row r="311315" spans="10:10">
      <c r="J311315" s="5"/>
    </row>
    <row r="311316" spans="10:10">
      <c r="J311316" s="5"/>
    </row>
    <row r="311317" spans="10:10">
      <c r="J311317" s="5"/>
    </row>
    <row r="311318" spans="10:10">
      <c r="J311318" s="1"/>
    </row>
    <row r="311319" spans="10:10">
      <c r="J311319" s="1"/>
    </row>
    <row r="311320" spans="10:10">
      <c r="J311320" s="1"/>
    </row>
    <row r="311321" spans="10:10">
      <c r="J311321" s="1"/>
    </row>
    <row r="311322" spans="10:10">
      <c r="J311322" s="1"/>
    </row>
    <row r="327681" spans="10:10">
      <c r="J327681" s="1"/>
    </row>
    <row r="327682" spans="10:10">
      <c r="J327682" s="24"/>
    </row>
    <row r="327683" spans="10:10">
      <c r="J327683" s="24"/>
    </row>
    <row r="327684" spans="10:10">
      <c r="J327684" s="24"/>
    </row>
    <row r="327685" spans="10:10">
      <c r="J327685" s="24"/>
    </row>
    <row r="327686" spans="10:10">
      <c r="J327686" s="25"/>
    </row>
    <row r="327687" spans="10:10">
      <c r="J327687" s="25"/>
    </row>
    <row r="327688" spans="10:10">
      <c r="J327688" s="25"/>
    </row>
    <row r="327689" spans="10:10">
      <c r="J327689" s="25"/>
    </row>
    <row r="327690" spans="10:10">
      <c r="J327690" s="1"/>
    </row>
    <row r="327691" spans="10:10">
      <c r="J327691" s="1"/>
    </row>
    <row r="327692" spans="10:10">
      <c r="J327692" s="24"/>
    </row>
    <row r="327693" spans="10:10">
      <c r="J327693" s="1"/>
    </row>
    <row r="327694" spans="10:10">
      <c r="J327694" s="1"/>
    </row>
    <row r="327695" spans="10:10">
      <c r="J327695" s="1"/>
    </row>
    <row r="327696" spans="10:10">
      <c r="J327696" s="1"/>
    </row>
    <row r="327697" spans="10:10">
      <c r="J327697" s="4"/>
    </row>
    <row r="327698" spans="10:10">
      <c r="J327698" s="5"/>
    </row>
    <row r="327699" spans="10:10">
      <c r="J327699" s="5"/>
    </row>
    <row r="327700" spans="10:10">
      <c r="J327700" s="5"/>
    </row>
    <row r="327701" spans="10:10">
      <c r="J327701" s="5"/>
    </row>
    <row r="327702" spans="10:10">
      <c r="J327702" s="1"/>
    </row>
    <row r="327703" spans="10:10">
      <c r="J327703" s="1"/>
    </row>
    <row r="327704" spans="10:10">
      <c r="J327704" s="1"/>
    </row>
    <row r="327705" spans="10:10">
      <c r="J327705" s="1"/>
    </row>
    <row r="327706" spans="10:10">
      <c r="J327706" s="1"/>
    </row>
    <row r="344065" spans="10:10">
      <c r="J344065" s="1"/>
    </row>
    <row r="344066" spans="10:10">
      <c r="J344066" s="24"/>
    </row>
    <row r="344067" spans="10:10">
      <c r="J344067" s="24"/>
    </row>
    <row r="344068" spans="10:10">
      <c r="J344068" s="24"/>
    </row>
    <row r="344069" spans="10:10">
      <c r="J344069" s="24"/>
    </row>
    <row r="344070" spans="10:10">
      <c r="J344070" s="25"/>
    </row>
    <row r="344071" spans="10:10">
      <c r="J344071" s="25"/>
    </row>
    <row r="344072" spans="10:10">
      <c r="J344072" s="25"/>
    </row>
    <row r="344073" spans="10:10">
      <c r="J344073" s="25"/>
    </row>
    <row r="344074" spans="10:10">
      <c r="J344074" s="1"/>
    </row>
    <row r="344075" spans="10:10">
      <c r="J344075" s="1"/>
    </row>
    <row r="344076" spans="10:10">
      <c r="J344076" s="24"/>
    </row>
    <row r="344077" spans="10:10">
      <c r="J344077" s="1"/>
    </row>
    <row r="344078" spans="10:10">
      <c r="J344078" s="1"/>
    </row>
    <row r="344079" spans="10:10">
      <c r="J344079" s="1"/>
    </row>
    <row r="344080" spans="10:10">
      <c r="J344080" s="1"/>
    </row>
    <row r="344081" spans="10:10">
      <c r="J344081" s="4"/>
    </row>
    <row r="344082" spans="10:10">
      <c r="J344082" s="5"/>
    </row>
    <row r="344083" spans="10:10">
      <c r="J344083" s="5"/>
    </row>
    <row r="344084" spans="10:10">
      <c r="J344084" s="5"/>
    </row>
    <row r="344085" spans="10:10">
      <c r="J344085" s="5"/>
    </row>
    <row r="344086" spans="10:10">
      <c r="J344086" s="1"/>
    </row>
    <row r="344087" spans="10:10">
      <c r="J344087" s="1"/>
    </row>
    <row r="344088" spans="10:10">
      <c r="J344088" s="1"/>
    </row>
    <row r="344089" spans="10:10">
      <c r="J344089" s="1"/>
    </row>
    <row r="344090" spans="10:10">
      <c r="J344090" s="1"/>
    </row>
    <row r="360449" spans="10:10">
      <c r="J360449" s="1"/>
    </row>
    <row r="360450" spans="10:10">
      <c r="J360450" s="24"/>
    </row>
    <row r="360451" spans="10:10">
      <c r="J360451" s="24"/>
    </row>
    <row r="360452" spans="10:10">
      <c r="J360452" s="24"/>
    </row>
    <row r="360453" spans="10:10">
      <c r="J360453" s="24"/>
    </row>
    <row r="360454" spans="10:10">
      <c r="J360454" s="25"/>
    </row>
    <row r="360455" spans="10:10">
      <c r="J360455" s="25"/>
    </row>
    <row r="360456" spans="10:10">
      <c r="J360456" s="25"/>
    </row>
    <row r="360457" spans="10:10">
      <c r="J360457" s="25"/>
    </row>
    <row r="360458" spans="10:10">
      <c r="J360458" s="1"/>
    </row>
    <row r="360459" spans="10:10">
      <c r="J360459" s="1"/>
    </row>
    <row r="360460" spans="10:10">
      <c r="J360460" s="24"/>
    </row>
    <row r="360461" spans="10:10">
      <c r="J360461" s="1"/>
    </row>
    <row r="360462" spans="10:10">
      <c r="J360462" s="1"/>
    </row>
    <row r="360463" spans="10:10">
      <c r="J360463" s="1"/>
    </row>
    <row r="360464" spans="10:10">
      <c r="J360464" s="1"/>
    </row>
    <row r="360465" spans="10:10">
      <c r="J360465" s="4"/>
    </row>
    <row r="360466" spans="10:10">
      <c r="J360466" s="5"/>
    </row>
    <row r="360467" spans="10:10">
      <c r="J360467" s="5"/>
    </row>
    <row r="360468" spans="10:10">
      <c r="J360468" s="5"/>
    </row>
    <row r="360469" spans="10:10">
      <c r="J360469" s="5"/>
    </row>
    <row r="360470" spans="10:10">
      <c r="J360470" s="1"/>
    </row>
    <row r="360471" spans="10:10">
      <c r="J360471" s="1"/>
    </row>
    <row r="360472" spans="10:10">
      <c r="J360472" s="1"/>
    </row>
    <row r="360473" spans="10:10">
      <c r="J360473" s="1"/>
    </row>
    <row r="360474" spans="10:10">
      <c r="J360474" s="1"/>
    </row>
    <row r="376833" spans="10:10">
      <c r="J376833" s="1"/>
    </row>
    <row r="376834" spans="10:10">
      <c r="J376834" s="24"/>
    </row>
    <row r="376835" spans="10:10">
      <c r="J376835" s="24"/>
    </row>
    <row r="376836" spans="10:10">
      <c r="J376836" s="24"/>
    </row>
    <row r="376837" spans="10:10">
      <c r="J376837" s="24"/>
    </row>
    <row r="376838" spans="10:10">
      <c r="J376838" s="25"/>
    </row>
    <row r="376839" spans="10:10">
      <c r="J376839" s="25"/>
    </row>
    <row r="376840" spans="10:10">
      <c r="J376840" s="25"/>
    </row>
    <row r="376841" spans="10:10">
      <c r="J376841" s="25"/>
    </row>
    <row r="376842" spans="10:10">
      <c r="J376842" s="1"/>
    </row>
    <row r="376843" spans="10:10">
      <c r="J376843" s="1"/>
    </row>
    <row r="376844" spans="10:10">
      <c r="J376844" s="24"/>
    </row>
    <row r="376845" spans="10:10">
      <c r="J376845" s="1"/>
    </row>
    <row r="376846" spans="10:10">
      <c r="J376846" s="1"/>
    </row>
    <row r="376847" spans="10:10">
      <c r="J376847" s="1"/>
    </row>
    <row r="376848" spans="10:10">
      <c r="J376848" s="1"/>
    </row>
    <row r="376849" spans="10:10">
      <c r="J376849" s="4"/>
    </row>
    <row r="376850" spans="10:10">
      <c r="J376850" s="5"/>
    </row>
    <row r="376851" spans="10:10">
      <c r="J376851" s="5"/>
    </row>
    <row r="376852" spans="10:10">
      <c r="J376852" s="5"/>
    </row>
    <row r="376853" spans="10:10">
      <c r="J376853" s="5"/>
    </row>
    <row r="376854" spans="10:10">
      <c r="J376854" s="1"/>
    </row>
    <row r="376855" spans="10:10">
      <c r="J376855" s="1"/>
    </row>
    <row r="376856" spans="10:10">
      <c r="J376856" s="1"/>
    </row>
    <row r="376857" spans="10:10">
      <c r="J376857" s="1"/>
    </row>
    <row r="376858" spans="10:10">
      <c r="J376858" s="1"/>
    </row>
    <row r="393217" spans="10:10">
      <c r="J393217" s="1"/>
    </row>
    <row r="393218" spans="10:10">
      <c r="J393218" s="24"/>
    </row>
    <row r="393219" spans="10:10">
      <c r="J393219" s="24"/>
    </row>
    <row r="393220" spans="10:10">
      <c r="J393220" s="24"/>
    </row>
    <row r="393221" spans="10:10">
      <c r="J393221" s="24"/>
    </row>
    <row r="393222" spans="10:10">
      <c r="J393222" s="25"/>
    </row>
    <row r="393223" spans="10:10">
      <c r="J393223" s="25"/>
    </row>
    <row r="393224" spans="10:10">
      <c r="J393224" s="25"/>
    </row>
    <row r="393225" spans="10:10">
      <c r="J393225" s="25"/>
    </row>
    <row r="393226" spans="10:10">
      <c r="J393226" s="1"/>
    </row>
    <row r="393227" spans="10:10">
      <c r="J393227" s="1"/>
    </row>
    <row r="393228" spans="10:10">
      <c r="J393228" s="24"/>
    </row>
    <row r="393229" spans="10:10">
      <c r="J393229" s="1"/>
    </row>
    <row r="393230" spans="10:10">
      <c r="J393230" s="1"/>
    </row>
    <row r="393231" spans="10:10">
      <c r="J393231" s="1"/>
    </row>
    <row r="393232" spans="10:10">
      <c r="J393232" s="1"/>
    </row>
    <row r="393233" spans="10:10">
      <c r="J393233" s="4"/>
    </row>
    <row r="393234" spans="10:10">
      <c r="J393234" s="5"/>
    </row>
    <row r="393235" spans="10:10">
      <c r="J393235" s="5"/>
    </row>
    <row r="393236" spans="10:10">
      <c r="J393236" s="5"/>
    </row>
    <row r="393237" spans="10:10">
      <c r="J393237" s="5"/>
    </row>
    <row r="393238" spans="10:10">
      <c r="J393238" s="1"/>
    </row>
    <row r="393239" spans="10:10">
      <c r="J393239" s="1"/>
    </row>
    <row r="393240" spans="10:10">
      <c r="J393240" s="1"/>
    </row>
    <row r="393241" spans="10:10">
      <c r="J393241" s="1"/>
    </row>
    <row r="393242" spans="10:10">
      <c r="J393242" s="1"/>
    </row>
    <row r="409601" spans="10:10">
      <c r="J409601" s="1"/>
    </row>
    <row r="409602" spans="10:10">
      <c r="J409602" s="24"/>
    </row>
    <row r="409603" spans="10:10">
      <c r="J409603" s="24"/>
    </row>
    <row r="409604" spans="10:10">
      <c r="J409604" s="24"/>
    </row>
    <row r="409605" spans="10:10">
      <c r="J409605" s="24"/>
    </row>
    <row r="409606" spans="10:10">
      <c r="J409606" s="25"/>
    </row>
    <row r="409607" spans="10:10">
      <c r="J409607" s="25"/>
    </row>
    <row r="409608" spans="10:10">
      <c r="J409608" s="25"/>
    </row>
    <row r="409609" spans="10:10">
      <c r="J409609" s="25"/>
    </row>
    <row r="409610" spans="10:10">
      <c r="J409610" s="1"/>
    </row>
    <row r="409611" spans="10:10">
      <c r="J409611" s="1"/>
    </row>
    <row r="409612" spans="10:10">
      <c r="J409612" s="24"/>
    </row>
    <row r="409613" spans="10:10">
      <c r="J409613" s="1"/>
    </row>
    <row r="409614" spans="10:10">
      <c r="J409614" s="1"/>
    </row>
    <row r="409615" spans="10:10">
      <c r="J409615" s="1"/>
    </row>
    <row r="409616" spans="10:10">
      <c r="J409616" s="1"/>
    </row>
    <row r="409617" spans="10:10">
      <c r="J409617" s="4"/>
    </row>
    <row r="409618" spans="10:10">
      <c r="J409618" s="5"/>
    </row>
    <row r="409619" spans="10:10">
      <c r="J409619" s="5"/>
    </row>
    <row r="409620" spans="10:10">
      <c r="J409620" s="5"/>
    </row>
    <row r="409621" spans="10:10">
      <c r="J409621" s="5"/>
    </row>
    <row r="409622" spans="10:10">
      <c r="J409622" s="1"/>
    </row>
    <row r="409623" spans="10:10">
      <c r="J409623" s="1"/>
    </row>
    <row r="409624" spans="10:10">
      <c r="J409624" s="1"/>
    </row>
    <row r="409625" spans="10:10">
      <c r="J409625" s="1"/>
    </row>
    <row r="409626" spans="10:10">
      <c r="J409626" s="1"/>
    </row>
    <row r="425985" spans="10:10">
      <c r="J425985" s="1"/>
    </row>
    <row r="425986" spans="10:10">
      <c r="J425986" s="24"/>
    </row>
    <row r="425987" spans="10:10">
      <c r="J425987" s="24"/>
    </row>
    <row r="425988" spans="10:10">
      <c r="J425988" s="24"/>
    </row>
    <row r="425989" spans="10:10">
      <c r="J425989" s="24"/>
    </row>
    <row r="425990" spans="10:10">
      <c r="J425990" s="25"/>
    </row>
    <row r="425991" spans="10:10">
      <c r="J425991" s="25"/>
    </row>
    <row r="425992" spans="10:10">
      <c r="J425992" s="25"/>
    </row>
    <row r="425993" spans="10:10">
      <c r="J425993" s="25"/>
    </row>
    <row r="425994" spans="10:10">
      <c r="J425994" s="1"/>
    </row>
    <row r="425995" spans="10:10">
      <c r="J425995" s="1"/>
    </row>
    <row r="425996" spans="10:10">
      <c r="J425996" s="24"/>
    </row>
    <row r="425997" spans="10:10">
      <c r="J425997" s="1"/>
    </row>
    <row r="425998" spans="10:10">
      <c r="J425998" s="1"/>
    </row>
    <row r="425999" spans="10:10">
      <c r="J425999" s="1"/>
    </row>
    <row r="426000" spans="10:10">
      <c r="J426000" s="1"/>
    </row>
    <row r="426001" spans="10:10">
      <c r="J426001" s="4"/>
    </row>
    <row r="426002" spans="10:10">
      <c r="J426002" s="5"/>
    </row>
    <row r="426003" spans="10:10">
      <c r="J426003" s="5"/>
    </row>
    <row r="426004" spans="10:10">
      <c r="J426004" s="5"/>
    </row>
    <row r="426005" spans="10:10">
      <c r="J426005" s="5"/>
    </row>
    <row r="426006" spans="10:10">
      <c r="J426006" s="1"/>
    </row>
    <row r="426007" spans="10:10">
      <c r="J426007" s="1"/>
    </row>
    <row r="426008" spans="10:10">
      <c r="J426008" s="1"/>
    </row>
    <row r="426009" spans="10:10">
      <c r="J426009" s="1"/>
    </row>
    <row r="426010" spans="10:10">
      <c r="J426010" s="1"/>
    </row>
    <row r="442369" spans="10:10">
      <c r="J442369" s="1"/>
    </row>
    <row r="442370" spans="10:10">
      <c r="J442370" s="24"/>
    </row>
    <row r="442371" spans="10:10">
      <c r="J442371" s="24"/>
    </row>
    <row r="442372" spans="10:10">
      <c r="J442372" s="24"/>
    </row>
    <row r="442373" spans="10:10">
      <c r="J442373" s="24"/>
    </row>
    <row r="442374" spans="10:10">
      <c r="J442374" s="25"/>
    </row>
    <row r="442375" spans="10:10">
      <c r="J442375" s="25"/>
    </row>
    <row r="442376" spans="10:10">
      <c r="J442376" s="25"/>
    </row>
    <row r="442377" spans="10:10">
      <c r="J442377" s="25"/>
    </row>
    <row r="442378" spans="10:10">
      <c r="J442378" s="1"/>
    </row>
    <row r="442379" spans="10:10">
      <c r="J442379" s="1"/>
    </row>
    <row r="442380" spans="10:10">
      <c r="J442380" s="24"/>
    </row>
    <row r="442381" spans="10:10">
      <c r="J442381" s="1"/>
    </row>
    <row r="442382" spans="10:10">
      <c r="J442382" s="1"/>
    </row>
    <row r="442383" spans="10:10">
      <c r="J442383" s="1"/>
    </row>
    <row r="442384" spans="10:10">
      <c r="J442384" s="1"/>
    </row>
    <row r="442385" spans="10:10">
      <c r="J442385" s="4"/>
    </row>
    <row r="442386" spans="10:10">
      <c r="J442386" s="5"/>
    </row>
    <row r="442387" spans="10:10">
      <c r="J442387" s="5"/>
    </row>
    <row r="442388" spans="10:10">
      <c r="J442388" s="5"/>
    </row>
    <row r="442389" spans="10:10">
      <c r="J442389" s="5"/>
    </row>
    <row r="442390" spans="10:10">
      <c r="J442390" s="1"/>
    </row>
    <row r="442391" spans="10:10">
      <c r="J442391" s="1"/>
    </row>
    <row r="442392" spans="10:10">
      <c r="J442392" s="1"/>
    </row>
    <row r="442393" spans="10:10">
      <c r="J442393" s="1"/>
    </row>
    <row r="442394" spans="10:10">
      <c r="J442394" s="1"/>
    </row>
    <row r="458753" spans="10:10">
      <c r="J458753" s="1"/>
    </row>
    <row r="458754" spans="10:10">
      <c r="J458754" s="24"/>
    </row>
    <row r="458755" spans="10:10">
      <c r="J458755" s="24"/>
    </row>
    <row r="458756" spans="10:10">
      <c r="J458756" s="24"/>
    </row>
    <row r="458757" spans="10:10">
      <c r="J458757" s="24"/>
    </row>
    <row r="458758" spans="10:10">
      <c r="J458758" s="25"/>
    </row>
    <row r="458759" spans="10:10">
      <c r="J458759" s="25"/>
    </row>
    <row r="458760" spans="10:10">
      <c r="J458760" s="25"/>
    </row>
    <row r="458761" spans="10:10">
      <c r="J458761" s="25"/>
    </row>
    <row r="458762" spans="10:10">
      <c r="J458762" s="1"/>
    </row>
    <row r="458763" spans="10:10">
      <c r="J458763" s="1"/>
    </row>
    <row r="458764" spans="10:10">
      <c r="J458764" s="24"/>
    </row>
    <row r="458765" spans="10:10">
      <c r="J458765" s="1"/>
    </row>
    <row r="458766" spans="10:10">
      <c r="J458766" s="1"/>
    </row>
    <row r="458767" spans="10:10">
      <c r="J458767" s="1"/>
    </row>
    <row r="458768" spans="10:10">
      <c r="J458768" s="1"/>
    </row>
    <row r="458769" spans="10:10">
      <c r="J458769" s="4"/>
    </row>
    <row r="458770" spans="10:10">
      <c r="J458770" s="5"/>
    </row>
    <row r="458771" spans="10:10">
      <c r="J458771" s="5"/>
    </row>
    <row r="458772" spans="10:10">
      <c r="J458772" s="5"/>
    </row>
    <row r="458773" spans="10:10">
      <c r="J458773" s="5"/>
    </row>
    <row r="458774" spans="10:10">
      <c r="J458774" s="1"/>
    </row>
    <row r="458775" spans="10:10">
      <c r="J458775" s="1"/>
    </row>
    <row r="458776" spans="10:10">
      <c r="J458776" s="1"/>
    </row>
    <row r="458777" spans="10:10">
      <c r="J458777" s="1"/>
    </row>
    <row r="458778" spans="10:10">
      <c r="J458778" s="1"/>
    </row>
    <row r="475137" spans="10:10">
      <c r="J475137" s="1"/>
    </row>
    <row r="475138" spans="10:10">
      <c r="J475138" s="24"/>
    </row>
    <row r="475139" spans="10:10">
      <c r="J475139" s="24"/>
    </row>
    <row r="475140" spans="10:10">
      <c r="J475140" s="24"/>
    </row>
    <row r="475141" spans="10:10">
      <c r="J475141" s="24"/>
    </row>
    <row r="475142" spans="10:10">
      <c r="J475142" s="25"/>
    </row>
    <row r="475143" spans="10:10">
      <c r="J475143" s="25"/>
    </row>
    <row r="475144" spans="10:10">
      <c r="J475144" s="25"/>
    </row>
    <row r="475145" spans="10:10">
      <c r="J475145" s="25"/>
    </row>
    <row r="475146" spans="10:10">
      <c r="J475146" s="1"/>
    </row>
    <row r="475147" spans="10:10">
      <c r="J475147" s="1"/>
    </row>
    <row r="475148" spans="10:10">
      <c r="J475148" s="24"/>
    </row>
    <row r="475149" spans="10:10">
      <c r="J475149" s="1"/>
    </row>
    <row r="475150" spans="10:10">
      <c r="J475150" s="1"/>
    </row>
    <row r="475151" spans="10:10">
      <c r="J475151" s="1"/>
    </row>
    <row r="475152" spans="10:10">
      <c r="J475152" s="1"/>
    </row>
    <row r="475153" spans="10:10">
      <c r="J475153" s="4"/>
    </row>
    <row r="475154" spans="10:10">
      <c r="J475154" s="5"/>
    </row>
    <row r="475155" spans="10:10">
      <c r="J475155" s="5"/>
    </row>
    <row r="475156" spans="10:10">
      <c r="J475156" s="5"/>
    </row>
    <row r="475157" spans="10:10">
      <c r="J475157" s="5"/>
    </row>
    <row r="475158" spans="10:10">
      <c r="J475158" s="1"/>
    </row>
    <row r="475159" spans="10:10">
      <c r="J475159" s="1"/>
    </row>
    <row r="475160" spans="10:10">
      <c r="J475160" s="1"/>
    </row>
    <row r="475161" spans="10:10">
      <c r="J475161" s="1"/>
    </row>
    <row r="475162" spans="10:10">
      <c r="J475162" s="1"/>
    </row>
    <row r="491521" spans="10:10">
      <c r="J491521" s="1"/>
    </row>
    <row r="491522" spans="10:10">
      <c r="J491522" s="24"/>
    </row>
    <row r="491523" spans="10:10">
      <c r="J491523" s="24"/>
    </row>
    <row r="491524" spans="10:10">
      <c r="J491524" s="24"/>
    </row>
    <row r="491525" spans="10:10">
      <c r="J491525" s="24"/>
    </row>
    <row r="491526" spans="10:10">
      <c r="J491526" s="25"/>
    </row>
    <row r="491527" spans="10:10">
      <c r="J491527" s="25"/>
    </row>
    <row r="491528" spans="10:10">
      <c r="J491528" s="25"/>
    </row>
    <row r="491529" spans="10:10">
      <c r="J491529" s="25"/>
    </row>
    <row r="491530" spans="10:10">
      <c r="J491530" s="1"/>
    </row>
    <row r="491531" spans="10:10">
      <c r="J491531" s="1"/>
    </row>
    <row r="491532" spans="10:10">
      <c r="J491532" s="24"/>
    </row>
    <row r="491533" spans="10:10">
      <c r="J491533" s="1"/>
    </row>
    <row r="491534" spans="10:10">
      <c r="J491534" s="1"/>
    </row>
    <row r="491535" spans="10:10">
      <c r="J491535" s="1"/>
    </row>
    <row r="491536" spans="10:10">
      <c r="J491536" s="1"/>
    </row>
    <row r="491537" spans="10:10">
      <c r="J491537" s="4"/>
    </row>
    <row r="491538" spans="10:10">
      <c r="J491538" s="5"/>
    </row>
    <row r="491539" spans="10:10">
      <c r="J491539" s="5"/>
    </row>
    <row r="491540" spans="10:10">
      <c r="J491540" s="5"/>
    </row>
    <row r="491541" spans="10:10">
      <c r="J491541" s="5"/>
    </row>
    <row r="491542" spans="10:10">
      <c r="J491542" s="1"/>
    </row>
    <row r="491543" spans="10:10">
      <c r="J491543" s="1"/>
    </row>
    <row r="491544" spans="10:10">
      <c r="J491544" s="1"/>
    </row>
    <row r="491545" spans="10:10">
      <c r="J491545" s="1"/>
    </row>
    <row r="491546" spans="10:10">
      <c r="J491546" s="1"/>
    </row>
    <row r="507905" spans="10:10">
      <c r="J507905" s="1"/>
    </row>
    <row r="507906" spans="10:10">
      <c r="J507906" s="24"/>
    </row>
    <row r="507907" spans="10:10">
      <c r="J507907" s="24"/>
    </row>
    <row r="507908" spans="10:10">
      <c r="J507908" s="24"/>
    </row>
    <row r="507909" spans="10:10">
      <c r="J507909" s="24"/>
    </row>
    <row r="507910" spans="10:10">
      <c r="J507910" s="25"/>
    </row>
    <row r="507911" spans="10:10">
      <c r="J507911" s="25"/>
    </row>
    <row r="507912" spans="10:10">
      <c r="J507912" s="25"/>
    </row>
    <row r="507913" spans="10:10">
      <c r="J507913" s="25"/>
    </row>
    <row r="507914" spans="10:10">
      <c r="J507914" s="1"/>
    </row>
    <row r="507915" spans="10:10">
      <c r="J507915" s="1"/>
    </row>
    <row r="507916" spans="10:10">
      <c r="J507916" s="24"/>
    </row>
    <row r="507917" spans="10:10">
      <c r="J507917" s="1"/>
    </row>
    <row r="507918" spans="10:10">
      <c r="J507918" s="1"/>
    </row>
    <row r="507919" spans="10:10">
      <c r="J507919" s="1"/>
    </row>
    <row r="507920" spans="10:10">
      <c r="J507920" s="1"/>
    </row>
    <row r="507921" spans="10:10">
      <c r="J507921" s="4"/>
    </row>
    <row r="507922" spans="10:10">
      <c r="J507922" s="5"/>
    </row>
    <row r="507923" spans="10:10">
      <c r="J507923" s="5"/>
    </row>
    <row r="507924" spans="10:10">
      <c r="J507924" s="5"/>
    </row>
    <row r="507925" spans="10:10">
      <c r="J507925" s="5"/>
    </row>
    <row r="507926" spans="10:10">
      <c r="J507926" s="1"/>
    </row>
    <row r="507927" spans="10:10">
      <c r="J507927" s="1"/>
    </row>
    <row r="507928" spans="10:10">
      <c r="J507928" s="1"/>
    </row>
    <row r="507929" spans="10:10">
      <c r="J507929" s="1"/>
    </row>
    <row r="507930" spans="10:10">
      <c r="J507930" s="1"/>
    </row>
    <row r="524289" spans="10:10">
      <c r="J524289" s="1"/>
    </row>
    <row r="524290" spans="10:10">
      <c r="J524290" s="24"/>
    </row>
    <row r="524291" spans="10:10">
      <c r="J524291" s="24"/>
    </row>
    <row r="524292" spans="10:10">
      <c r="J524292" s="24"/>
    </row>
    <row r="524293" spans="10:10">
      <c r="J524293" s="24"/>
    </row>
    <row r="524294" spans="10:10">
      <c r="J524294" s="25"/>
    </row>
    <row r="524295" spans="10:10">
      <c r="J524295" s="25"/>
    </row>
    <row r="524296" spans="10:10">
      <c r="J524296" s="25"/>
    </row>
    <row r="524297" spans="10:10">
      <c r="J524297" s="25"/>
    </row>
    <row r="524298" spans="10:10">
      <c r="J524298" s="1"/>
    </row>
    <row r="524299" spans="10:10">
      <c r="J524299" s="1"/>
    </row>
    <row r="524300" spans="10:10">
      <c r="J524300" s="24"/>
    </row>
    <row r="524301" spans="10:10">
      <c r="J524301" s="1"/>
    </row>
    <row r="524302" spans="10:10">
      <c r="J524302" s="1"/>
    </row>
    <row r="524303" spans="10:10">
      <c r="J524303" s="1"/>
    </row>
    <row r="524304" spans="10:10">
      <c r="J524304" s="1"/>
    </row>
    <row r="524305" spans="10:10">
      <c r="J524305" s="4"/>
    </row>
    <row r="524306" spans="10:10">
      <c r="J524306" s="5"/>
    </row>
    <row r="524307" spans="10:10">
      <c r="J524307" s="5"/>
    </row>
    <row r="524308" spans="10:10">
      <c r="J524308" s="5"/>
    </row>
    <row r="524309" spans="10:10">
      <c r="J524309" s="5"/>
    </row>
    <row r="524310" spans="10:10">
      <c r="J524310" s="1"/>
    </row>
    <row r="524311" spans="10:10">
      <c r="J524311" s="1"/>
    </row>
    <row r="524312" spans="10:10">
      <c r="J524312" s="1"/>
    </row>
    <row r="524313" spans="10:10">
      <c r="J524313" s="1"/>
    </row>
    <row r="524314" spans="10:10">
      <c r="J524314" s="1"/>
    </row>
    <row r="540673" spans="10:10">
      <c r="J540673" s="1"/>
    </row>
    <row r="540674" spans="10:10">
      <c r="J540674" s="24"/>
    </row>
    <row r="540675" spans="10:10">
      <c r="J540675" s="24"/>
    </row>
    <row r="540676" spans="10:10">
      <c r="J540676" s="24"/>
    </row>
    <row r="540677" spans="10:10">
      <c r="J540677" s="24"/>
    </row>
    <row r="540678" spans="10:10">
      <c r="J540678" s="25"/>
    </row>
    <row r="540679" spans="10:10">
      <c r="J540679" s="25"/>
    </row>
    <row r="540680" spans="10:10">
      <c r="J540680" s="25"/>
    </row>
    <row r="540681" spans="10:10">
      <c r="J540681" s="25"/>
    </row>
    <row r="540682" spans="10:10">
      <c r="J540682" s="1"/>
    </row>
    <row r="540683" spans="10:10">
      <c r="J540683" s="1"/>
    </row>
    <row r="540684" spans="10:10">
      <c r="J540684" s="24"/>
    </row>
    <row r="540685" spans="10:10">
      <c r="J540685" s="1"/>
    </row>
    <row r="540686" spans="10:10">
      <c r="J540686" s="1"/>
    </row>
    <row r="540687" spans="10:10">
      <c r="J540687" s="1"/>
    </row>
    <row r="540688" spans="10:10">
      <c r="J540688" s="1"/>
    </row>
    <row r="540689" spans="10:10">
      <c r="J540689" s="4"/>
    </row>
    <row r="540690" spans="10:10">
      <c r="J540690" s="5"/>
    </row>
    <row r="540691" spans="10:10">
      <c r="J540691" s="5"/>
    </row>
    <row r="540692" spans="10:10">
      <c r="J540692" s="5"/>
    </row>
    <row r="540693" spans="10:10">
      <c r="J540693" s="5"/>
    </row>
    <row r="540694" spans="10:10">
      <c r="J540694" s="1"/>
    </row>
    <row r="540695" spans="10:10">
      <c r="J540695" s="1"/>
    </row>
    <row r="540696" spans="10:10">
      <c r="J540696" s="1"/>
    </row>
    <row r="540697" spans="10:10">
      <c r="J540697" s="1"/>
    </row>
    <row r="540698" spans="10:10">
      <c r="J540698" s="1"/>
    </row>
    <row r="557057" spans="10:10">
      <c r="J557057" s="1"/>
    </row>
    <row r="557058" spans="10:10">
      <c r="J557058" s="24"/>
    </row>
    <row r="557059" spans="10:10">
      <c r="J557059" s="24"/>
    </row>
    <row r="557060" spans="10:10">
      <c r="J557060" s="24"/>
    </row>
    <row r="557061" spans="10:10">
      <c r="J557061" s="24"/>
    </row>
    <row r="557062" spans="10:10">
      <c r="J557062" s="25"/>
    </row>
    <row r="557063" spans="10:10">
      <c r="J557063" s="25"/>
    </row>
    <row r="557064" spans="10:10">
      <c r="J557064" s="25"/>
    </row>
    <row r="557065" spans="10:10">
      <c r="J557065" s="25"/>
    </row>
    <row r="557066" spans="10:10">
      <c r="J557066" s="1"/>
    </row>
    <row r="557067" spans="10:10">
      <c r="J557067" s="1"/>
    </row>
    <row r="557068" spans="10:10">
      <c r="J557068" s="24"/>
    </row>
    <row r="557069" spans="10:10">
      <c r="J557069" s="1"/>
    </row>
    <row r="557070" spans="10:10">
      <c r="J557070" s="1"/>
    </row>
    <row r="557071" spans="10:10">
      <c r="J557071" s="1"/>
    </row>
    <row r="557072" spans="10:10">
      <c r="J557072" s="1"/>
    </row>
    <row r="557073" spans="10:10">
      <c r="J557073" s="4"/>
    </row>
    <row r="557074" spans="10:10">
      <c r="J557074" s="5"/>
    </row>
    <row r="557075" spans="10:10">
      <c r="J557075" s="5"/>
    </row>
    <row r="557076" spans="10:10">
      <c r="J557076" s="5"/>
    </row>
    <row r="557077" spans="10:10">
      <c r="J557077" s="5"/>
    </row>
    <row r="557078" spans="10:10">
      <c r="J557078" s="1"/>
    </row>
    <row r="557079" spans="10:10">
      <c r="J557079" s="1"/>
    </row>
    <row r="557080" spans="10:10">
      <c r="J557080" s="1"/>
    </row>
    <row r="557081" spans="10:10">
      <c r="J557081" s="1"/>
    </row>
    <row r="557082" spans="10:10">
      <c r="J557082" s="1"/>
    </row>
    <row r="573441" spans="10:10">
      <c r="J573441" s="1"/>
    </row>
    <row r="573442" spans="10:10">
      <c r="J573442" s="24"/>
    </row>
    <row r="573443" spans="10:10">
      <c r="J573443" s="24"/>
    </row>
    <row r="573444" spans="10:10">
      <c r="J573444" s="24"/>
    </row>
    <row r="573445" spans="10:10">
      <c r="J573445" s="24"/>
    </row>
    <row r="573446" spans="10:10">
      <c r="J573446" s="25"/>
    </row>
    <row r="573447" spans="10:10">
      <c r="J573447" s="25"/>
    </row>
    <row r="573448" spans="10:10">
      <c r="J573448" s="25"/>
    </row>
    <row r="573449" spans="10:10">
      <c r="J573449" s="25"/>
    </row>
    <row r="573450" spans="10:10">
      <c r="J573450" s="1"/>
    </row>
    <row r="573451" spans="10:10">
      <c r="J573451" s="1"/>
    </row>
    <row r="573452" spans="10:10">
      <c r="J573452" s="24"/>
    </row>
    <row r="573453" spans="10:10">
      <c r="J573453" s="1"/>
    </row>
    <row r="573454" spans="10:10">
      <c r="J573454" s="1"/>
    </row>
    <row r="573455" spans="10:10">
      <c r="J573455" s="1"/>
    </row>
    <row r="573456" spans="10:10">
      <c r="J573456" s="1"/>
    </row>
    <row r="573457" spans="10:10">
      <c r="J573457" s="4"/>
    </row>
    <row r="573458" spans="10:10">
      <c r="J573458" s="5"/>
    </row>
    <row r="573459" spans="10:10">
      <c r="J573459" s="5"/>
    </row>
    <row r="573460" spans="10:10">
      <c r="J573460" s="5"/>
    </row>
    <row r="573461" spans="10:10">
      <c r="J573461" s="5"/>
    </row>
    <row r="573462" spans="10:10">
      <c r="J573462" s="1"/>
    </row>
    <row r="573463" spans="10:10">
      <c r="J573463" s="1"/>
    </row>
    <row r="573464" spans="10:10">
      <c r="J573464" s="1"/>
    </row>
    <row r="573465" spans="10:10">
      <c r="J573465" s="1"/>
    </row>
    <row r="573466" spans="10:10">
      <c r="J573466" s="1"/>
    </row>
    <row r="589825" spans="10:10">
      <c r="J589825" s="1"/>
    </row>
    <row r="589826" spans="10:10">
      <c r="J589826" s="24"/>
    </row>
    <row r="589827" spans="10:10">
      <c r="J589827" s="24"/>
    </row>
    <row r="589828" spans="10:10">
      <c r="J589828" s="24"/>
    </row>
    <row r="589829" spans="10:10">
      <c r="J589829" s="24"/>
    </row>
    <row r="589830" spans="10:10">
      <c r="J589830" s="25"/>
    </row>
    <row r="589831" spans="10:10">
      <c r="J589831" s="25"/>
    </row>
    <row r="589832" spans="10:10">
      <c r="J589832" s="25"/>
    </row>
    <row r="589833" spans="10:10">
      <c r="J589833" s="25"/>
    </row>
    <row r="589834" spans="10:10">
      <c r="J589834" s="1"/>
    </row>
    <row r="589835" spans="10:10">
      <c r="J589835" s="1"/>
    </row>
    <row r="589836" spans="10:10">
      <c r="J589836" s="24"/>
    </row>
    <row r="589837" spans="10:10">
      <c r="J589837" s="1"/>
    </row>
    <row r="589838" spans="10:10">
      <c r="J589838" s="1"/>
    </row>
    <row r="589839" spans="10:10">
      <c r="J589839" s="1"/>
    </row>
    <row r="589840" spans="10:10">
      <c r="J589840" s="1"/>
    </row>
    <row r="589841" spans="10:10">
      <c r="J589841" s="4"/>
    </row>
    <row r="589842" spans="10:10">
      <c r="J589842" s="5"/>
    </row>
    <row r="589843" spans="10:10">
      <c r="J589843" s="5"/>
    </row>
    <row r="589844" spans="10:10">
      <c r="J589844" s="5"/>
    </row>
    <row r="589845" spans="10:10">
      <c r="J589845" s="5"/>
    </row>
    <row r="589846" spans="10:10">
      <c r="J589846" s="1"/>
    </row>
    <row r="589847" spans="10:10">
      <c r="J589847" s="1"/>
    </row>
    <row r="589848" spans="10:10">
      <c r="J589848" s="1"/>
    </row>
    <row r="589849" spans="10:10">
      <c r="J589849" s="1"/>
    </row>
    <row r="589850" spans="10:10">
      <c r="J589850" s="1"/>
    </row>
    <row r="606209" spans="10:10">
      <c r="J606209" s="1"/>
    </row>
    <row r="606210" spans="10:10">
      <c r="J606210" s="24"/>
    </row>
    <row r="606211" spans="10:10">
      <c r="J606211" s="24"/>
    </row>
    <row r="606212" spans="10:10">
      <c r="J606212" s="24"/>
    </row>
    <row r="606213" spans="10:10">
      <c r="J606213" s="24"/>
    </row>
    <row r="606214" spans="10:10">
      <c r="J606214" s="25"/>
    </row>
    <row r="606215" spans="10:10">
      <c r="J606215" s="25"/>
    </row>
    <row r="606216" spans="10:10">
      <c r="J606216" s="25"/>
    </row>
    <row r="606217" spans="10:10">
      <c r="J606217" s="25"/>
    </row>
    <row r="606218" spans="10:10">
      <c r="J606218" s="1"/>
    </row>
    <row r="606219" spans="10:10">
      <c r="J606219" s="1"/>
    </row>
    <row r="606220" spans="10:10">
      <c r="J606220" s="24"/>
    </row>
    <row r="606221" spans="10:10">
      <c r="J606221" s="1"/>
    </row>
    <row r="606222" spans="10:10">
      <c r="J606222" s="1"/>
    </row>
    <row r="606223" spans="10:10">
      <c r="J606223" s="1"/>
    </row>
    <row r="606224" spans="10:10">
      <c r="J606224" s="1"/>
    </row>
    <row r="606225" spans="10:10">
      <c r="J606225" s="4"/>
    </row>
    <row r="606226" spans="10:10">
      <c r="J606226" s="5"/>
    </row>
    <row r="606227" spans="10:10">
      <c r="J606227" s="5"/>
    </row>
    <row r="606228" spans="10:10">
      <c r="J606228" s="5"/>
    </row>
    <row r="606229" spans="10:10">
      <c r="J606229" s="5"/>
    </row>
    <row r="606230" spans="10:10">
      <c r="J606230" s="1"/>
    </row>
    <row r="606231" spans="10:10">
      <c r="J606231" s="1"/>
    </row>
    <row r="606232" spans="10:10">
      <c r="J606232" s="1"/>
    </row>
    <row r="606233" spans="10:10">
      <c r="J606233" s="1"/>
    </row>
    <row r="606234" spans="10:10">
      <c r="J606234" s="1"/>
    </row>
    <row r="622593" spans="10:10">
      <c r="J622593" s="1"/>
    </row>
    <row r="622594" spans="10:10">
      <c r="J622594" s="24"/>
    </row>
    <row r="622595" spans="10:10">
      <c r="J622595" s="24"/>
    </row>
    <row r="622596" spans="10:10">
      <c r="J622596" s="24"/>
    </row>
    <row r="622597" spans="10:10">
      <c r="J622597" s="24"/>
    </row>
    <row r="622598" spans="10:10">
      <c r="J622598" s="25"/>
    </row>
    <row r="622599" spans="10:10">
      <c r="J622599" s="25"/>
    </row>
    <row r="622600" spans="10:10">
      <c r="J622600" s="25"/>
    </row>
    <row r="622601" spans="10:10">
      <c r="J622601" s="25"/>
    </row>
    <row r="622602" spans="10:10">
      <c r="J622602" s="1"/>
    </row>
    <row r="622603" spans="10:10">
      <c r="J622603" s="1"/>
    </row>
    <row r="622604" spans="10:10">
      <c r="J622604" s="24"/>
    </row>
    <row r="622605" spans="10:10">
      <c r="J622605" s="1"/>
    </row>
    <row r="622606" spans="10:10">
      <c r="J622606" s="1"/>
    </row>
    <row r="622607" spans="10:10">
      <c r="J622607" s="1"/>
    </row>
    <row r="622608" spans="10:10">
      <c r="J622608" s="1"/>
    </row>
    <row r="622609" spans="10:10">
      <c r="J622609" s="4"/>
    </row>
    <row r="622610" spans="10:10">
      <c r="J622610" s="5"/>
    </row>
    <row r="622611" spans="10:10">
      <c r="J622611" s="5"/>
    </row>
    <row r="622612" spans="10:10">
      <c r="J622612" s="5"/>
    </row>
    <row r="622613" spans="10:10">
      <c r="J622613" s="5"/>
    </row>
    <row r="622614" spans="10:10">
      <c r="J622614" s="1"/>
    </row>
    <row r="622615" spans="10:10">
      <c r="J622615" s="1"/>
    </row>
    <row r="622616" spans="10:10">
      <c r="J622616" s="1"/>
    </row>
    <row r="622617" spans="10:10">
      <c r="J622617" s="1"/>
    </row>
    <row r="622618" spans="10:10">
      <c r="J622618" s="1"/>
    </row>
    <row r="638977" spans="10:10">
      <c r="J638977" s="1"/>
    </row>
    <row r="638978" spans="10:10">
      <c r="J638978" s="24"/>
    </row>
    <row r="638979" spans="10:10">
      <c r="J638979" s="24"/>
    </row>
    <row r="638980" spans="10:10">
      <c r="J638980" s="24"/>
    </row>
    <row r="638981" spans="10:10">
      <c r="J638981" s="24"/>
    </row>
    <row r="638982" spans="10:10">
      <c r="J638982" s="25"/>
    </row>
    <row r="638983" spans="10:10">
      <c r="J638983" s="25"/>
    </row>
    <row r="638984" spans="10:10">
      <c r="J638984" s="25"/>
    </row>
    <row r="638985" spans="10:10">
      <c r="J638985" s="25"/>
    </row>
    <row r="638986" spans="10:10">
      <c r="J638986" s="1"/>
    </row>
    <row r="638987" spans="10:10">
      <c r="J638987" s="1"/>
    </row>
    <row r="638988" spans="10:10">
      <c r="J638988" s="24"/>
    </row>
    <row r="638989" spans="10:10">
      <c r="J638989" s="1"/>
    </row>
    <row r="638990" spans="10:10">
      <c r="J638990" s="1"/>
    </row>
    <row r="638991" spans="10:10">
      <c r="J638991" s="1"/>
    </row>
    <row r="638992" spans="10:10">
      <c r="J638992" s="1"/>
    </row>
    <row r="638993" spans="10:10">
      <c r="J638993" s="4"/>
    </row>
    <row r="638994" spans="10:10">
      <c r="J638994" s="5"/>
    </row>
    <row r="638995" spans="10:10">
      <c r="J638995" s="5"/>
    </row>
    <row r="638996" spans="10:10">
      <c r="J638996" s="5"/>
    </row>
    <row r="638997" spans="10:10">
      <c r="J638997" s="5"/>
    </row>
    <row r="638998" spans="10:10">
      <c r="J638998" s="1"/>
    </row>
    <row r="638999" spans="10:10">
      <c r="J638999" s="1"/>
    </row>
    <row r="639000" spans="10:10">
      <c r="J639000" s="1"/>
    </row>
    <row r="639001" spans="10:10">
      <c r="J639001" s="1"/>
    </row>
    <row r="639002" spans="10:10">
      <c r="J639002" s="1"/>
    </row>
    <row r="655361" spans="10:10">
      <c r="J655361" s="1"/>
    </row>
    <row r="655362" spans="10:10">
      <c r="J655362" s="24"/>
    </row>
    <row r="655363" spans="10:10">
      <c r="J655363" s="24"/>
    </row>
    <row r="655364" spans="10:10">
      <c r="J655364" s="24"/>
    </row>
    <row r="655365" spans="10:10">
      <c r="J655365" s="24"/>
    </row>
    <row r="655366" spans="10:10">
      <c r="J655366" s="25"/>
    </row>
    <row r="655367" spans="10:10">
      <c r="J655367" s="25"/>
    </row>
    <row r="655368" spans="10:10">
      <c r="J655368" s="25"/>
    </row>
    <row r="655369" spans="10:10">
      <c r="J655369" s="25"/>
    </row>
    <row r="655370" spans="10:10">
      <c r="J655370" s="1"/>
    </row>
    <row r="655371" spans="10:10">
      <c r="J655371" s="1"/>
    </row>
    <row r="655372" spans="10:10">
      <c r="J655372" s="24"/>
    </row>
    <row r="655373" spans="10:10">
      <c r="J655373" s="1"/>
    </row>
    <row r="655374" spans="10:10">
      <c r="J655374" s="1"/>
    </row>
    <row r="655375" spans="10:10">
      <c r="J655375" s="1"/>
    </row>
    <row r="655376" spans="10:10">
      <c r="J655376" s="1"/>
    </row>
    <row r="655377" spans="10:10">
      <c r="J655377" s="4"/>
    </row>
    <row r="655378" spans="10:10">
      <c r="J655378" s="5"/>
    </row>
    <row r="655379" spans="10:10">
      <c r="J655379" s="5"/>
    </row>
    <row r="655380" spans="10:10">
      <c r="J655380" s="5"/>
    </row>
    <row r="655381" spans="10:10">
      <c r="J655381" s="5"/>
    </row>
    <row r="655382" spans="10:10">
      <c r="J655382" s="1"/>
    </row>
    <row r="655383" spans="10:10">
      <c r="J655383" s="1"/>
    </row>
    <row r="655384" spans="10:10">
      <c r="J655384" s="1"/>
    </row>
    <row r="655385" spans="10:10">
      <c r="J655385" s="1"/>
    </row>
    <row r="655386" spans="10:10">
      <c r="J655386" s="1"/>
    </row>
    <row r="671745" spans="10:10">
      <c r="J671745" s="1"/>
    </row>
    <row r="671746" spans="10:10">
      <c r="J671746" s="24"/>
    </row>
    <row r="671747" spans="10:10">
      <c r="J671747" s="24"/>
    </row>
    <row r="671748" spans="10:10">
      <c r="J671748" s="24"/>
    </row>
    <row r="671749" spans="10:10">
      <c r="J671749" s="24"/>
    </row>
    <row r="671750" spans="10:10">
      <c r="J671750" s="25"/>
    </row>
    <row r="671751" spans="10:10">
      <c r="J671751" s="25"/>
    </row>
    <row r="671752" spans="10:10">
      <c r="J671752" s="25"/>
    </row>
    <row r="671753" spans="10:10">
      <c r="J671753" s="25"/>
    </row>
    <row r="671754" spans="10:10">
      <c r="J671754" s="1"/>
    </row>
    <row r="671755" spans="10:10">
      <c r="J671755" s="1"/>
    </row>
    <row r="671756" spans="10:10">
      <c r="J671756" s="24"/>
    </row>
    <row r="671757" spans="10:10">
      <c r="J671757" s="1"/>
    </row>
    <row r="671758" spans="10:10">
      <c r="J671758" s="1"/>
    </row>
    <row r="671759" spans="10:10">
      <c r="J671759" s="1"/>
    </row>
    <row r="671760" spans="10:10">
      <c r="J671760" s="1"/>
    </row>
    <row r="671761" spans="10:10">
      <c r="J671761" s="4"/>
    </row>
    <row r="671762" spans="10:10">
      <c r="J671762" s="5"/>
    </row>
    <row r="671763" spans="10:10">
      <c r="J671763" s="5"/>
    </row>
    <row r="671764" spans="10:10">
      <c r="J671764" s="5"/>
    </row>
    <row r="671765" spans="10:10">
      <c r="J671765" s="5"/>
    </row>
    <row r="671766" spans="10:10">
      <c r="J671766" s="1"/>
    </row>
    <row r="671767" spans="10:10">
      <c r="J671767" s="1"/>
    </row>
    <row r="671768" spans="10:10">
      <c r="J671768" s="1"/>
    </row>
    <row r="671769" spans="10:10">
      <c r="J671769" s="1"/>
    </row>
    <row r="671770" spans="10:10">
      <c r="J671770" s="1"/>
    </row>
    <row r="688129" spans="10:10">
      <c r="J688129" s="1"/>
    </row>
    <row r="688130" spans="10:10">
      <c r="J688130" s="24"/>
    </row>
    <row r="688131" spans="10:10">
      <c r="J688131" s="24"/>
    </row>
    <row r="688132" spans="10:10">
      <c r="J688132" s="24"/>
    </row>
    <row r="688133" spans="10:10">
      <c r="J688133" s="24"/>
    </row>
    <row r="688134" spans="10:10">
      <c r="J688134" s="25"/>
    </row>
    <row r="688135" spans="10:10">
      <c r="J688135" s="25"/>
    </row>
    <row r="688136" spans="10:10">
      <c r="J688136" s="25"/>
    </row>
    <row r="688137" spans="10:10">
      <c r="J688137" s="25"/>
    </row>
    <row r="688138" spans="10:10">
      <c r="J688138" s="1"/>
    </row>
    <row r="688139" spans="10:10">
      <c r="J688139" s="1"/>
    </row>
    <row r="688140" spans="10:10">
      <c r="J688140" s="24"/>
    </row>
    <row r="688141" spans="10:10">
      <c r="J688141" s="1"/>
    </row>
    <row r="688142" spans="10:10">
      <c r="J688142" s="1"/>
    </row>
    <row r="688143" spans="10:10">
      <c r="J688143" s="1"/>
    </row>
    <row r="688144" spans="10:10">
      <c r="J688144" s="1"/>
    </row>
    <row r="688145" spans="10:10">
      <c r="J688145" s="4"/>
    </row>
    <row r="688146" spans="10:10">
      <c r="J688146" s="5"/>
    </row>
    <row r="688147" spans="10:10">
      <c r="J688147" s="5"/>
    </row>
    <row r="688148" spans="10:10">
      <c r="J688148" s="5"/>
    </row>
    <row r="688149" spans="10:10">
      <c r="J688149" s="5"/>
    </row>
    <row r="688150" spans="10:10">
      <c r="J688150" s="1"/>
    </row>
    <row r="688151" spans="10:10">
      <c r="J688151" s="1"/>
    </row>
    <row r="688152" spans="10:10">
      <c r="J688152" s="1"/>
    </row>
    <row r="688153" spans="10:10">
      <c r="J688153" s="1"/>
    </row>
    <row r="688154" spans="10:10">
      <c r="J688154" s="1"/>
    </row>
    <row r="704513" spans="10:10">
      <c r="J704513" s="1"/>
    </row>
    <row r="704514" spans="10:10">
      <c r="J704514" s="24"/>
    </row>
    <row r="704515" spans="10:10">
      <c r="J704515" s="24"/>
    </row>
    <row r="704516" spans="10:10">
      <c r="J704516" s="24"/>
    </row>
    <row r="704517" spans="10:10">
      <c r="J704517" s="24"/>
    </row>
    <row r="704518" spans="10:10">
      <c r="J704518" s="25"/>
    </row>
    <row r="704519" spans="10:10">
      <c r="J704519" s="25"/>
    </row>
    <row r="704520" spans="10:10">
      <c r="J704520" s="25"/>
    </row>
    <row r="704521" spans="10:10">
      <c r="J704521" s="25"/>
    </row>
    <row r="704522" spans="10:10">
      <c r="J704522" s="1"/>
    </row>
    <row r="704523" spans="10:10">
      <c r="J704523" s="1"/>
    </row>
    <row r="704524" spans="10:10">
      <c r="J704524" s="24"/>
    </row>
    <row r="704525" spans="10:10">
      <c r="J704525" s="1"/>
    </row>
    <row r="704526" spans="10:10">
      <c r="J704526" s="1"/>
    </row>
    <row r="704527" spans="10:10">
      <c r="J704527" s="1"/>
    </row>
    <row r="704528" spans="10:10">
      <c r="J704528" s="1"/>
    </row>
    <row r="704529" spans="10:10">
      <c r="J704529" s="4"/>
    </row>
    <row r="704530" spans="10:10">
      <c r="J704530" s="5"/>
    </row>
    <row r="704531" spans="10:10">
      <c r="J704531" s="5"/>
    </row>
    <row r="704532" spans="10:10">
      <c r="J704532" s="5"/>
    </row>
    <row r="704533" spans="10:10">
      <c r="J704533" s="5"/>
    </row>
    <row r="704534" spans="10:10">
      <c r="J704534" s="1"/>
    </row>
    <row r="704535" spans="10:10">
      <c r="J704535" s="1"/>
    </row>
    <row r="704536" spans="10:10">
      <c r="J704536" s="1"/>
    </row>
    <row r="704537" spans="10:10">
      <c r="J704537" s="1"/>
    </row>
    <row r="704538" spans="10:10">
      <c r="J704538" s="1"/>
    </row>
    <row r="720897" spans="10:10">
      <c r="J720897" s="1"/>
    </row>
    <row r="720898" spans="10:10">
      <c r="J720898" s="24"/>
    </row>
    <row r="720899" spans="10:10">
      <c r="J720899" s="24"/>
    </row>
    <row r="720900" spans="10:10">
      <c r="J720900" s="24"/>
    </row>
    <row r="720901" spans="10:10">
      <c r="J720901" s="24"/>
    </row>
    <row r="720902" spans="10:10">
      <c r="J720902" s="25"/>
    </row>
    <row r="720903" spans="10:10">
      <c r="J720903" s="25"/>
    </row>
    <row r="720904" spans="10:10">
      <c r="J720904" s="25"/>
    </row>
    <row r="720905" spans="10:10">
      <c r="J720905" s="25"/>
    </row>
    <row r="720906" spans="10:10">
      <c r="J720906" s="1"/>
    </row>
    <row r="720907" spans="10:10">
      <c r="J720907" s="1"/>
    </row>
    <row r="720908" spans="10:10">
      <c r="J720908" s="24"/>
    </row>
    <row r="720909" spans="10:10">
      <c r="J720909" s="1"/>
    </row>
    <row r="720910" spans="10:10">
      <c r="J720910" s="1"/>
    </row>
    <row r="720911" spans="10:10">
      <c r="J720911" s="1"/>
    </row>
    <row r="720912" spans="10:10">
      <c r="J720912" s="1"/>
    </row>
    <row r="720913" spans="10:10">
      <c r="J720913" s="4"/>
    </row>
    <row r="720914" spans="10:10">
      <c r="J720914" s="5"/>
    </row>
    <row r="720915" spans="10:10">
      <c r="J720915" s="5"/>
    </row>
    <row r="720916" spans="10:10">
      <c r="J720916" s="5"/>
    </row>
    <row r="720917" spans="10:10">
      <c r="J720917" s="5"/>
    </row>
    <row r="720918" spans="10:10">
      <c r="J720918" s="1"/>
    </row>
    <row r="720919" spans="10:10">
      <c r="J720919" s="1"/>
    </row>
    <row r="720920" spans="10:10">
      <c r="J720920" s="1"/>
    </row>
    <row r="720921" spans="10:10">
      <c r="J720921" s="1"/>
    </row>
    <row r="720922" spans="10:10">
      <c r="J720922" s="1"/>
    </row>
    <row r="737281" spans="10:10">
      <c r="J737281" s="1"/>
    </row>
    <row r="737282" spans="10:10">
      <c r="J737282" s="24"/>
    </row>
    <row r="737283" spans="10:10">
      <c r="J737283" s="24"/>
    </row>
    <row r="737284" spans="10:10">
      <c r="J737284" s="24"/>
    </row>
    <row r="737285" spans="10:10">
      <c r="J737285" s="24"/>
    </row>
    <row r="737286" spans="10:10">
      <c r="J737286" s="25"/>
    </row>
    <row r="737287" spans="10:10">
      <c r="J737287" s="25"/>
    </row>
    <row r="737288" spans="10:10">
      <c r="J737288" s="25"/>
    </row>
    <row r="737289" spans="10:10">
      <c r="J737289" s="25"/>
    </row>
    <row r="737290" spans="10:10">
      <c r="J737290" s="1"/>
    </row>
    <row r="737291" spans="10:10">
      <c r="J737291" s="1"/>
    </row>
    <row r="737292" spans="10:10">
      <c r="J737292" s="24"/>
    </row>
    <row r="737293" spans="10:10">
      <c r="J737293" s="1"/>
    </row>
    <row r="737294" spans="10:10">
      <c r="J737294" s="1"/>
    </row>
    <row r="737295" spans="10:10">
      <c r="J737295" s="1"/>
    </row>
    <row r="737296" spans="10:10">
      <c r="J737296" s="1"/>
    </row>
    <row r="737297" spans="10:10">
      <c r="J737297" s="4"/>
    </row>
    <row r="737298" spans="10:10">
      <c r="J737298" s="5"/>
    </row>
    <row r="737299" spans="10:10">
      <c r="J737299" s="5"/>
    </row>
    <row r="737300" spans="10:10">
      <c r="J737300" s="5"/>
    </row>
    <row r="737301" spans="10:10">
      <c r="J737301" s="5"/>
    </row>
    <row r="737302" spans="10:10">
      <c r="J737302" s="1"/>
    </row>
    <row r="737303" spans="10:10">
      <c r="J737303" s="1"/>
    </row>
    <row r="737304" spans="10:10">
      <c r="J737304" s="1"/>
    </row>
    <row r="737305" spans="10:10">
      <c r="J737305" s="1"/>
    </row>
    <row r="737306" spans="10:10">
      <c r="J737306" s="1"/>
    </row>
    <row r="753665" spans="10:10">
      <c r="J753665" s="1"/>
    </row>
    <row r="753666" spans="10:10">
      <c r="J753666" s="24"/>
    </row>
    <row r="753667" spans="10:10">
      <c r="J753667" s="24"/>
    </row>
    <row r="753668" spans="10:10">
      <c r="J753668" s="24"/>
    </row>
    <row r="753669" spans="10:10">
      <c r="J753669" s="24"/>
    </row>
    <row r="753670" spans="10:10">
      <c r="J753670" s="25"/>
    </row>
    <row r="753671" spans="10:10">
      <c r="J753671" s="25"/>
    </row>
    <row r="753672" spans="10:10">
      <c r="J753672" s="25"/>
    </row>
    <row r="753673" spans="10:10">
      <c r="J753673" s="25"/>
    </row>
    <row r="753674" spans="10:10">
      <c r="J753674" s="1"/>
    </row>
    <row r="753675" spans="10:10">
      <c r="J753675" s="1"/>
    </row>
    <row r="753676" spans="10:10">
      <c r="J753676" s="24"/>
    </row>
    <row r="753677" spans="10:10">
      <c r="J753677" s="1"/>
    </row>
    <row r="753678" spans="10:10">
      <c r="J753678" s="1"/>
    </row>
    <row r="753679" spans="10:10">
      <c r="J753679" s="1"/>
    </row>
    <row r="753680" spans="10:10">
      <c r="J753680" s="1"/>
    </row>
    <row r="753681" spans="10:10">
      <c r="J753681" s="4"/>
    </row>
    <row r="753682" spans="10:10">
      <c r="J753682" s="5"/>
    </row>
    <row r="753683" spans="10:10">
      <c r="J753683" s="5"/>
    </row>
    <row r="753684" spans="10:10">
      <c r="J753684" s="5"/>
    </row>
    <row r="753685" spans="10:10">
      <c r="J753685" s="5"/>
    </row>
    <row r="753686" spans="10:10">
      <c r="J753686" s="1"/>
    </row>
    <row r="753687" spans="10:10">
      <c r="J753687" s="1"/>
    </row>
    <row r="753688" spans="10:10">
      <c r="J753688" s="1"/>
    </row>
    <row r="753689" spans="10:10">
      <c r="J753689" s="1"/>
    </row>
    <row r="753690" spans="10:10">
      <c r="J753690" s="1"/>
    </row>
    <row r="770049" spans="10:10">
      <c r="J770049" s="1"/>
    </row>
    <row r="770050" spans="10:10">
      <c r="J770050" s="24"/>
    </row>
    <row r="770051" spans="10:10">
      <c r="J770051" s="24"/>
    </row>
    <row r="770052" spans="10:10">
      <c r="J770052" s="24"/>
    </row>
    <row r="770053" spans="10:10">
      <c r="J770053" s="24"/>
    </row>
    <row r="770054" spans="10:10">
      <c r="J770054" s="25"/>
    </row>
    <row r="770055" spans="10:10">
      <c r="J770055" s="25"/>
    </row>
    <row r="770056" spans="10:10">
      <c r="J770056" s="25"/>
    </row>
    <row r="770057" spans="10:10">
      <c r="J770057" s="25"/>
    </row>
    <row r="770058" spans="10:10">
      <c r="J770058" s="1"/>
    </row>
    <row r="770059" spans="10:10">
      <c r="J770059" s="1"/>
    </row>
    <row r="770060" spans="10:10">
      <c r="J770060" s="24"/>
    </row>
    <row r="770061" spans="10:10">
      <c r="J770061" s="1"/>
    </row>
    <row r="770062" spans="10:10">
      <c r="J770062" s="1"/>
    </row>
    <row r="770063" spans="10:10">
      <c r="J770063" s="1"/>
    </row>
    <row r="770064" spans="10:10">
      <c r="J770064" s="1"/>
    </row>
    <row r="770065" spans="10:10">
      <c r="J770065" s="4"/>
    </row>
    <row r="770066" spans="10:10">
      <c r="J770066" s="5"/>
    </row>
    <row r="770067" spans="10:10">
      <c r="J770067" s="5"/>
    </row>
    <row r="770068" spans="10:10">
      <c r="J770068" s="5"/>
    </row>
    <row r="770069" spans="10:10">
      <c r="J770069" s="5"/>
    </row>
    <row r="770070" spans="10:10">
      <c r="J770070" s="1"/>
    </row>
    <row r="770071" spans="10:10">
      <c r="J770071" s="1"/>
    </row>
    <row r="770072" spans="10:10">
      <c r="J770072" s="1"/>
    </row>
    <row r="770073" spans="10:10">
      <c r="J770073" s="1"/>
    </row>
    <row r="770074" spans="10:10">
      <c r="J770074" s="1"/>
    </row>
    <row r="786433" spans="10:10">
      <c r="J786433" s="1"/>
    </row>
    <row r="786434" spans="10:10">
      <c r="J786434" s="24"/>
    </row>
    <row r="786435" spans="10:10">
      <c r="J786435" s="24"/>
    </row>
    <row r="786436" spans="10:10">
      <c r="J786436" s="24"/>
    </row>
    <row r="786437" spans="10:10">
      <c r="J786437" s="24"/>
    </row>
    <row r="786438" spans="10:10">
      <c r="J786438" s="25"/>
    </row>
    <row r="786439" spans="10:10">
      <c r="J786439" s="25"/>
    </row>
    <row r="786440" spans="10:10">
      <c r="J786440" s="25"/>
    </row>
    <row r="786441" spans="10:10">
      <c r="J786441" s="25"/>
    </row>
    <row r="786442" spans="10:10">
      <c r="J786442" s="1"/>
    </row>
    <row r="786443" spans="10:10">
      <c r="J786443" s="1"/>
    </row>
    <row r="786444" spans="10:10">
      <c r="J786444" s="24"/>
    </row>
    <row r="786445" spans="10:10">
      <c r="J786445" s="1"/>
    </row>
    <row r="786446" spans="10:10">
      <c r="J786446" s="1"/>
    </row>
    <row r="786447" spans="10:10">
      <c r="J786447" s="1"/>
    </row>
    <row r="786448" spans="10:10">
      <c r="J786448" s="1"/>
    </row>
    <row r="786449" spans="10:10">
      <c r="J786449" s="4"/>
    </row>
    <row r="786450" spans="10:10">
      <c r="J786450" s="5"/>
    </row>
    <row r="786451" spans="10:10">
      <c r="J786451" s="5"/>
    </row>
    <row r="786452" spans="10:10">
      <c r="J786452" s="5"/>
    </row>
    <row r="786453" spans="10:10">
      <c r="J786453" s="5"/>
    </row>
    <row r="786454" spans="10:10">
      <c r="J786454" s="1"/>
    </row>
    <row r="786455" spans="10:10">
      <c r="J786455" s="1"/>
    </row>
    <row r="786456" spans="10:10">
      <c r="J786456" s="1"/>
    </row>
    <row r="786457" spans="10:10">
      <c r="J786457" s="1"/>
    </row>
    <row r="786458" spans="10:10">
      <c r="J786458" s="1"/>
    </row>
    <row r="802817" spans="10:10">
      <c r="J802817" s="1"/>
    </row>
    <row r="802818" spans="10:10">
      <c r="J802818" s="24"/>
    </row>
    <row r="802819" spans="10:10">
      <c r="J802819" s="24"/>
    </row>
    <row r="802820" spans="10:10">
      <c r="J802820" s="24"/>
    </row>
    <row r="802821" spans="10:10">
      <c r="J802821" s="24"/>
    </row>
    <row r="802822" spans="10:10">
      <c r="J802822" s="25"/>
    </row>
    <row r="802823" spans="10:10">
      <c r="J802823" s="25"/>
    </row>
    <row r="802824" spans="10:10">
      <c r="J802824" s="25"/>
    </row>
    <row r="802825" spans="10:10">
      <c r="J802825" s="25"/>
    </row>
    <row r="802826" spans="10:10">
      <c r="J802826" s="1"/>
    </row>
    <row r="802827" spans="10:10">
      <c r="J802827" s="1"/>
    </row>
    <row r="802828" spans="10:10">
      <c r="J802828" s="24"/>
    </row>
    <row r="802829" spans="10:10">
      <c r="J802829" s="1"/>
    </row>
    <row r="802830" spans="10:10">
      <c r="J802830" s="1"/>
    </row>
    <row r="802831" spans="10:10">
      <c r="J802831" s="1"/>
    </row>
    <row r="802832" spans="10:10">
      <c r="J802832" s="1"/>
    </row>
    <row r="802833" spans="10:10">
      <c r="J802833" s="4"/>
    </row>
    <row r="802834" spans="10:10">
      <c r="J802834" s="5"/>
    </row>
    <row r="802835" spans="10:10">
      <c r="J802835" s="5"/>
    </row>
    <row r="802836" spans="10:10">
      <c r="J802836" s="5"/>
    </row>
    <row r="802837" spans="10:10">
      <c r="J802837" s="5"/>
    </row>
    <row r="802838" spans="10:10">
      <c r="J802838" s="1"/>
    </row>
    <row r="802839" spans="10:10">
      <c r="J802839" s="1"/>
    </row>
    <row r="802840" spans="10:10">
      <c r="J802840" s="1"/>
    </row>
    <row r="802841" spans="10:10">
      <c r="J802841" s="1"/>
    </row>
    <row r="802842" spans="10:10">
      <c r="J802842" s="1"/>
    </row>
    <row r="819201" spans="10:10">
      <c r="J819201" s="1"/>
    </row>
    <row r="819202" spans="10:10">
      <c r="J819202" s="24"/>
    </row>
    <row r="819203" spans="10:10">
      <c r="J819203" s="24"/>
    </row>
    <row r="819204" spans="10:10">
      <c r="J819204" s="24"/>
    </row>
    <row r="819205" spans="10:10">
      <c r="J819205" s="24"/>
    </row>
    <row r="819206" spans="10:10">
      <c r="J819206" s="25"/>
    </row>
    <row r="819207" spans="10:10">
      <c r="J819207" s="25"/>
    </row>
    <row r="819208" spans="10:10">
      <c r="J819208" s="25"/>
    </row>
    <row r="819209" spans="10:10">
      <c r="J819209" s="25"/>
    </row>
    <row r="819210" spans="10:10">
      <c r="J819210" s="1"/>
    </row>
    <row r="819211" spans="10:10">
      <c r="J819211" s="1"/>
    </row>
    <row r="819212" spans="10:10">
      <c r="J819212" s="24"/>
    </row>
    <row r="819213" spans="10:10">
      <c r="J819213" s="1"/>
    </row>
    <row r="819214" spans="10:10">
      <c r="J819214" s="1"/>
    </row>
    <row r="819215" spans="10:10">
      <c r="J819215" s="1"/>
    </row>
    <row r="819216" spans="10:10">
      <c r="J819216" s="1"/>
    </row>
    <row r="819217" spans="10:10">
      <c r="J819217" s="4"/>
    </row>
    <row r="819218" spans="10:10">
      <c r="J819218" s="5"/>
    </row>
    <row r="819219" spans="10:10">
      <c r="J819219" s="5"/>
    </row>
    <row r="819220" spans="10:10">
      <c r="J819220" s="5"/>
    </row>
    <row r="819221" spans="10:10">
      <c r="J819221" s="5"/>
    </row>
    <row r="819222" spans="10:10">
      <c r="J819222" s="1"/>
    </row>
    <row r="819223" spans="10:10">
      <c r="J819223" s="1"/>
    </row>
    <row r="819224" spans="10:10">
      <c r="J819224" s="1"/>
    </row>
    <row r="819225" spans="10:10">
      <c r="J819225" s="1"/>
    </row>
    <row r="819226" spans="10:10">
      <c r="J819226" s="1"/>
    </row>
    <row r="835585" spans="10:10">
      <c r="J835585" s="1"/>
    </row>
    <row r="835586" spans="10:10">
      <c r="J835586" s="24"/>
    </row>
    <row r="835587" spans="10:10">
      <c r="J835587" s="24"/>
    </row>
    <row r="835588" spans="10:10">
      <c r="J835588" s="24"/>
    </row>
    <row r="835589" spans="10:10">
      <c r="J835589" s="24"/>
    </row>
    <row r="835590" spans="10:10">
      <c r="J835590" s="25"/>
    </row>
    <row r="835591" spans="10:10">
      <c r="J835591" s="25"/>
    </row>
    <row r="835592" spans="10:10">
      <c r="J835592" s="25"/>
    </row>
    <row r="835593" spans="10:10">
      <c r="J835593" s="25"/>
    </row>
    <row r="835594" spans="10:10">
      <c r="J835594" s="1"/>
    </row>
    <row r="835595" spans="10:10">
      <c r="J835595" s="1"/>
    </row>
    <row r="835596" spans="10:10">
      <c r="J835596" s="24"/>
    </row>
    <row r="835597" spans="10:10">
      <c r="J835597" s="1"/>
    </row>
    <row r="835598" spans="10:10">
      <c r="J835598" s="1"/>
    </row>
    <row r="835599" spans="10:10">
      <c r="J835599" s="1"/>
    </row>
    <row r="835600" spans="10:10">
      <c r="J835600" s="1"/>
    </row>
    <row r="835601" spans="10:10">
      <c r="J835601" s="4"/>
    </row>
    <row r="835602" spans="10:10">
      <c r="J835602" s="5"/>
    </row>
    <row r="835603" spans="10:10">
      <c r="J835603" s="5"/>
    </row>
    <row r="835604" spans="10:10">
      <c r="J835604" s="5"/>
    </row>
    <row r="835605" spans="10:10">
      <c r="J835605" s="5"/>
    </row>
    <row r="835606" spans="10:10">
      <c r="J835606" s="1"/>
    </row>
    <row r="835607" spans="10:10">
      <c r="J835607" s="1"/>
    </row>
    <row r="835608" spans="10:10">
      <c r="J835608" s="1"/>
    </row>
    <row r="835609" spans="10:10">
      <c r="J835609" s="1"/>
    </row>
    <row r="835610" spans="10:10">
      <c r="J835610" s="1"/>
    </row>
    <row r="851969" spans="10:10">
      <c r="J851969" s="1"/>
    </row>
    <row r="851970" spans="10:10">
      <c r="J851970" s="24"/>
    </row>
    <row r="851971" spans="10:10">
      <c r="J851971" s="24"/>
    </row>
    <row r="851972" spans="10:10">
      <c r="J851972" s="24"/>
    </row>
    <row r="851973" spans="10:10">
      <c r="J851973" s="24"/>
    </row>
    <row r="851974" spans="10:10">
      <c r="J851974" s="25"/>
    </row>
    <row r="851975" spans="10:10">
      <c r="J851975" s="25"/>
    </row>
    <row r="851976" spans="10:10">
      <c r="J851976" s="25"/>
    </row>
    <row r="851977" spans="10:10">
      <c r="J851977" s="25"/>
    </row>
    <row r="851978" spans="10:10">
      <c r="J851978" s="1"/>
    </row>
    <row r="851979" spans="10:10">
      <c r="J851979" s="1"/>
    </row>
    <row r="851980" spans="10:10">
      <c r="J851980" s="24"/>
    </row>
    <row r="851981" spans="10:10">
      <c r="J851981" s="1"/>
    </row>
    <row r="851982" spans="10:10">
      <c r="J851982" s="1"/>
    </row>
    <row r="851983" spans="10:10">
      <c r="J851983" s="1"/>
    </row>
    <row r="851984" spans="10:10">
      <c r="J851984" s="1"/>
    </row>
    <row r="851985" spans="10:10">
      <c r="J851985" s="4"/>
    </row>
    <row r="851986" spans="10:10">
      <c r="J851986" s="5"/>
    </row>
    <row r="851987" spans="10:10">
      <c r="J851987" s="5"/>
    </row>
    <row r="851988" spans="10:10">
      <c r="J851988" s="5"/>
    </row>
    <row r="851989" spans="10:10">
      <c r="J851989" s="5"/>
    </row>
    <row r="851990" spans="10:10">
      <c r="J851990" s="1"/>
    </row>
    <row r="851991" spans="10:10">
      <c r="J851991" s="1"/>
    </row>
    <row r="851992" spans="10:10">
      <c r="J851992" s="1"/>
    </row>
    <row r="851993" spans="10:10">
      <c r="J851993" s="1"/>
    </row>
    <row r="851994" spans="10:10">
      <c r="J851994" s="1"/>
    </row>
    <row r="868353" spans="10:10">
      <c r="J868353" s="1"/>
    </row>
    <row r="868354" spans="10:10">
      <c r="J868354" s="24"/>
    </row>
    <row r="868355" spans="10:10">
      <c r="J868355" s="24"/>
    </row>
    <row r="868356" spans="10:10">
      <c r="J868356" s="24"/>
    </row>
    <row r="868357" spans="10:10">
      <c r="J868357" s="24"/>
    </row>
    <row r="868358" spans="10:10">
      <c r="J868358" s="25"/>
    </row>
    <row r="868359" spans="10:10">
      <c r="J868359" s="25"/>
    </row>
    <row r="868360" spans="10:10">
      <c r="J868360" s="25"/>
    </row>
    <row r="868361" spans="10:10">
      <c r="J868361" s="25"/>
    </row>
    <row r="868362" spans="10:10">
      <c r="J868362" s="1"/>
    </row>
    <row r="868363" spans="10:10">
      <c r="J868363" s="1"/>
    </row>
    <row r="868364" spans="10:10">
      <c r="J868364" s="24"/>
    </row>
    <row r="868365" spans="10:10">
      <c r="J868365" s="1"/>
    </row>
    <row r="868366" spans="10:10">
      <c r="J868366" s="1"/>
    </row>
    <row r="868367" spans="10:10">
      <c r="J868367" s="1"/>
    </row>
    <row r="868368" spans="10:10">
      <c r="J868368" s="1"/>
    </row>
    <row r="868369" spans="10:10">
      <c r="J868369" s="4"/>
    </row>
    <row r="868370" spans="10:10">
      <c r="J868370" s="5"/>
    </row>
    <row r="868371" spans="10:10">
      <c r="J868371" s="5"/>
    </row>
    <row r="868372" spans="10:10">
      <c r="J868372" s="5"/>
    </row>
    <row r="868373" spans="10:10">
      <c r="J868373" s="5"/>
    </row>
    <row r="868374" spans="10:10">
      <c r="J868374" s="1"/>
    </row>
    <row r="868375" spans="10:10">
      <c r="J868375" s="1"/>
    </row>
    <row r="868376" spans="10:10">
      <c r="J868376" s="1"/>
    </row>
    <row r="868377" spans="10:10">
      <c r="J868377" s="1"/>
    </row>
    <row r="868378" spans="10:10">
      <c r="J868378" s="1"/>
    </row>
    <row r="884737" spans="10:10">
      <c r="J884737" s="1"/>
    </row>
    <row r="884738" spans="10:10">
      <c r="J884738" s="24"/>
    </row>
    <row r="884739" spans="10:10">
      <c r="J884739" s="24"/>
    </row>
    <row r="884740" spans="10:10">
      <c r="J884740" s="24"/>
    </row>
    <row r="884741" spans="10:10">
      <c r="J884741" s="24"/>
    </row>
    <row r="884742" spans="10:10">
      <c r="J884742" s="25"/>
    </row>
    <row r="884743" spans="10:10">
      <c r="J884743" s="25"/>
    </row>
    <row r="884744" spans="10:10">
      <c r="J884744" s="25"/>
    </row>
    <row r="884745" spans="10:10">
      <c r="J884745" s="25"/>
    </row>
    <row r="884746" spans="10:10">
      <c r="J884746" s="1"/>
    </row>
    <row r="884747" spans="10:10">
      <c r="J884747" s="1"/>
    </row>
    <row r="884748" spans="10:10">
      <c r="J884748" s="24"/>
    </row>
    <row r="884749" spans="10:10">
      <c r="J884749" s="1"/>
    </row>
    <row r="884750" spans="10:10">
      <c r="J884750" s="1"/>
    </row>
    <row r="884751" spans="10:10">
      <c r="J884751" s="1"/>
    </row>
    <row r="884752" spans="10:10">
      <c r="J884752" s="1"/>
    </row>
    <row r="884753" spans="10:10">
      <c r="J884753" s="4"/>
    </row>
    <row r="884754" spans="10:10">
      <c r="J884754" s="5"/>
    </row>
    <row r="884755" spans="10:10">
      <c r="J884755" s="5"/>
    </row>
    <row r="884756" spans="10:10">
      <c r="J884756" s="5"/>
    </row>
    <row r="884757" spans="10:10">
      <c r="J884757" s="5"/>
    </row>
    <row r="884758" spans="10:10">
      <c r="J884758" s="1"/>
    </row>
    <row r="884759" spans="10:10">
      <c r="J884759" s="1"/>
    </row>
    <row r="884760" spans="10:10">
      <c r="J884760" s="1"/>
    </row>
    <row r="884761" spans="10:10">
      <c r="J884761" s="1"/>
    </row>
    <row r="884762" spans="10:10">
      <c r="J884762" s="1"/>
    </row>
    <row r="901121" spans="10:10">
      <c r="J901121" s="1"/>
    </row>
    <row r="901122" spans="10:10">
      <c r="J901122" s="24"/>
    </row>
    <row r="901123" spans="10:10">
      <c r="J901123" s="24"/>
    </row>
    <row r="901124" spans="10:10">
      <c r="J901124" s="24"/>
    </row>
    <row r="901125" spans="10:10">
      <c r="J901125" s="24"/>
    </row>
    <row r="901126" spans="10:10">
      <c r="J901126" s="25"/>
    </row>
    <row r="901127" spans="10:10">
      <c r="J901127" s="25"/>
    </row>
    <row r="901128" spans="10:10">
      <c r="J901128" s="25"/>
    </row>
    <row r="901129" spans="10:10">
      <c r="J901129" s="25"/>
    </row>
    <row r="901130" spans="10:10">
      <c r="J901130" s="1"/>
    </row>
    <row r="901131" spans="10:10">
      <c r="J901131" s="1"/>
    </row>
    <row r="901132" spans="10:10">
      <c r="J901132" s="24"/>
    </row>
    <row r="901133" spans="10:10">
      <c r="J901133" s="1"/>
    </row>
    <row r="901134" spans="10:10">
      <c r="J901134" s="1"/>
    </row>
    <row r="901135" spans="10:10">
      <c r="J901135" s="1"/>
    </row>
    <row r="901136" spans="10:10">
      <c r="J901136" s="1"/>
    </row>
    <row r="901137" spans="10:10">
      <c r="J901137" s="4"/>
    </row>
    <row r="901138" spans="10:10">
      <c r="J901138" s="5"/>
    </row>
    <row r="901139" spans="10:10">
      <c r="J901139" s="5"/>
    </row>
    <row r="901140" spans="10:10">
      <c r="J901140" s="5"/>
    </row>
    <row r="901141" spans="10:10">
      <c r="J901141" s="5"/>
    </row>
    <row r="901142" spans="10:10">
      <c r="J901142" s="1"/>
    </row>
    <row r="901143" spans="10:10">
      <c r="J901143" s="1"/>
    </row>
    <row r="901144" spans="10:10">
      <c r="J901144" s="1"/>
    </row>
    <row r="901145" spans="10:10">
      <c r="J901145" s="1"/>
    </row>
    <row r="901146" spans="10:10">
      <c r="J901146" s="1"/>
    </row>
    <row r="917505" spans="10:10">
      <c r="J917505" s="1"/>
    </row>
    <row r="917506" spans="10:10">
      <c r="J917506" s="24"/>
    </row>
    <row r="917507" spans="10:10">
      <c r="J917507" s="24"/>
    </row>
    <row r="917508" spans="10:10">
      <c r="J917508" s="24"/>
    </row>
    <row r="917509" spans="10:10">
      <c r="J917509" s="24"/>
    </row>
    <row r="917510" spans="10:10">
      <c r="J917510" s="25"/>
    </row>
    <row r="917511" spans="10:10">
      <c r="J917511" s="25"/>
    </row>
    <row r="917512" spans="10:10">
      <c r="J917512" s="25"/>
    </row>
    <row r="917513" spans="10:10">
      <c r="J917513" s="25"/>
    </row>
    <row r="917514" spans="10:10">
      <c r="J917514" s="1"/>
    </row>
    <row r="917515" spans="10:10">
      <c r="J917515" s="1"/>
    </row>
    <row r="917516" spans="10:10">
      <c r="J917516" s="24"/>
    </row>
    <row r="917517" spans="10:10">
      <c r="J917517" s="1"/>
    </row>
    <row r="917518" spans="10:10">
      <c r="J917518" s="1"/>
    </row>
    <row r="917519" spans="10:10">
      <c r="J917519" s="1"/>
    </row>
    <row r="917520" spans="10:10">
      <c r="J917520" s="1"/>
    </row>
    <row r="917521" spans="10:10">
      <c r="J917521" s="4"/>
    </row>
    <row r="917522" spans="10:10">
      <c r="J917522" s="5"/>
    </row>
    <row r="917523" spans="10:10">
      <c r="J917523" s="5"/>
    </row>
    <row r="917524" spans="10:10">
      <c r="J917524" s="5"/>
    </row>
    <row r="917525" spans="10:10">
      <c r="J917525" s="5"/>
    </row>
    <row r="917526" spans="10:10">
      <c r="J917526" s="1"/>
    </row>
    <row r="917527" spans="10:10">
      <c r="J917527" s="1"/>
    </row>
    <row r="917528" spans="10:10">
      <c r="J917528" s="1"/>
    </row>
    <row r="917529" spans="10:10">
      <c r="J917529" s="1"/>
    </row>
    <row r="917530" spans="10:10">
      <c r="J917530" s="1"/>
    </row>
    <row r="933889" spans="10:10">
      <c r="J933889" s="1"/>
    </row>
    <row r="933890" spans="10:10">
      <c r="J933890" s="24"/>
    </row>
    <row r="933891" spans="10:10">
      <c r="J933891" s="24"/>
    </row>
    <row r="933892" spans="10:10">
      <c r="J933892" s="24"/>
    </row>
    <row r="933893" spans="10:10">
      <c r="J933893" s="24"/>
    </row>
    <row r="933894" spans="10:10">
      <c r="J933894" s="25"/>
    </row>
    <row r="933895" spans="10:10">
      <c r="J933895" s="25"/>
    </row>
    <row r="933896" spans="10:10">
      <c r="J933896" s="25"/>
    </row>
    <row r="933897" spans="10:10">
      <c r="J933897" s="25"/>
    </row>
    <row r="933898" spans="10:10">
      <c r="J933898" s="1"/>
    </row>
    <row r="933899" spans="10:10">
      <c r="J933899" s="1"/>
    </row>
    <row r="933900" spans="10:10">
      <c r="J933900" s="24"/>
    </row>
    <row r="933901" spans="10:10">
      <c r="J933901" s="1"/>
    </row>
    <row r="933902" spans="10:10">
      <c r="J933902" s="1"/>
    </row>
    <row r="933903" spans="10:10">
      <c r="J933903" s="1"/>
    </row>
    <row r="933904" spans="10:10">
      <c r="J933904" s="1"/>
    </row>
    <row r="933905" spans="10:10">
      <c r="J933905" s="4"/>
    </row>
    <row r="933906" spans="10:10">
      <c r="J933906" s="5"/>
    </row>
    <row r="933907" spans="10:10">
      <c r="J933907" s="5"/>
    </row>
    <row r="933908" spans="10:10">
      <c r="J933908" s="5"/>
    </row>
    <row r="933909" spans="10:10">
      <c r="J933909" s="5"/>
    </row>
    <row r="933910" spans="10:10">
      <c r="J933910" s="1"/>
    </row>
    <row r="933911" spans="10:10">
      <c r="J933911" s="1"/>
    </row>
    <row r="933912" spans="10:10">
      <c r="J933912" s="1"/>
    </row>
    <row r="933913" spans="10:10">
      <c r="J933913" s="1"/>
    </row>
    <row r="933914" spans="10:10">
      <c r="J933914" s="1"/>
    </row>
    <row r="950273" spans="10:10">
      <c r="J950273" s="1"/>
    </row>
    <row r="950274" spans="10:10">
      <c r="J950274" s="24"/>
    </row>
    <row r="950275" spans="10:10">
      <c r="J950275" s="24"/>
    </row>
    <row r="950276" spans="10:10">
      <c r="J950276" s="24"/>
    </row>
    <row r="950277" spans="10:10">
      <c r="J950277" s="24"/>
    </row>
    <row r="950278" spans="10:10">
      <c r="J950278" s="25"/>
    </row>
    <row r="950279" spans="10:10">
      <c r="J950279" s="25"/>
    </row>
    <row r="950280" spans="10:10">
      <c r="J950280" s="25"/>
    </row>
    <row r="950281" spans="10:10">
      <c r="J950281" s="25"/>
    </row>
    <row r="950282" spans="10:10">
      <c r="J950282" s="1"/>
    </row>
    <row r="950283" spans="10:10">
      <c r="J950283" s="1"/>
    </row>
    <row r="950284" spans="10:10">
      <c r="J950284" s="24"/>
    </row>
    <row r="950285" spans="10:10">
      <c r="J950285" s="1"/>
    </row>
    <row r="950286" spans="10:10">
      <c r="J950286" s="1"/>
    </row>
    <row r="950287" spans="10:10">
      <c r="J950287" s="1"/>
    </row>
    <row r="950288" spans="10:10">
      <c r="J950288" s="1"/>
    </row>
    <row r="950289" spans="10:10">
      <c r="J950289" s="4"/>
    </row>
    <row r="950290" spans="10:10">
      <c r="J950290" s="5"/>
    </row>
    <row r="950291" spans="10:10">
      <c r="J950291" s="5"/>
    </row>
    <row r="950292" spans="10:10">
      <c r="J950292" s="5"/>
    </row>
    <row r="950293" spans="10:10">
      <c r="J950293" s="5"/>
    </row>
    <row r="950294" spans="10:10">
      <c r="J950294" s="1"/>
    </row>
    <row r="950295" spans="10:10">
      <c r="J950295" s="1"/>
    </row>
    <row r="950296" spans="10:10">
      <c r="J950296" s="1"/>
    </row>
    <row r="950297" spans="10:10">
      <c r="J950297" s="1"/>
    </row>
    <row r="950298" spans="10:10">
      <c r="J950298" s="1"/>
    </row>
    <row r="966657" spans="10:10">
      <c r="J966657" s="1"/>
    </row>
    <row r="966658" spans="10:10">
      <c r="J966658" s="24"/>
    </row>
    <row r="966659" spans="10:10">
      <c r="J966659" s="24"/>
    </row>
    <row r="966660" spans="10:10">
      <c r="J966660" s="24"/>
    </row>
    <row r="966661" spans="10:10">
      <c r="J966661" s="24"/>
    </row>
    <row r="966662" spans="10:10">
      <c r="J966662" s="25"/>
    </row>
    <row r="966663" spans="10:10">
      <c r="J966663" s="25"/>
    </row>
    <row r="966664" spans="10:10">
      <c r="J966664" s="25"/>
    </row>
    <row r="966665" spans="10:10">
      <c r="J966665" s="25"/>
    </row>
    <row r="966666" spans="10:10">
      <c r="J966666" s="1"/>
    </row>
    <row r="966667" spans="10:10">
      <c r="J966667" s="1"/>
    </row>
    <row r="966668" spans="10:10">
      <c r="J966668" s="24"/>
    </row>
    <row r="966669" spans="10:10">
      <c r="J966669" s="1"/>
    </row>
    <row r="966670" spans="10:10">
      <c r="J966670" s="1"/>
    </row>
    <row r="966671" spans="10:10">
      <c r="J966671" s="1"/>
    </row>
    <row r="966672" spans="10:10">
      <c r="J966672" s="1"/>
    </row>
    <row r="966673" spans="10:10">
      <c r="J966673" s="4"/>
    </row>
    <row r="966674" spans="10:10">
      <c r="J966674" s="5"/>
    </row>
    <row r="966675" spans="10:10">
      <c r="J966675" s="5"/>
    </row>
    <row r="966676" spans="10:10">
      <c r="J966676" s="5"/>
    </row>
    <row r="966677" spans="10:10">
      <c r="J966677" s="5"/>
    </row>
    <row r="966678" spans="10:10">
      <c r="J966678" s="1"/>
    </row>
    <row r="966679" spans="10:10">
      <c r="J966679" s="1"/>
    </row>
    <row r="966680" spans="10:10">
      <c r="J966680" s="1"/>
    </row>
    <row r="966681" spans="10:10">
      <c r="J966681" s="1"/>
    </row>
    <row r="966682" spans="10:10">
      <c r="J966682" s="1"/>
    </row>
    <row r="983041" spans="10:10">
      <c r="J983041" s="1"/>
    </row>
    <row r="983042" spans="10:10">
      <c r="J983042" s="24"/>
    </row>
    <row r="983043" spans="10:10">
      <c r="J983043" s="24"/>
    </row>
    <row r="983044" spans="10:10">
      <c r="J983044" s="24"/>
    </row>
    <row r="983045" spans="10:10">
      <c r="J983045" s="24"/>
    </row>
    <row r="983046" spans="10:10">
      <c r="J983046" s="25"/>
    </row>
    <row r="983047" spans="10:10">
      <c r="J983047" s="25"/>
    </row>
    <row r="983048" spans="10:10">
      <c r="J983048" s="25"/>
    </row>
    <row r="983049" spans="10:10">
      <c r="J983049" s="25"/>
    </row>
    <row r="983050" spans="10:10">
      <c r="J983050" s="1"/>
    </row>
    <row r="983051" spans="10:10">
      <c r="J983051" s="1"/>
    </row>
    <row r="983052" spans="10:10">
      <c r="J983052" s="24"/>
    </row>
    <row r="983053" spans="10:10">
      <c r="J983053" s="1"/>
    </row>
    <row r="983054" spans="10:10">
      <c r="J983054" s="1"/>
    </row>
    <row r="983055" spans="10:10">
      <c r="J983055" s="1"/>
    </row>
    <row r="983056" spans="10:10">
      <c r="J983056" s="1"/>
    </row>
    <row r="983057" spans="10:10">
      <c r="J983057" s="4"/>
    </row>
    <row r="983058" spans="10:10">
      <c r="J983058" s="5"/>
    </row>
    <row r="983059" spans="10:10">
      <c r="J983059" s="5"/>
    </row>
    <row r="983060" spans="10:10">
      <c r="J983060" s="5"/>
    </row>
    <row r="983061" spans="10:10">
      <c r="J983061" s="5"/>
    </row>
    <row r="983062" spans="10:10">
      <c r="J983062" s="1"/>
    </row>
    <row r="983063" spans="10:10">
      <c r="J983063" s="1"/>
    </row>
    <row r="983064" spans="10:10">
      <c r="J983064" s="1"/>
    </row>
    <row r="983065" spans="10:10">
      <c r="J983065" s="1"/>
    </row>
    <row r="983066" spans="10:10">
      <c r="J983066" s="1"/>
    </row>
    <row r="999425" spans="10:10">
      <c r="J999425" s="1"/>
    </row>
    <row r="999426" spans="10:10">
      <c r="J999426" s="24"/>
    </row>
    <row r="999427" spans="10:10">
      <c r="J999427" s="24"/>
    </row>
    <row r="999428" spans="10:10">
      <c r="J999428" s="24"/>
    </row>
    <row r="999429" spans="10:10">
      <c r="J999429" s="24"/>
    </row>
    <row r="999430" spans="10:10">
      <c r="J999430" s="25"/>
    </row>
    <row r="999431" spans="10:10">
      <c r="J999431" s="25"/>
    </row>
    <row r="999432" spans="10:10">
      <c r="J999432" s="25"/>
    </row>
    <row r="999433" spans="10:10">
      <c r="J999433" s="25"/>
    </row>
    <row r="999434" spans="10:10">
      <c r="J999434" s="1"/>
    </row>
    <row r="999435" spans="10:10">
      <c r="J999435" s="1"/>
    </row>
    <row r="999436" spans="10:10">
      <c r="J999436" s="24"/>
    </row>
    <row r="999437" spans="10:10">
      <c r="J999437" s="1"/>
    </row>
    <row r="999438" spans="10:10">
      <c r="J999438" s="1"/>
    </row>
    <row r="999439" spans="10:10">
      <c r="J999439" s="1"/>
    </row>
    <row r="999440" spans="10:10">
      <c r="J999440" s="1"/>
    </row>
    <row r="999441" spans="10:10">
      <c r="J999441" s="4"/>
    </row>
    <row r="999442" spans="10:10">
      <c r="J999442" s="5"/>
    </row>
    <row r="999443" spans="10:10">
      <c r="J999443" s="5"/>
    </row>
    <row r="999444" spans="10:10">
      <c r="J999444" s="5"/>
    </row>
    <row r="999445" spans="10:10">
      <c r="J999445" s="5"/>
    </row>
    <row r="999446" spans="10:10">
      <c r="J999446" s="1"/>
    </row>
    <row r="999447" spans="10:10">
      <c r="J999447" s="1"/>
    </row>
    <row r="999448" spans="10:10">
      <c r="J999448" s="1"/>
    </row>
    <row r="999449" spans="10:10">
      <c r="J999449" s="1"/>
    </row>
    <row r="999450" spans="10:10">
      <c r="J999450" s="1"/>
    </row>
    <row r="1015809" spans="10:10">
      <c r="J1015809" s="1"/>
    </row>
    <row r="1015810" spans="10:10">
      <c r="J1015810" s="24"/>
    </row>
    <row r="1015811" spans="10:10">
      <c r="J1015811" s="24"/>
    </row>
    <row r="1015812" spans="10:10">
      <c r="J1015812" s="24"/>
    </row>
    <row r="1015813" spans="10:10">
      <c r="J1015813" s="24"/>
    </row>
    <row r="1015814" spans="10:10">
      <c r="J1015814" s="25"/>
    </row>
    <row r="1015815" spans="10:10">
      <c r="J1015815" s="25"/>
    </row>
    <row r="1015816" spans="10:10">
      <c r="J1015816" s="25"/>
    </row>
    <row r="1015817" spans="10:10">
      <c r="J1015817" s="25"/>
    </row>
    <row r="1015818" spans="10:10">
      <c r="J1015818" s="1"/>
    </row>
    <row r="1015819" spans="10:10">
      <c r="J1015819" s="1"/>
    </row>
    <row r="1015820" spans="10:10">
      <c r="J1015820" s="24"/>
    </row>
    <row r="1015821" spans="10:10">
      <c r="J1015821" s="1"/>
    </row>
    <row r="1015822" spans="10:10">
      <c r="J1015822" s="1"/>
    </row>
    <row r="1015823" spans="10:10">
      <c r="J1015823" s="1"/>
    </row>
    <row r="1015824" spans="10:10">
      <c r="J1015824" s="1"/>
    </row>
    <row r="1015825" spans="10:10">
      <c r="J1015825" s="4"/>
    </row>
    <row r="1015826" spans="10:10">
      <c r="J1015826" s="5"/>
    </row>
    <row r="1015827" spans="10:10">
      <c r="J1015827" s="5"/>
    </row>
    <row r="1015828" spans="10:10">
      <c r="J1015828" s="5"/>
    </row>
    <row r="1015829" spans="10:10">
      <c r="J1015829" s="5"/>
    </row>
    <row r="1015830" spans="10:10">
      <c r="J1015830" s="1"/>
    </row>
    <row r="1015831" spans="10:10">
      <c r="J1015831" s="1"/>
    </row>
    <row r="1015832" spans="10:10">
      <c r="J1015832" s="1"/>
    </row>
    <row r="1015833" spans="10:10">
      <c r="J1015833" s="1"/>
    </row>
    <row r="1015834" spans="10:10">
      <c r="J1015834" s="1"/>
    </row>
    <row r="1032193" spans="10:10">
      <c r="J1032193" s="1"/>
    </row>
    <row r="1032194" spans="10:10">
      <c r="J1032194" s="24"/>
    </row>
    <row r="1032195" spans="10:10">
      <c r="J1032195" s="24"/>
    </row>
    <row r="1032196" spans="10:10">
      <c r="J1032196" s="24"/>
    </row>
    <row r="1032197" spans="10:10">
      <c r="J1032197" s="24"/>
    </row>
    <row r="1032198" spans="10:10">
      <c r="J1032198" s="25"/>
    </row>
    <row r="1032199" spans="10:10">
      <c r="J1032199" s="25"/>
    </row>
    <row r="1032200" spans="10:10">
      <c r="J1032200" s="25"/>
    </row>
    <row r="1032201" spans="10:10">
      <c r="J1032201" s="25"/>
    </row>
    <row r="1032202" spans="10:10">
      <c r="J1032202" s="1"/>
    </row>
    <row r="1032203" spans="10:10">
      <c r="J1032203" s="1"/>
    </row>
    <row r="1032204" spans="10:10">
      <c r="J1032204" s="24"/>
    </row>
    <row r="1032205" spans="10:10">
      <c r="J1032205" s="1"/>
    </row>
    <row r="1032206" spans="10:10">
      <c r="J1032206" s="1"/>
    </row>
    <row r="1032207" spans="10:10">
      <c r="J1032207" s="1"/>
    </row>
    <row r="1032208" spans="10:10">
      <c r="J1032208" s="1"/>
    </row>
    <row r="1032209" spans="10:10">
      <c r="J1032209" s="4"/>
    </row>
    <row r="1032210" spans="10:10">
      <c r="J1032210" s="5"/>
    </row>
    <row r="1032211" spans="10:10">
      <c r="J1032211" s="5"/>
    </row>
    <row r="1032212" spans="10:10">
      <c r="J1032212" s="5"/>
    </row>
    <row r="1032213" spans="10:10">
      <c r="J1032213" s="5"/>
    </row>
    <row r="1032214" spans="10:10">
      <c r="J1032214" s="1"/>
    </row>
    <row r="1032215" spans="10:10">
      <c r="J1032215" s="1"/>
    </row>
    <row r="1032216" spans="10:10">
      <c r="J1032216" s="1"/>
    </row>
    <row r="1032217" spans="10:10">
      <c r="J1032217" s="1"/>
    </row>
    <row r="1032218" spans="10:10">
      <c r="J10322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4B0F-BE2C-D94F-A08E-33E075ADFC8C}">
  <sheetPr>
    <tabColor theme="3" tint="0.89999084444715716"/>
  </sheetPr>
  <dimension ref="A1:H36"/>
  <sheetViews>
    <sheetView zoomScaleNormal="100" workbookViewId="0">
      <selection activeCell="B47" sqref="B47"/>
    </sheetView>
  </sheetViews>
  <sheetFormatPr baseColWidth="10" defaultRowHeight="16"/>
  <cols>
    <col min="1" max="1" width="35.6640625" customWidth="1"/>
    <col min="2" max="2" width="26.1640625" bestFit="1" customWidth="1"/>
    <col min="3" max="4" width="14.6640625" bestFit="1" customWidth="1"/>
    <col min="5" max="5" width="19.1640625" bestFit="1" customWidth="1"/>
    <col min="6" max="6" width="22.5" bestFit="1" customWidth="1"/>
    <col min="7" max="7" width="22" bestFit="1" customWidth="1"/>
    <col min="8" max="8" width="13.1640625" bestFit="1" customWidth="1"/>
  </cols>
  <sheetData>
    <row r="1" spans="1:8">
      <c r="A1" s="89" t="s">
        <v>435</v>
      </c>
      <c r="B1" s="90"/>
      <c r="C1" s="90"/>
      <c r="D1" s="90"/>
      <c r="E1" s="90"/>
      <c r="F1" s="90"/>
      <c r="G1" s="90"/>
      <c r="H1" s="90"/>
    </row>
    <row r="2" spans="1:8">
      <c r="A2" s="9"/>
      <c r="B2" s="9"/>
      <c r="C2" s="9"/>
      <c r="D2" s="9"/>
      <c r="E2" s="9"/>
      <c r="F2" s="9"/>
      <c r="G2" s="9"/>
      <c r="H2" s="9"/>
    </row>
    <row r="3" spans="1:8">
      <c r="A3" s="83">
        <v>2022</v>
      </c>
      <c r="B3" s="84"/>
      <c r="C3" s="84"/>
      <c r="D3" s="84"/>
      <c r="E3" s="84"/>
      <c r="F3" s="84"/>
      <c r="G3" s="84"/>
      <c r="H3" s="84"/>
    </row>
    <row r="4" spans="1:8">
      <c r="A4" s="38" t="s">
        <v>257</v>
      </c>
      <c r="B4" s="9"/>
      <c r="C4" s="9"/>
      <c r="D4" s="9"/>
      <c r="E4" s="9"/>
      <c r="F4" s="9"/>
      <c r="G4" s="9"/>
      <c r="H4" s="9"/>
    </row>
    <row r="5" spans="1:8">
      <c r="A5" s="9" t="s">
        <v>258</v>
      </c>
      <c r="B5" s="2" t="s">
        <v>264</v>
      </c>
      <c r="C5" s="9" t="s">
        <v>430</v>
      </c>
      <c r="D5" s="2" t="s">
        <v>431</v>
      </c>
      <c r="E5" s="2" t="s">
        <v>266</v>
      </c>
      <c r="F5" s="2" t="s">
        <v>433</v>
      </c>
      <c r="G5" s="2" t="s">
        <v>432</v>
      </c>
      <c r="H5" s="9"/>
    </row>
    <row r="6" spans="1:8">
      <c r="A6" s="9"/>
      <c r="B6" s="9"/>
      <c r="C6" s="9"/>
      <c r="D6" s="9"/>
      <c r="E6" s="9"/>
      <c r="F6" s="9"/>
      <c r="G6" s="9"/>
      <c r="H6" s="9"/>
    </row>
    <row r="7" spans="1:8">
      <c r="A7" s="9" t="s">
        <v>434</v>
      </c>
      <c r="B7" s="39" t="s">
        <v>266</v>
      </c>
      <c r="C7" s="9"/>
      <c r="D7" s="9"/>
      <c r="E7" s="9"/>
      <c r="F7" s="9"/>
      <c r="G7" s="9"/>
      <c r="H7" s="9"/>
    </row>
    <row r="8" spans="1:8">
      <c r="A8" s="9" t="s">
        <v>259</v>
      </c>
      <c r="B8" s="39" t="s">
        <v>263</v>
      </c>
      <c r="C8" s="39" t="s">
        <v>264</v>
      </c>
      <c r="D8" s="39" t="s">
        <v>265</v>
      </c>
      <c r="E8" s="9"/>
      <c r="F8" s="9"/>
      <c r="G8" s="9"/>
      <c r="H8" s="9"/>
    </row>
    <row r="9" spans="1:8">
      <c r="A9" s="9" t="s">
        <v>260</v>
      </c>
      <c r="B9" s="39" t="s">
        <v>265</v>
      </c>
      <c r="C9" s="9"/>
      <c r="D9" s="9"/>
      <c r="E9" s="9"/>
      <c r="F9" s="9"/>
      <c r="G9" s="9"/>
      <c r="H9" s="9"/>
    </row>
    <row r="10" spans="1:8">
      <c r="A10" s="9" t="s">
        <v>261</v>
      </c>
      <c r="B10" s="88" t="s">
        <v>267</v>
      </c>
      <c r="C10" s="9"/>
      <c r="D10" s="9"/>
      <c r="E10" s="9"/>
      <c r="F10" s="9"/>
      <c r="G10" s="9"/>
      <c r="H10" s="9"/>
    </row>
    <row r="11" spans="1:8">
      <c r="A11" s="9"/>
      <c r="B11" s="9"/>
      <c r="C11" s="9"/>
      <c r="D11" s="9"/>
      <c r="E11" s="9"/>
      <c r="F11" s="9"/>
      <c r="G11" s="9"/>
      <c r="H11" s="9"/>
    </row>
    <row r="12" spans="1:8">
      <c r="A12" s="38" t="s">
        <v>262</v>
      </c>
      <c r="B12" s="9"/>
      <c r="C12" s="9"/>
      <c r="D12" s="9"/>
      <c r="E12" s="9"/>
      <c r="F12" s="9"/>
      <c r="G12" s="9"/>
      <c r="H12" s="9"/>
    </row>
    <row r="13" spans="1:8">
      <c r="A13" s="9" t="s">
        <v>258</v>
      </c>
      <c r="B13" s="2" t="s">
        <v>264</v>
      </c>
      <c r="C13" s="9" t="s">
        <v>430</v>
      </c>
      <c r="D13" s="2" t="s">
        <v>431</v>
      </c>
      <c r="E13" s="2" t="s">
        <v>266</v>
      </c>
      <c r="F13" s="2" t="s">
        <v>433</v>
      </c>
      <c r="G13" s="2" t="s">
        <v>432</v>
      </c>
      <c r="H13" s="9"/>
    </row>
    <row r="14" spans="1:8">
      <c r="A14" s="9"/>
      <c r="B14" s="9"/>
      <c r="C14" s="9"/>
      <c r="D14" s="9"/>
      <c r="E14" s="9"/>
      <c r="F14" s="9"/>
      <c r="G14" s="9"/>
      <c r="H14" s="9"/>
    </row>
    <row r="15" spans="1:8">
      <c r="A15" s="9" t="s">
        <v>434</v>
      </c>
      <c r="B15" s="39" t="s">
        <v>266</v>
      </c>
      <c r="C15" s="9"/>
      <c r="D15" s="9"/>
      <c r="E15" s="9"/>
      <c r="F15" s="9"/>
      <c r="G15" s="9"/>
      <c r="H15" s="9"/>
    </row>
    <row r="16" spans="1:8">
      <c r="A16" s="9" t="s">
        <v>259</v>
      </c>
      <c r="B16" s="39" t="s">
        <v>263</v>
      </c>
      <c r="C16" s="39" t="s">
        <v>264</v>
      </c>
      <c r="D16" s="39" t="s">
        <v>265</v>
      </c>
      <c r="E16" s="9"/>
      <c r="F16" s="9"/>
      <c r="G16" s="9"/>
      <c r="H16" s="9"/>
    </row>
    <row r="17" spans="1:8">
      <c r="A17" s="9" t="s">
        <v>260</v>
      </c>
      <c r="B17" s="39" t="s">
        <v>265</v>
      </c>
      <c r="C17" s="9"/>
      <c r="D17" s="9"/>
      <c r="E17" s="9"/>
      <c r="F17" s="9"/>
      <c r="G17" s="9"/>
      <c r="H17" s="9"/>
    </row>
    <row r="18" spans="1:8">
      <c r="A18" s="9" t="s">
        <v>261</v>
      </c>
      <c r="B18" s="88" t="s">
        <v>267</v>
      </c>
      <c r="C18" s="9"/>
      <c r="D18" s="9"/>
      <c r="E18" s="9"/>
      <c r="F18" s="9"/>
      <c r="G18" s="9"/>
      <c r="H18" s="9"/>
    </row>
    <row r="19" spans="1:8">
      <c r="A19" s="9"/>
      <c r="B19" s="9"/>
      <c r="C19" s="9"/>
      <c r="D19" s="9"/>
      <c r="E19" s="9"/>
      <c r="F19" s="9"/>
      <c r="G19" s="9"/>
      <c r="H19" s="9"/>
    </row>
    <row r="20" spans="1:8">
      <c r="A20" s="83">
        <v>2023</v>
      </c>
      <c r="B20" s="84"/>
      <c r="C20" s="84"/>
      <c r="D20" s="84"/>
      <c r="E20" s="84"/>
      <c r="F20" s="84"/>
      <c r="G20" s="84"/>
      <c r="H20" s="84"/>
    </row>
    <row r="21" spans="1:8">
      <c r="A21" s="38" t="s">
        <v>257</v>
      </c>
      <c r="B21" s="9"/>
      <c r="C21" s="9"/>
      <c r="D21" s="9"/>
      <c r="E21" s="9"/>
      <c r="F21" s="9"/>
      <c r="G21" s="9"/>
      <c r="H21" s="9"/>
    </row>
    <row r="22" spans="1:8">
      <c r="A22" s="9" t="s">
        <v>258</v>
      </c>
      <c r="B22" s="39" t="s">
        <v>263</v>
      </c>
      <c r="C22" s="39" t="s">
        <v>264</v>
      </c>
      <c r="D22" s="39" t="s">
        <v>265</v>
      </c>
      <c r="E22" s="39" t="s">
        <v>268</v>
      </c>
      <c r="F22" s="39" t="s">
        <v>269</v>
      </c>
      <c r="G22" s="39" t="s">
        <v>270</v>
      </c>
      <c r="H22" s="39" t="s">
        <v>271</v>
      </c>
    </row>
    <row r="23" spans="1:8">
      <c r="A23" s="9"/>
      <c r="B23" s="39"/>
      <c r="C23" s="39"/>
      <c r="D23" s="39"/>
      <c r="E23" s="39"/>
      <c r="F23" s="39"/>
      <c r="G23" s="39"/>
      <c r="H23" s="39"/>
    </row>
    <row r="24" spans="1:8">
      <c r="A24" s="9" t="s">
        <v>434</v>
      </c>
      <c r="B24" s="39" t="s">
        <v>263</v>
      </c>
      <c r="C24" s="9"/>
      <c r="D24" s="9"/>
      <c r="E24" s="9"/>
      <c r="F24" s="9"/>
      <c r="G24" s="9"/>
      <c r="H24" s="9"/>
    </row>
    <row r="25" spans="1:8">
      <c r="A25" s="9" t="s">
        <v>259</v>
      </c>
      <c r="B25" s="39" t="s">
        <v>263</v>
      </c>
      <c r="C25" s="39" t="s">
        <v>265</v>
      </c>
      <c r="D25" s="9"/>
      <c r="E25" s="9"/>
      <c r="F25" s="9"/>
      <c r="G25" s="9"/>
      <c r="H25" s="9"/>
    </row>
    <row r="26" spans="1:8">
      <c r="A26" s="9" t="s">
        <v>260</v>
      </c>
      <c r="B26" s="39" t="s">
        <v>265</v>
      </c>
      <c r="C26" s="9"/>
      <c r="D26" s="9"/>
      <c r="E26" s="9"/>
      <c r="F26" s="9"/>
      <c r="G26" s="9"/>
      <c r="H26" s="9"/>
    </row>
    <row r="27" spans="1:8">
      <c r="A27" s="9" t="s">
        <v>261</v>
      </c>
      <c r="B27" s="88" t="s">
        <v>267</v>
      </c>
      <c r="C27" s="9"/>
      <c r="D27" s="9"/>
      <c r="E27" s="9"/>
      <c r="F27" s="9"/>
      <c r="G27" s="9"/>
      <c r="H27" s="9"/>
    </row>
    <row r="28" spans="1:8">
      <c r="A28" s="9"/>
      <c r="B28" s="9"/>
      <c r="C28" s="9"/>
      <c r="D28" s="9"/>
      <c r="E28" s="9"/>
      <c r="F28" s="9"/>
      <c r="G28" s="9"/>
      <c r="H28" s="9"/>
    </row>
    <row r="29" spans="1:8">
      <c r="A29" s="38" t="s">
        <v>262</v>
      </c>
      <c r="B29" s="9"/>
      <c r="C29" s="9"/>
      <c r="D29" s="9"/>
      <c r="E29" s="9"/>
      <c r="F29" s="9"/>
      <c r="G29" s="9"/>
      <c r="H29" s="9"/>
    </row>
    <row r="30" spans="1:8">
      <c r="A30" s="9" t="s">
        <v>258</v>
      </c>
      <c r="B30" s="39" t="s">
        <v>263</v>
      </c>
      <c r="C30" s="39" t="s">
        <v>265</v>
      </c>
      <c r="D30" s="39" t="s">
        <v>264</v>
      </c>
      <c r="E30" s="39" t="s">
        <v>269</v>
      </c>
      <c r="F30" s="39" t="s">
        <v>268</v>
      </c>
      <c r="G30" s="39" t="s">
        <v>270</v>
      </c>
      <c r="H30" s="39" t="s">
        <v>271</v>
      </c>
    </row>
    <row r="31" spans="1:8">
      <c r="A31" t="s">
        <v>272</v>
      </c>
      <c r="B31" t="s">
        <v>273</v>
      </c>
      <c r="C31" t="s">
        <v>273</v>
      </c>
      <c r="D31" t="s">
        <v>274</v>
      </c>
      <c r="E31" t="s">
        <v>275</v>
      </c>
      <c r="F31" t="s">
        <v>276</v>
      </c>
      <c r="G31" t="s">
        <v>277</v>
      </c>
      <c r="H31" t="s">
        <v>278</v>
      </c>
    </row>
    <row r="32" spans="1:8">
      <c r="A32" s="9" t="s">
        <v>434</v>
      </c>
      <c r="B32" s="39" t="s">
        <v>263</v>
      </c>
      <c r="C32" s="9"/>
      <c r="D32" s="9"/>
      <c r="E32" s="9"/>
      <c r="F32" s="9"/>
      <c r="G32" s="9"/>
      <c r="H32" s="9"/>
    </row>
    <row r="33" spans="1:8">
      <c r="A33" s="9" t="s">
        <v>259</v>
      </c>
      <c r="B33" s="39" t="s">
        <v>263</v>
      </c>
      <c r="C33" s="39" t="s">
        <v>265</v>
      </c>
      <c r="D33" s="9"/>
      <c r="E33" s="9"/>
      <c r="F33" s="9"/>
      <c r="G33" s="9"/>
      <c r="H33" s="9"/>
    </row>
    <row r="34" spans="1:8">
      <c r="A34" s="9" t="s">
        <v>260</v>
      </c>
      <c r="B34" s="39" t="s">
        <v>265</v>
      </c>
      <c r="C34" s="9"/>
      <c r="D34" s="9"/>
      <c r="E34" s="9"/>
      <c r="F34" s="9"/>
      <c r="G34" s="9"/>
      <c r="H34" s="9"/>
    </row>
    <row r="35" spans="1:8">
      <c r="A35" s="9" t="s">
        <v>261</v>
      </c>
      <c r="B35" s="88" t="s">
        <v>267</v>
      </c>
      <c r="C35" s="9"/>
      <c r="D35" s="9"/>
      <c r="E35" s="9"/>
      <c r="F35" s="9"/>
      <c r="G35" s="9"/>
      <c r="H35" s="9"/>
    </row>
    <row r="36" spans="1:8">
      <c r="A36" s="9"/>
      <c r="B36" s="9"/>
      <c r="C36" s="9"/>
      <c r="D36" s="9"/>
      <c r="E36" s="9"/>
      <c r="F36" s="9"/>
      <c r="G36" s="9"/>
      <c r="H3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1B2C-4EDB-2E44-B7CA-FDD924341E46}">
  <dimension ref="A1:AM317"/>
  <sheetViews>
    <sheetView tabSelected="1" topLeftCell="AI1" zoomScaleNormal="100" workbookViewId="0">
      <pane ySplit="1" topLeftCell="A116" activePane="bottomLeft" state="frozen"/>
      <selection pane="bottomLeft" activeCell="AK137" sqref="AK137"/>
    </sheetView>
  </sheetViews>
  <sheetFormatPr baseColWidth="10" defaultRowHeight="16"/>
  <cols>
    <col min="1" max="1" width="15.5" style="9" bestFit="1" customWidth="1"/>
    <col min="2" max="2" width="14" style="121" bestFit="1" customWidth="1"/>
    <col min="3" max="3" width="13.83203125" style="9" bestFit="1" customWidth="1"/>
    <col min="4" max="4" width="8" style="9" bestFit="1" customWidth="1"/>
    <col min="5" max="5" width="6.83203125" style="9" bestFit="1" customWidth="1"/>
    <col min="6" max="6" width="9.6640625" style="9" bestFit="1" customWidth="1"/>
    <col min="7" max="7" width="13" style="9" bestFit="1" customWidth="1"/>
    <col min="8" max="8" width="8" style="9" bestFit="1" customWidth="1"/>
    <col min="9" max="9" width="10.5" style="9" bestFit="1" customWidth="1"/>
    <col min="10" max="10" width="9.83203125" style="9" bestFit="1" customWidth="1"/>
    <col min="11" max="11" width="9.5" style="9" bestFit="1" customWidth="1"/>
    <col min="12" max="15" width="15.33203125" style="9" bestFit="1" customWidth="1"/>
    <col min="16" max="16" width="17.33203125" style="108" bestFit="1" customWidth="1"/>
    <col min="17" max="17" width="14.33203125" style="9" bestFit="1" customWidth="1"/>
    <col min="18" max="18" width="15.1640625" style="140" bestFit="1" customWidth="1"/>
    <col min="19" max="19" width="21.5" style="116" bestFit="1" customWidth="1"/>
    <col min="20" max="20" width="21" style="108" bestFit="1" customWidth="1"/>
    <col min="21" max="21" width="29.83203125" style="108" bestFit="1" customWidth="1"/>
    <col min="22" max="22" width="10.1640625" style="9" bestFit="1" customWidth="1"/>
    <col min="23" max="23" width="17.6640625" style="9" bestFit="1" customWidth="1"/>
    <col min="24" max="24" width="15.1640625" style="121" bestFit="1" customWidth="1"/>
    <col min="25" max="25" width="10.5" style="121" bestFit="1" customWidth="1"/>
    <col min="26" max="26" width="15" style="108" bestFit="1" customWidth="1"/>
    <col min="27" max="27" width="11.33203125" style="23" bestFit="1" customWidth="1"/>
    <col min="28" max="28" width="13.5" style="9" bestFit="1" customWidth="1"/>
    <col min="29" max="29" width="10.83203125" style="9"/>
    <col min="30" max="30" width="13.83203125" style="9" bestFit="1" customWidth="1"/>
    <col min="31" max="31" width="11.1640625" style="9" bestFit="1" customWidth="1"/>
    <col min="32" max="32" width="12" style="9" bestFit="1" customWidth="1"/>
    <col min="33" max="33" width="17.33203125" style="9" bestFit="1" customWidth="1"/>
    <col min="34" max="34" width="16.33203125" style="9" bestFit="1" customWidth="1"/>
    <col min="35" max="35" width="42.83203125" style="9" bestFit="1" customWidth="1"/>
    <col min="36" max="36" width="22.83203125" style="9" bestFit="1" customWidth="1"/>
    <col min="37" max="38" width="10.83203125" style="9"/>
    <col min="40" max="16384" width="10.83203125" style="9"/>
  </cols>
  <sheetData>
    <row r="1" spans="1:36" s="135" customFormat="1">
      <c r="A1" s="134" t="s">
        <v>732</v>
      </c>
      <c r="B1" s="134" t="s">
        <v>482</v>
      </c>
      <c r="C1" s="134" t="s">
        <v>483</v>
      </c>
      <c r="D1" s="134" t="s">
        <v>231</v>
      </c>
      <c r="E1" s="135" t="s">
        <v>58</v>
      </c>
      <c r="F1" s="135" t="s">
        <v>246</v>
      </c>
      <c r="G1" s="135" t="s">
        <v>488</v>
      </c>
      <c r="H1" s="135" t="s">
        <v>60</v>
      </c>
      <c r="I1" s="135" t="s">
        <v>486</v>
      </c>
      <c r="J1" s="135" t="s">
        <v>59</v>
      </c>
      <c r="K1" s="135" t="s">
        <v>233</v>
      </c>
      <c r="L1" s="135" t="s">
        <v>489</v>
      </c>
      <c r="M1" s="135" t="s">
        <v>490</v>
      </c>
      <c r="N1" s="135" t="s">
        <v>491</v>
      </c>
      <c r="O1" s="135" t="s">
        <v>492</v>
      </c>
      <c r="P1" s="136" t="s">
        <v>8</v>
      </c>
      <c r="Q1" s="136" t="s">
        <v>61</v>
      </c>
      <c r="R1" s="136" t="s">
        <v>62</v>
      </c>
      <c r="S1" s="136" t="s">
        <v>242</v>
      </c>
      <c r="T1" s="134" t="s">
        <v>7</v>
      </c>
      <c r="U1" s="134" t="s">
        <v>19</v>
      </c>
      <c r="V1" s="135" t="s">
        <v>31</v>
      </c>
      <c r="W1" s="134" t="s">
        <v>23</v>
      </c>
      <c r="X1" s="134" t="s">
        <v>63</v>
      </c>
      <c r="Y1" s="134" t="s">
        <v>77</v>
      </c>
      <c r="Z1" s="134" t="s">
        <v>30</v>
      </c>
      <c r="AA1" s="137" t="s">
        <v>64</v>
      </c>
      <c r="AB1" s="138" t="s">
        <v>183</v>
      </c>
      <c r="AC1" s="138" t="s">
        <v>65</v>
      </c>
      <c r="AD1" s="138" t="s">
        <v>182</v>
      </c>
      <c r="AE1" s="138" t="s">
        <v>66</v>
      </c>
      <c r="AF1" s="134" t="s">
        <v>26</v>
      </c>
      <c r="AG1" s="134" t="s">
        <v>27</v>
      </c>
      <c r="AH1" s="134" t="s">
        <v>28</v>
      </c>
      <c r="AI1" s="134" t="s">
        <v>29</v>
      </c>
      <c r="AJ1" s="9" t="s">
        <v>245</v>
      </c>
    </row>
    <row r="2" spans="1:36">
      <c r="A2" s="138" t="s">
        <v>17</v>
      </c>
      <c r="B2" s="139">
        <v>44719</v>
      </c>
      <c r="C2" s="138" t="s">
        <v>487</v>
      </c>
      <c r="D2" s="138"/>
      <c r="E2" s="9">
        <v>1</v>
      </c>
      <c r="F2" s="138"/>
      <c r="G2" s="9" t="s">
        <v>9</v>
      </c>
      <c r="H2" s="9" t="s">
        <v>3</v>
      </c>
      <c r="J2" s="9" t="s">
        <v>253</v>
      </c>
      <c r="L2" s="9" t="s">
        <v>493</v>
      </c>
      <c r="M2" s="9" t="s">
        <v>493</v>
      </c>
      <c r="N2" s="9" t="s">
        <v>493</v>
      </c>
      <c r="O2" s="9" t="s">
        <v>493</v>
      </c>
      <c r="P2" s="21">
        <v>14.0923</v>
      </c>
      <c r="Q2" s="116">
        <f>B2</f>
        <v>44719</v>
      </c>
      <c r="R2" s="140">
        <v>44860</v>
      </c>
      <c r="S2" s="141">
        <f>R2-Q2</f>
        <v>141</v>
      </c>
      <c r="U2" s="108">
        <v>6.4000000000000001E-2</v>
      </c>
      <c r="V2" s="9" t="s">
        <v>34</v>
      </c>
      <c r="W2" s="9">
        <v>6</v>
      </c>
      <c r="X2" s="121" t="s">
        <v>46</v>
      </c>
      <c r="Y2" s="140">
        <v>44937</v>
      </c>
      <c r="Z2" s="21">
        <v>0.96</v>
      </c>
      <c r="AA2" s="23">
        <v>1</v>
      </c>
      <c r="AB2" s="32" t="s">
        <v>158</v>
      </c>
      <c r="AC2" s="32" t="s">
        <v>187</v>
      </c>
      <c r="AD2" s="9" t="s">
        <v>163</v>
      </c>
      <c r="AE2" s="9" t="s">
        <v>209</v>
      </c>
      <c r="AF2" s="9">
        <v>37</v>
      </c>
      <c r="AG2" s="138" t="s">
        <v>506</v>
      </c>
      <c r="AH2" s="138" t="s">
        <v>1697</v>
      </c>
      <c r="AI2" s="9" t="s">
        <v>18</v>
      </c>
    </row>
    <row r="3" spans="1:36">
      <c r="A3" s="138" t="s">
        <v>507</v>
      </c>
      <c r="B3" s="139">
        <v>44719</v>
      </c>
      <c r="C3" s="138" t="s">
        <v>487</v>
      </c>
      <c r="D3" s="138"/>
      <c r="E3" s="9">
        <v>2</v>
      </c>
      <c r="F3" s="138"/>
      <c r="G3" s="9" t="s">
        <v>11</v>
      </c>
      <c r="H3" s="9" t="s">
        <v>3</v>
      </c>
      <c r="J3" s="9" t="s">
        <v>40</v>
      </c>
      <c r="L3" s="9" t="s">
        <v>493</v>
      </c>
      <c r="M3" s="9" t="s">
        <v>493</v>
      </c>
      <c r="N3" s="9" t="s">
        <v>493</v>
      </c>
      <c r="O3" s="9" t="s">
        <v>493</v>
      </c>
      <c r="P3" s="21">
        <v>15.3568</v>
      </c>
      <c r="Q3" s="116">
        <f t="shared" ref="Q3:Q66" si="0">B3</f>
        <v>44719</v>
      </c>
      <c r="R3" s="140">
        <v>44861</v>
      </c>
      <c r="S3" s="141">
        <f t="shared" ref="S3:S66" si="1">R3-Q3</f>
        <v>142</v>
      </c>
      <c r="U3" s="108">
        <v>0</v>
      </c>
      <c r="V3" s="9" t="s">
        <v>34</v>
      </c>
      <c r="W3" s="9">
        <v>6</v>
      </c>
      <c r="X3" s="121" t="s">
        <v>52</v>
      </c>
      <c r="Y3" s="140">
        <v>44937</v>
      </c>
      <c r="Z3" s="21">
        <v>2.74</v>
      </c>
      <c r="AA3" s="23">
        <v>1</v>
      </c>
      <c r="AB3" s="32" t="s">
        <v>161</v>
      </c>
      <c r="AC3" s="32" t="s">
        <v>190</v>
      </c>
      <c r="AD3" s="9" t="s">
        <v>163</v>
      </c>
      <c r="AE3" s="9" t="s">
        <v>209</v>
      </c>
      <c r="AF3" s="9">
        <v>73</v>
      </c>
      <c r="AG3" s="138" t="s">
        <v>507</v>
      </c>
      <c r="AH3" s="138" t="s">
        <v>1697</v>
      </c>
      <c r="AI3" s="9" t="s">
        <v>20</v>
      </c>
    </row>
    <row r="4" spans="1:36">
      <c r="A4" s="138" t="s">
        <v>508</v>
      </c>
      <c r="B4" s="139">
        <v>44719</v>
      </c>
      <c r="C4" s="138" t="s">
        <v>487</v>
      </c>
      <c r="D4" s="138"/>
      <c r="E4" s="9">
        <v>3</v>
      </c>
      <c r="F4" s="138"/>
      <c r="G4" s="9" t="s">
        <v>12</v>
      </c>
      <c r="H4" s="9" t="s">
        <v>230</v>
      </c>
      <c r="J4" s="9" t="s">
        <v>254</v>
      </c>
      <c r="L4" s="9" t="s">
        <v>493</v>
      </c>
      <c r="M4" s="9" t="s">
        <v>493</v>
      </c>
      <c r="N4" s="9" t="s">
        <v>493</v>
      </c>
      <c r="O4" s="9" t="s">
        <v>493</v>
      </c>
      <c r="P4" s="21">
        <v>14.604200000000001</v>
      </c>
      <c r="Q4" s="116">
        <f t="shared" si="0"/>
        <v>44719</v>
      </c>
      <c r="R4" s="140">
        <v>44860</v>
      </c>
      <c r="S4" s="141">
        <f t="shared" si="1"/>
        <v>141</v>
      </c>
      <c r="T4" s="21">
        <v>0.47599999999999998</v>
      </c>
      <c r="V4" s="9" t="s">
        <v>33</v>
      </c>
      <c r="W4" s="9">
        <v>3</v>
      </c>
      <c r="X4" s="121" t="s">
        <v>44</v>
      </c>
      <c r="Y4" s="140">
        <v>44938</v>
      </c>
      <c r="Z4" s="21">
        <v>9.68</v>
      </c>
      <c r="AA4" s="23">
        <v>1</v>
      </c>
      <c r="AB4" s="9" t="s">
        <v>156</v>
      </c>
      <c r="AC4" s="9" t="s">
        <v>185</v>
      </c>
      <c r="AD4" s="9" t="s">
        <v>69</v>
      </c>
      <c r="AE4" s="9" t="s">
        <v>214</v>
      </c>
      <c r="AF4" s="9">
        <v>23</v>
      </c>
      <c r="AG4" s="138" t="s">
        <v>508</v>
      </c>
      <c r="AH4" s="138" t="s">
        <v>1697</v>
      </c>
    </row>
    <row r="5" spans="1:36">
      <c r="A5" s="138" t="s">
        <v>509</v>
      </c>
      <c r="B5" s="139">
        <v>44719</v>
      </c>
      <c r="C5" s="138" t="s">
        <v>487</v>
      </c>
      <c r="D5" s="138"/>
      <c r="E5" s="9">
        <v>4</v>
      </c>
      <c r="F5" s="138"/>
      <c r="G5" s="9" t="s">
        <v>14</v>
      </c>
      <c r="H5" s="9" t="s">
        <v>230</v>
      </c>
      <c r="J5" s="9" t="s">
        <v>40</v>
      </c>
      <c r="L5" s="9" t="s">
        <v>493</v>
      </c>
      <c r="M5" s="9" t="s">
        <v>493</v>
      </c>
      <c r="N5" s="9" t="s">
        <v>493</v>
      </c>
      <c r="O5" s="9" t="s">
        <v>493</v>
      </c>
      <c r="P5" s="21">
        <v>12.7249</v>
      </c>
      <c r="Q5" s="116">
        <f t="shared" si="0"/>
        <v>44719</v>
      </c>
      <c r="R5" s="140">
        <v>44861</v>
      </c>
      <c r="S5" s="141">
        <f t="shared" si="1"/>
        <v>142</v>
      </c>
      <c r="T5" s="21">
        <v>0.24399999999999999</v>
      </c>
      <c r="V5" s="9" t="s">
        <v>33</v>
      </c>
      <c r="W5" s="9">
        <v>3</v>
      </c>
      <c r="X5" s="121" t="s">
        <v>48</v>
      </c>
      <c r="Y5" s="140">
        <v>44938</v>
      </c>
      <c r="Z5" s="21">
        <v>8.7799999999999994</v>
      </c>
      <c r="AA5" s="23">
        <v>1</v>
      </c>
      <c r="AB5" s="32" t="s">
        <v>158</v>
      </c>
      <c r="AC5" s="32" t="s">
        <v>187</v>
      </c>
      <c r="AD5" s="9" t="s">
        <v>69</v>
      </c>
      <c r="AE5" s="9" t="s">
        <v>214</v>
      </c>
      <c r="AF5" s="9">
        <v>47</v>
      </c>
      <c r="AG5" s="138" t="s">
        <v>509</v>
      </c>
      <c r="AH5" s="138" t="s">
        <v>1697</v>
      </c>
    </row>
    <row r="6" spans="1:36">
      <c r="A6" s="138" t="s">
        <v>510</v>
      </c>
      <c r="B6" s="139">
        <v>44719</v>
      </c>
      <c r="C6" s="138" t="s">
        <v>487</v>
      </c>
      <c r="D6" s="138"/>
      <c r="E6" s="9">
        <v>5</v>
      </c>
      <c r="F6" s="138"/>
      <c r="G6" s="9" t="s">
        <v>15</v>
      </c>
      <c r="H6" s="9" t="s">
        <v>230</v>
      </c>
      <c r="J6" s="9" t="s">
        <v>253</v>
      </c>
      <c r="L6" s="9" t="s">
        <v>493</v>
      </c>
      <c r="M6" s="9" t="s">
        <v>493</v>
      </c>
      <c r="N6" s="9" t="s">
        <v>493</v>
      </c>
      <c r="O6" s="9" t="s">
        <v>493</v>
      </c>
      <c r="P6" s="21">
        <v>12.228400000000001</v>
      </c>
      <c r="Q6" s="116">
        <f t="shared" si="0"/>
        <v>44719</v>
      </c>
      <c r="R6" s="140">
        <v>44861</v>
      </c>
      <c r="S6" s="141">
        <f t="shared" si="1"/>
        <v>142</v>
      </c>
      <c r="T6" s="21">
        <v>0.121</v>
      </c>
      <c r="U6" s="108">
        <v>0.40200000000000002</v>
      </c>
      <c r="V6" s="9" t="s">
        <v>33</v>
      </c>
      <c r="W6" s="9">
        <v>3</v>
      </c>
      <c r="X6" s="121" t="s">
        <v>52</v>
      </c>
      <c r="Y6" s="140">
        <v>44938</v>
      </c>
      <c r="Z6" s="21">
        <v>15.6</v>
      </c>
      <c r="AA6" s="23">
        <v>1</v>
      </c>
      <c r="AB6" s="32" t="s">
        <v>160</v>
      </c>
      <c r="AC6" s="32" t="s">
        <v>189</v>
      </c>
      <c r="AD6" s="9" t="s">
        <v>69</v>
      </c>
      <c r="AE6" s="9" t="s">
        <v>214</v>
      </c>
      <c r="AF6" s="9">
        <v>71</v>
      </c>
      <c r="AG6" s="138" t="s">
        <v>510</v>
      </c>
      <c r="AH6" s="138" t="s">
        <v>1697</v>
      </c>
      <c r="AI6" s="9" t="s">
        <v>18</v>
      </c>
    </row>
    <row r="7" spans="1:36">
      <c r="A7" s="138" t="s">
        <v>511</v>
      </c>
      <c r="B7" s="139">
        <v>44719</v>
      </c>
      <c r="C7" s="138" t="s">
        <v>487</v>
      </c>
      <c r="D7" s="138"/>
      <c r="E7" s="9">
        <v>6</v>
      </c>
      <c r="F7" s="138"/>
      <c r="G7" s="9" t="s">
        <v>16</v>
      </c>
      <c r="H7" s="9" t="s">
        <v>3</v>
      </c>
      <c r="J7" s="9" t="s">
        <v>254</v>
      </c>
      <c r="L7" s="9" t="s">
        <v>493</v>
      </c>
      <c r="M7" s="9" t="s">
        <v>493</v>
      </c>
      <c r="N7" s="9" t="s">
        <v>493</v>
      </c>
      <c r="O7" s="9" t="s">
        <v>493</v>
      </c>
      <c r="P7" s="21">
        <v>13.525499999999999</v>
      </c>
      <c r="Q7" s="116">
        <f t="shared" si="0"/>
        <v>44719</v>
      </c>
      <c r="R7" s="140">
        <v>44865</v>
      </c>
      <c r="S7" s="141">
        <f t="shared" si="1"/>
        <v>146</v>
      </c>
      <c r="T7" s="21">
        <v>0.13900000000000001</v>
      </c>
      <c r="U7" s="108">
        <v>0.35399999999999998</v>
      </c>
      <c r="V7" s="9" t="s">
        <v>33</v>
      </c>
      <c r="W7" s="9">
        <v>3</v>
      </c>
      <c r="X7" s="121" t="s">
        <v>56</v>
      </c>
      <c r="Y7" s="140">
        <v>44938</v>
      </c>
      <c r="Z7" s="21">
        <v>10.8</v>
      </c>
      <c r="AA7" s="23">
        <v>1</v>
      </c>
      <c r="AB7" s="32" t="s">
        <v>162</v>
      </c>
      <c r="AC7" s="32" t="s">
        <v>192</v>
      </c>
      <c r="AD7" s="9" t="s">
        <v>69</v>
      </c>
      <c r="AE7" s="9" t="s">
        <v>214</v>
      </c>
      <c r="AF7" s="9">
        <v>95</v>
      </c>
      <c r="AG7" s="138" t="s">
        <v>511</v>
      </c>
      <c r="AH7" s="138" t="s">
        <v>1697</v>
      </c>
      <c r="AI7" s="9" t="s">
        <v>18</v>
      </c>
    </row>
    <row r="8" spans="1:36">
      <c r="A8" s="138" t="s">
        <v>512</v>
      </c>
      <c r="B8" s="139">
        <v>44719</v>
      </c>
      <c r="C8" s="138" t="s">
        <v>487</v>
      </c>
      <c r="D8" s="138"/>
      <c r="E8" s="9">
        <v>7</v>
      </c>
      <c r="F8" s="138"/>
      <c r="G8" s="9" t="s">
        <v>14</v>
      </c>
      <c r="H8" s="9" t="s">
        <v>230</v>
      </c>
      <c r="J8" s="9" t="s">
        <v>40</v>
      </c>
      <c r="L8" s="9" t="s">
        <v>493</v>
      </c>
      <c r="M8" s="9" t="s">
        <v>493</v>
      </c>
      <c r="N8" s="9" t="s">
        <v>493</v>
      </c>
      <c r="O8" s="9" t="s">
        <v>493</v>
      </c>
      <c r="P8" s="21">
        <v>12.6693</v>
      </c>
      <c r="Q8" s="116">
        <f t="shared" si="0"/>
        <v>44719</v>
      </c>
      <c r="R8" s="140">
        <v>44861</v>
      </c>
      <c r="S8" s="141">
        <f t="shared" si="1"/>
        <v>142</v>
      </c>
      <c r="T8" s="21">
        <v>0.51800000000000002</v>
      </c>
      <c r="V8" s="9" t="s">
        <v>33</v>
      </c>
      <c r="W8" s="9">
        <v>3</v>
      </c>
      <c r="X8" s="121" t="s">
        <v>78</v>
      </c>
      <c r="Y8" s="140">
        <v>44938</v>
      </c>
      <c r="Z8" s="21">
        <v>18.8</v>
      </c>
      <c r="AA8" s="23">
        <v>1</v>
      </c>
      <c r="AB8" s="9" t="s">
        <v>156</v>
      </c>
      <c r="AC8" s="9" t="s">
        <v>185</v>
      </c>
      <c r="AD8" s="9" t="s">
        <v>167</v>
      </c>
      <c r="AE8" s="9" t="s">
        <v>215</v>
      </c>
      <c r="AF8" s="9">
        <v>24</v>
      </c>
      <c r="AG8" s="138" t="s">
        <v>512</v>
      </c>
      <c r="AH8" s="138" t="s">
        <v>1697</v>
      </c>
    </row>
    <row r="9" spans="1:36">
      <c r="A9" s="138" t="s">
        <v>513</v>
      </c>
      <c r="B9" s="139">
        <v>44719</v>
      </c>
      <c r="C9" s="138" t="s">
        <v>487</v>
      </c>
      <c r="D9" s="138"/>
      <c r="E9" s="9">
        <v>8</v>
      </c>
      <c r="F9" s="138"/>
      <c r="G9" s="9" t="s">
        <v>15</v>
      </c>
      <c r="H9" s="9" t="s">
        <v>230</v>
      </c>
      <c r="J9" s="9" t="s">
        <v>253</v>
      </c>
      <c r="L9" s="9" t="s">
        <v>493</v>
      </c>
      <c r="M9" s="9" t="s">
        <v>493</v>
      </c>
      <c r="N9" s="9" t="s">
        <v>493</v>
      </c>
      <c r="O9" s="9" t="s">
        <v>493</v>
      </c>
      <c r="P9" s="21">
        <v>12.7193</v>
      </c>
      <c r="Q9" s="116">
        <f t="shared" si="0"/>
        <v>44719</v>
      </c>
      <c r="R9" s="140">
        <v>44865</v>
      </c>
      <c r="S9" s="141">
        <f t="shared" si="1"/>
        <v>146</v>
      </c>
      <c r="T9" s="21">
        <v>0.24299999999999999</v>
      </c>
      <c r="V9" s="9" t="s">
        <v>33</v>
      </c>
      <c r="W9" s="9">
        <v>3</v>
      </c>
      <c r="X9" s="121" t="s">
        <v>143</v>
      </c>
      <c r="Y9" s="140">
        <v>44938</v>
      </c>
      <c r="Z9" s="21">
        <v>15.7</v>
      </c>
      <c r="AA9" s="23">
        <v>1</v>
      </c>
      <c r="AB9" s="32" t="s">
        <v>158</v>
      </c>
      <c r="AC9" s="32" t="s">
        <v>187</v>
      </c>
      <c r="AD9" s="9" t="s">
        <v>167</v>
      </c>
      <c r="AE9" s="9" t="s">
        <v>215</v>
      </c>
      <c r="AF9" s="9">
        <v>48</v>
      </c>
      <c r="AG9" s="138" t="s">
        <v>513</v>
      </c>
      <c r="AH9" s="138" t="s">
        <v>1697</v>
      </c>
    </row>
    <row r="10" spans="1:36">
      <c r="A10" s="138" t="s">
        <v>514</v>
      </c>
      <c r="B10" s="139">
        <v>44719</v>
      </c>
      <c r="C10" s="138" t="s">
        <v>487</v>
      </c>
      <c r="D10" s="138"/>
      <c r="E10" s="9">
        <v>9</v>
      </c>
      <c r="F10" s="138"/>
      <c r="G10" s="9" t="s">
        <v>12</v>
      </c>
      <c r="H10" s="9" t="s">
        <v>230</v>
      </c>
      <c r="J10" s="9" t="s">
        <v>254</v>
      </c>
      <c r="L10" s="9" t="s">
        <v>493</v>
      </c>
      <c r="M10" s="9" t="s">
        <v>493</v>
      </c>
      <c r="N10" s="9" t="s">
        <v>493</v>
      </c>
      <c r="O10" s="9" t="s">
        <v>493</v>
      </c>
      <c r="P10" s="21">
        <v>13.7264</v>
      </c>
      <c r="Q10" s="116">
        <f t="shared" si="0"/>
        <v>44719</v>
      </c>
      <c r="R10" s="140">
        <v>44886</v>
      </c>
      <c r="S10" s="141">
        <f t="shared" si="1"/>
        <v>167</v>
      </c>
      <c r="T10" s="21">
        <v>0.40799999999999997</v>
      </c>
      <c r="V10" s="9" t="s">
        <v>33</v>
      </c>
      <c r="W10" s="9">
        <v>3</v>
      </c>
      <c r="X10" s="121" t="s">
        <v>50</v>
      </c>
      <c r="Y10" s="140">
        <v>44938</v>
      </c>
      <c r="Z10" s="21">
        <v>10.3</v>
      </c>
      <c r="AA10" s="23">
        <v>1</v>
      </c>
      <c r="AB10" s="32" t="s">
        <v>159</v>
      </c>
      <c r="AC10" s="32" t="s">
        <v>188</v>
      </c>
      <c r="AD10" s="9" t="s">
        <v>69</v>
      </c>
      <c r="AE10" s="9" t="s">
        <v>214</v>
      </c>
      <c r="AF10" s="9">
        <v>59</v>
      </c>
      <c r="AG10" s="138" t="s">
        <v>514</v>
      </c>
      <c r="AH10" s="138" t="s">
        <v>1697</v>
      </c>
    </row>
    <row r="11" spans="1:36">
      <c r="A11" s="138" t="s">
        <v>515</v>
      </c>
      <c r="B11" s="139">
        <v>44719</v>
      </c>
      <c r="C11" s="138" t="s">
        <v>487</v>
      </c>
      <c r="D11" s="138"/>
      <c r="E11" s="9">
        <v>10</v>
      </c>
      <c r="F11" s="138"/>
      <c r="G11" s="9" t="s">
        <v>11</v>
      </c>
      <c r="H11" s="9" t="s">
        <v>3</v>
      </c>
      <c r="J11" s="9" t="s">
        <v>40</v>
      </c>
      <c r="L11" s="9" t="s">
        <v>493</v>
      </c>
      <c r="M11" s="9" t="s">
        <v>493</v>
      </c>
      <c r="N11" s="9" t="s">
        <v>493</v>
      </c>
      <c r="O11" s="9" t="s">
        <v>493</v>
      </c>
      <c r="P11" s="21">
        <v>12.383599999999999</v>
      </c>
      <c r="Q11" s="116">
        <f t="shared" si="0"/>
        <v>44719</v>
      </c>
      <c r="R11" s="140">
        <v>44861</v>
      </c>
      <c r="S11" s="141">
        <f t="shared" si="1"/>
        <v>142</v>
      </c>
      <c r="T11" s="21">
        <v>0.377</v>
      </c>
      <c r="V11" s="9" t="s">
        <v>33</v>
      </c>
      <c r="W11" s="9">
        <v>4</v>
      </c>
      <c r="X11" s="121" t="s">
        <v>46</v>
      </c>
      <c r="Y11" s="140">
        <v>45308</v>
      </c>
      <c r="Z11" s="21">
        <v>12.1</v>
      </c>
      <c r="AA11" s="23">
        <v>4</v>
      </c>
      <c r="AB11" s="32" t="s">
        <v>196</v>
      </c>
      <c r="AC11" s="32" t="s">
        <v>197</v>
      </c>
      <c r="AD11" s="9" t="s">
        <v>181</v>
      </c>
      <c r="AE11" s="9" t="s">
        <v>229</v>
      </c>
      <c r="AF11" s="9">
        <v>317</v>
      </c>
      <c r="AG11" s="138" t="s">
        <v>515</v>
      </c>
      <c r="AH11" s="138" t="s">
        <v>1697</v>
      </c>
    </row>
    <row r="12" spans="1:36">
      <c r="A12" s="138" t="s">
        <v>516</v>
      </c>
      <c r="B12" s="139">
        <v>44719</v>
      </c>
      <c r="C12" s="138" t="s">
        <v>487</v>
      </c>
      <c r="D12" s="138"/>
      <c r="E12" s="9">
        <v>11</v>
      </c>
      <c r="F12" s="138"/>
      <c r="G12" s="9" t="s">
        <v>9</v>
      </c>
      <c r="H12" s="9" t="s">
        <v>3</v>
      </c>
      <c r="J12" s="9" t="s">
        <v>253</v>
      </c>
      <c r="L12" s="9" t="s">
        <v>493</v>
      </c>
      <c r="M12" s="9" t="s">
        <v>493</v>
      </c>
      <c r="N12" s="9" t="s">
        <v>493</v>
      </c>
      <c r="O12" s="9" t="s">
        <v>493</v>
      </c>
      <c r="P12" s="21">
        <v>11.322699999999999</v>
      </c>
      <c r="Q12" s="116">
        <f t="shared" si="0"/>
        <v>44719</v>
      </c>
      <c r="R12" s="140">
        <v>44886</v>
      </c>
      <c r="S12" s="141">
        <f t="shared" si="1"/>
        <v>167</v>
      </c>
      <c r="T12" s="21">
        <v>0.26200000000000001</v>
      </c>
      <c r="V12" s="9" t="s">
        <v>33</v>
      </c>
      <c r="W12" s="9">
        <v>4</v>
      </c>
      <c r="X12" s="121" t="s">
        <v>50</v>
      </c>
      <c r="Y12" s="140">
        <v>45308</v>
      </c>
      <c r="Z12" s="21">
        <v>8.3800000000000008</v>
      </c>
      <c r="AA12" s="23">
        <v>4</v>
      </c>
      <c r="AB12" s="32" t="s">
        <v>200</v>
      </c>
      <c r="AC12" s="32" t="s">
        <v>201</v>
      </c>
      <c r="AD12" s="9" t="s">
        <v>181</v>
      </c>
      <c r="AE12" s="9" t="s">
        <v>229</v>
      </c>
      <c r="AF12" s="9">
        <v>341</v>
      </c>
      <c r="AG12" s="138" t="s">
        <v>516</v>
      </c>
      <c r="AH12" s="138" t="s">
        <v>1697</v>
      </c>
    </row>
    <row r="13" spans="1:36">
      <c r="A13" s="138" t="s">
        <v>517</v>
      </c>
      <c r="B13" s="139">
        <v>44719</v>
      </c>
      <c r="C13" s="138" t="s">
        <v>487</v>
      </c>
      <c r="D13" s="138"/>
      <c r="E13" s="9">
        <v>12</v>
      </c>
      <c r="F13" s="138"/>
      <c r="G13" s="9" t="s">
        <v>16</v>
      </c>
      <c r="H13" s="9" t="s">
        <v>3</v>
      </c>
      <c r="J13" s="9" t="s">
        <v>254</v>
      </c>
      <c r="L13" s="9" t="s">
        <v>493</v>
      </c>
      <c r="M13" s="9" t="s">
        <v>493</v>
      </c>
      <c r="N13" s="9" t="s">
        <v>493</v>
      </c>
      <c r="O13" s="9" t="s">
        <v>493</v>
      </c>
      <c r="P13" s="21">
        <v>14.2979</v>
      </c>
      <c r="Q13" s="116">
        <f t="shared" si="0"/>
        <v>44719</v>
      </c>
      <c r="R13" s="140">
        <v>44861</v>
      </c>
      <c r="S13" s="141">
        <f t="shared" si="1"/>
        <v>142</v>
      </c>
      <c r="T13" s="21">
        <v>0.89800000000000002</v>
      </c>
      <c r="V13" s="9" t="s">
        <v>32</v>
      </c>
      <c r="W13" s="9">
        <v>1</v>
      </c>
      <c r="X13" s="121" t="s">
        <v>127</v>
      </c>
      <c r="Y13" s="140">
        <v>44907</v>
      </c>
      <c r="Z13" s="21">
        <v>1.1599999999999999</v>
      </c>
      <c r="AA13" s="23">
        <v>3</v>
      </c>
      <c r="AB13" s="32" t="s">
        <v>206</v>
      </c>
      <c r="AC13" s="32" t="s">
        <v>207</v>
      </c>
      <c r="AD13" s="9" t="s">
        <v>170</v>
      </c>
      <c r="AE13" s="9" t="s">
        <v>218</v>
      </c>
      <c r="AF13" s="9">
        <v>189</v>
      </c>
      <c r="AG13" s="138" t="s">
        <v>517</v>
      </c>
      <c r="AH13" s="138" t="s">
        <v>1697</v>
      </c>
    </row>
    <row r="14" spans="1:36">
      <c r="A14" s="138" t="s">
        <v>518</v>
      </c>
      <c r="B14" s="139">
        <v>44719</v>
      </c>
      <c r="C14" s="138" t="s">
        <v>487</v>
      </c>
      <c r="D14" s="138"/>
      <c r="E14" s="9">
        <v>13</v>
      </c>
      <c r="F14" s="138"/>
      <c r="G14" s="9" t="s">
        <v>11</v>
      </c>
      <c r="H14" s="9" t="s">
        <v>3</v>
      </c>
      <c r="J14" s="9" t="s">
        <v>40</v>
      </c>
      <c r="L14" s="9" t="s">
        <v>493</v>
      </c>
      <c r="M14" s="9" t="s">
        <v>493</v>
      </c>
      <c r="N14" s="9" t="s">
        <v>493</v>
      </c>
      <c r="O14" s="9" t="s">
        <v>493</v>
      </c>
      <c r="P14" s="21">
        <v>13.6351</v>
      </c>
      <c r="Q14" s="116">
        <f t="shared" si="0"/>
        <v>44719</v>
      </c>
      <c r="R14" s="140">
        <v>44890</v>
      </c>
      <c r="S14" s="141">
        <f t="shared" si="1"/>
        <v>171</v>
      </c>
      <c r="T14" s="21">
        <v>0.55600000000000005</v>
      </c>
      <c r="V14" s="9" t="s">
        <v>32</v>
      </c>
      <c r="W14" s="9">
        <v>1</v>
      </c>
      <c r="X14" s="121" t="s">
        <v>134</v>
      </c>
      <c r="Y14" s="140">
        <v>44907</v>
      </c>
      <c r="Z14" s="21">
        <v>0.64944073528136648</v>
      </c>
      <c r="AA14" s="23">
        <v>3</v>
      </c>
      <c r="AB14" s="32" t="s">
        <v>206</v>
      </c>
      <c r="AC14" s="32" t="s">
        <v>207</v>
      </c>
      <c r="AD14" s="9" t="s">
        <v>171</v>
      </c>
      <c r="AE14" s="9" t="s">
        <v>219</v>
      </c>
      <c r="AF14" s="9">
        <v>190</v>
      </c>
      <c r="AG14" s="138" t="s">
        <v>518</v>
      </c>
      <c r="AH14" s="138" t="s">
        <v>1697</v>
      </c>
    </row>
    <row r="15" spans="1:36">
      <c r="A15" s="138" t="s">
        <v>519</v>
      </c>
      <c r="B15" s="139">
        <v>44719</v>
      </c>
      <c r="C15" s="138" t="s">
        <v>487</v>
      </c>
      <c r="D15" s="138"/>
      <c r="E15" s="9">
        <v>14</v>
      </c>
      <c r="F15" s="138"/>
      <c r="G15" s="9" t="s">
        <v>16</v>
      </c>
      <c r="H15" s="9" t="s">
        <v>3</v>
      </c>
      <c r="J15" s="9" t="s">
        <v>254</v>
      </c>
      <c r="L15" s="9" t="s">
        <v>493</v>
      </c>
      <c r="M15" s="9" t="s">
        <v>493</v>
      </c>
      <c r="N15" s="9" t="s">
        <v>493</v>
      </c>
      <c r="O15" s="9" t="s">
        <v>493</v>
      </c>
      <c r="P15" s="21">
        <v>15.5975</v>
      </c>
      <c r="Q15" s="116">
        <f t="shared" si="0"/>
        <v>44719</v>
      </c>
      <c r="R15" s="140">
        <v>44890</v>
      </c>
      <c r="S15" s="141">
        <f t="shared" si="1"/>
        <v>171</v>
      </c>
      <c r="T15" s="21">
        <v>1.0900000000000001</v>
      </c>
      <c r="V15" s="9" t="s">
        <v>33</v>
      </c>
      <c r="W15" s="9">
        <v>4</v>
      </c>
      <c r="X15" s="121" t="s">
        <v>79</v>
      </c>
      <c r="Y15" s="140">
        <v>45308</v>
      </c>
      <c r="Z15" s="21">
        <v>13.6</v>
      </c>
      <c r="AA15" s="23">
        <v>4</v>
      </c>
      <c r="AB15" s="32" t="s">
        <v>42</v>
      </c>
      <c r="AC15" s="32" t="s">
        <v>193</v>
      </c>
      <c r="AD15" s="9" t="s">
        <v>177</v>
      </c>
      <c r="AE15" s="9" t="s">
        <v>225</v>
      </c>
      <c r="AF15" s="9">
        <v>294</v>
      </c>
      <c r="AG15" s="138" t="s">
        <v>519</v>
      </c>
      <c r="AH15" s="138" t="s">
        <v>1697</v>
      </c>
    </row>
    <row r="16" spans="1:36">
      <c r="A16" s="138" t="s">
        <v>520</v>
      </c>
      <c r="B16" s="139">
        <v>44719</v>
      </c>
      <c r="C16" s="138" t="s">
        <v>487</v>
      </c>
      <c r="D16" s="138"/>
      <c r="E16" s="9">
        <v>15</v>
      </c>
      <c r="F16" s="138"/>
      <c r="G16" s="9" t="s">
        <v>9</v>
      </c>
      <c r="H16" s="9" t="s">
        <v>3</v>
      </c>
      <c r="J16" s="9" t="s">
        <v>253</v>
      </c>
      <c r="L16" s="9" t="s">
        <v>493</v>
      </c>
      <c r="M16" s="9" t="s">
        <v>493</v>
      </c>
      <c r="N16" s="9" t="s">
        <v>493</v>
      </c>
      <c r="O16" s="9" t="s">
        <v>493</v>
      </c>
      <c r="P16" s="21">
        <v>12.860300000000001</v>
      </c>
      <c r="Q16" s="116">
        <f t="shared" si="0"/>
        <v>44719</v>
      </c>
      <c r="R16" s="140">
        <v>44890</v>
      </c>
      <c r="S16" s="141">
        <f t="shared" si="1"/>
        <v>171</v>
      </c>
      <c r="T16" s="21">
        <v>0.41299999999999998</v>
      </c>
      <c r="V16" s="9" t="s">
        <v>32</v>
      </c>
      <c r="W16" s="9">
        <v>1</v>
      </c>
      <c r="X16" s="121" t="s">
        <v>138</v>
      </c>
      <c r="Y16" s="140">
        <v>44907</v>
      </c>
      <c r="Z16" s="21">
        <v>1.07</v>
      </c>
      <c r="AA16" s="23">
        <v>3</v>
      </c>
      <c r="AB16" s="32" t="s">
        <v>202</v>
      </c>
      <c r="AC16" s="32" t="s">
        <v>203</v>
      </c>
      <c r="AD16" s="9" t="s">
        <v>167</v>
      </c>
      <c r="AE16" s="9" t="s">
        <v>215</v>
      </c>
      <c r="AF16" s="9">
        <v>168</v>
      </c>
      <c r="AG16" s="138" t="s">
        <v>520</v>
      </c>
      <c r="AH16" s="138" t="s">
        <v>1697</v>
      </c>
    </row>
    <row r="17" spans="1:35">
      <c r="A17" s="138" t="s">
        <v>521</v>
      </c>
      <c r="B17" s="139">
        <v>44719</v>
      </c>
      <c r="C17" s="138" t="s">
        <v>487</v>
      </c>
      <c r="D17" s="138"/>
      <c r="E17" s="9">
        <v>16</v>
      </c>
      <c r="F17" s="138"/>
      <c r="G17" s="9" t="s">
        <v>15</v>
      </c>
      <c r="H17" s="9" t="s">
        <v>230</v>
      </c>
      <c r="J17" s="9" t="s">
        <v>253</v>
      </c>
      <c r="L17" s="9" t="s">
        <v>493</v>
      </c>
      <c r="M17" s="9" t="s">
        <v>493</v>
      </c>
      <c r="N17" s="9" t="s">
        <v>493</v>
      </c>
      <c r="O17" s="9" t="s">
        <v>493</v>
      </c>
      <c r="P17" s="21">
        <v>12.0587</v>
      </c>
      <c r="Q17" s="116">
        <f t="shared" si="0"/>
        <v>44719</v>
      </c>
      <c r="R17" s="140">
        <v>44890</v>
      </c>
      <c r="S17" s="141">
        <f t="shared" si="1"/>
        <v>171</v>
      </c>
      <c r="T17" s="21">
        <v>0.17799999999999999</v>
      </c>
      <c r="U17" s="108">
        <v>0.76</v>
      </c>
      <c r="V17" s="9" t="s">
        <v>33</v>
      </c>
      <c r="W17" s="9">
        <v>4</v>
      </c>
      <c r="X17" s="121" t="s">
        <v>78</v>
      </c>
      <c r="Y17" s="140">
        <v>45308</v>
      </c>
      <c r="Z17" s="21">
        <v>10.4</v>
      </c>
      <c r="AA17" s="23">
        <v>4</v>
      </c>
      <c r="AB17" s="32" t="s">
        <v>194</v>
      </c>
      <c r="AC17" s="32" t="s">
        <v>195</v>
      </c>
      <c r="AD17" s="9" t="s">
        <v>177</v>
      </c>
      <c r="AE17" s="9" t="s">
        <v>225</v>
      </c>
      <c r="AF17" s="9">
        <v>306</v>
      </c>
      <c r="AG17" s="138" t="s">
        <v>521</v>
      </c>
      <c r="AH17" s="138" t="s">
        <v>1697</v>
      </c>
      <c r="AI17" s="9" t="s">
        <v>1789</v>
      </c>
    </row>
    <row r="18" spans="1:35">
      <c r="A18" s="138" t="s">
        <v>522</v>
      </c>
      <c r="B18" s="139">
        <v>44719</v>
      </c>
      <c r="C18" s="138" t="s">
        <v>487</v>
      </c>
      <c r="D18" s="138"/>
      <c r="E18" s="9">
        <v>17</v>
      </c>
      <c r="F18" s="138"/>
      <c r="G18" s="9" t="s">
        <v>14</v>
      </c>
      <c r="H18" s="9" t="s">
        <v>230</v>
      </c>
      <c r="J18" s="9" t="s">
        <v>40</v>
      </c>
      <c r="L18" s="9" t="s">
        <v>493</v>
      </c>
      <c r="M18" s="9" t="s">
        <v>493</v>
      </c>
      <c r="N18" s="9" t="s">
        <v>493</v>
      </c>
      <c r="O18" s="9" t="s">
        <v>493</v>
      </c>
      <c r="P18" s="21">
        <v>14.4207</v>
      </c>
      <c r="Q18" s="116">
        <f t="shared" si="0"/>
        <v>44719</v>
      </c>
      <c r="R18" s="140">
        <v>44893</v>
      </c>
      <c r="S18" s="141">
        <f t="shared" si="1"/>
        <v>174</v>
      </c>
      <c r="T18" s="21">
        <v>0.39900000000000002</v>
      </c>
      <c r="V18" s="9" t="s">
        <v>32</v>
      </c>
      <c r="W18" s="9">
        <v>2</v>
      </c>
      <c r="X18" s="121" t="s">
        <v>145</v>
      </c>
      <c r="Y18" s="140">
        <v>44908</v>
      </c>
      <c r="Z18" s="21">
        <v>1.1276741610561287</v>
      </c>
      <c r="AA18" s="23">
        <v>2</v>
      </c>
      <c r="AB18" s="32" t="s">
        <v>160</v>
      </c>
      <c r="AC18" s="32" t="s">
        <v>189</v>
      </c>
      <c r="AD18" s="9" t="s">
        <v>174</v>
      </c>
      <c r="AE18" s="9" t="s">
        <v>222</v>
      </c>
      <c r="AF18" s="9">
        <v>254</v>
      </c>
      <c r="AG18" s="138" t="s">
        <v>522</v>
      </c>
      <c r="AH18" s="138" t="s">
        <v>1697</v>
      </c>
    </row>
    <row r="19" spans="1:35">
      <c r="A19" s="138" t="s">
        <v>523</v>
      </c>
      <c r="B19" s="139">
        <v>44719</v>
      </c>
      <c r="C19" s="138" t="s">
        <v>487</v>
      </c>
      <c r="D19" s="138"/>
      <c r="E19" s="9">
        <v>18</v>
      </c>
      <c r="F19" s="138"/>
      <c r="G19" s="9" t="s">
        <v>12</v>
      </c>
      <c r="H19" s="9" t="s">
        <v>230</v>
      </c>
      <c r="J19" s="9" t="s">
        <v>254</v>
      </c>
      <c r="L19" s="9" t="s">
        <v>493</v>
      </c>
      <c r="M19" s="9" t="s">
        <v>493</v>
      </c>
      <c r="N19" s="9" t="s">
        <v>493</v>
      </c>
      <c r="O19" s="9" t="s">
        <v>493</v>
      </c>
      <c r="P19" s="21">
        <v>14.2286</v>
      </c>
      <c r="Q19" s="116">
        <f t="shared" si="0"/>
        <v>44719</v>
      </c>
      <c r="R19" s="140">
        <v>44893</v>
      </c>
      <c r="S19" s="141">
        <f t="shared" si="1"/>
        <v>174</v>
      </c>
      <c r="T19" s="21">
        <v>0.61199999999999999</v>
      </c>
      <c r="V19" s="9" t="s">
        <v>32</v>
      </c>
      <c r="W19" s="9">
        <v>2</v>
      </c>
      <c r="X19" s="121" t="s">
        <v>146</v>
      </c>
      <c r="Y19" s="140">
        <v>44908</v>
      </c>
      <c r="Z19" s="21">
        <v>1.9758468542900838</v>
      </c>
      <c r="AA19" s="23">
        <v>2</v>
      </c>
      <c r="AB19" s="32" t="s">
        <v>158</v>
      </c>
      <c r="AC19" s="32" t="s">
        <v>187</v>
      </c>
      <c r="AD19" s="9" t="s">
        <v>175</v>
      </c>
      <c r="AE19" s="9" t="s">
        <v>223</v>
      </c>
      <c r="AF19" s="9">
        <v>231</v>
      </c>
      <c r="AG19" s="138" t="s">
        <v>523</v>
      </c>
      <c r="AH19" s="138" t="s">
        <v>1697</v>
      </c>
    </row>
    <row r="20" spans="1:35">
      <c r="A20" s="138" t="s">
        <v>524</v>
      </c>
      <c r="B20" s="139">
        <v>44719</v>
      </c>
      <c r="C20" s="138" t="s">
        <v>487</v>
      </c>
      <c r="D20" s="138"/>
      <c r="E20" s="9">
        <v>19</v>
      </c>
      <c r="F20" s="138"/>
      <c r="G20" s="9" t="s">
        <v>9</v>
      </c>
      <c r="H20" s="9" t="s">
        <v>3</v>
      </c>
      <c r="J20" s="9" t="s">
        <v>253</v>
      </c>
      <c r="L20" s="9" t="s">
        <v>493</v>
      </c>
      <c r="M20" s="9" t="s">
        <v>493</v>
      </c>
      <c r="N20" s="9" t="s">
        <v>493</v>
      </c>
      <c r="O20" s="9" t="s">
        <v>493</v>
      </c>
      <c r="P20" s="21" t="s">
        <v>241</v>
      </c>
      <c r="Q20" s="116">
        <f t="shared" si="0"/>
        <v>44719</v>
      </c>
      <c r="R20" s="140">
        <v>44893</v>
      </c>
      <c r="S20" s="141">
        <f t="shared" si="1"/>
        <v>174</v>
      </c>
      <c r="T20" s="21">
        <v>0.18099999999999999</v>
      </c>
      <c r="U20" s="108">
        <v>1.08</v>
      </c>
      <c r="V20" s="9" t="s">
        <v>32</v>
      </c>
      <c r="W20" s="9">
        <v>2</v>
      </c>
      <c r="X20" s="121" t="s">
        <v>87</v>
      </c>
      <c r="Y20" s="140">
        <v>44908</v>
      </c>
      <c r="Z20" s="21">
        <v>0.72</v>
      </c>
      <c r="AA20" s="23">
        <v>2</v>
      </c>
      <c r="AB20" s="32" t="s">
        <v>156</v>
      </c>
      <c r="AC20" s="32" t="s">
        <v>185</v>
      </c>
      <c r="AD20" s="9" t="s">
        <v>176</v>
      </c>
      <c r="AE20" s="9" t="s">
        <v>224</v>
      </c>
      <c r="AF20" s="9">
        <v>208</v>
      </c>
      <c r="AG20" s="138" t="s">
        <v>524</v>
      </c>
      <c r="AH20" s="138" t="s">
        <v>1697</v>
      </c>
      <c r="AI20" s="9" t="s">
        <v>18</v>
      </c>
    </row>
    <row r="21" spans="1:35">
      <c r="A21" s="138" t="s">
        <v>525</v>
      </c>
      <c r="B21" s="139">
        <v>44719</v>
      </c>
      <c r="C21" s="138" t="s">
        <v>487</v>
      </c>
      <c r="D21" s="138"/>
      <c r="E21" s="9">
        <v>20</v>
      </c>
      <c r="F21" s="138"/>
      <c r="G21" s="9" t="s">
        <v>11</v>
      </c>
      <c r="H21" s="9" t="s">
        <v>3</v>
      </c>
      <c r="J21" s="9" t="s">
        <v>40</v>
      </c>
      <c r="L21" s="9" t="s">
        <v>493</v>
      </c>
      <c r="M21" s="9" t="s">
        <v>493</v>
      </c>
      <c r="N21" s="9" t="s">
        <v>493</v>
      </c>
      <c r="O21" s="9" t="s">
        <v>493</v>
      </c>
      <c r="P21" s="21" t="s">
        <v>241</v>
      </c>
      <c r="Q21" s="116">
        <f t="shared" si="0"/>
        <v>44719</v>
      </c>
      <c r="R21" s="140">
        <v>44894</v>
      </c>
      <c r="S21" s="141">
        <f t="shared" si="1"/>
        <v>175</v>
      </c>
      <c r="T21" s="21">
        <v>0.127</v>
      </c>
      <c r="U21" s="108">
        <v>0.72199999999999998</v>
      </c>
      <c r="V21" s="9" t="s">
        <v>34</v>
      </c>
      <c r="W21" s="9">
        <v>6</v>
      </c>
      <c r="X21" s="121" t="s">
        <v>149</v>
      </c>
      <c r="Y21" s="140">
        <v>44937</v>
      </c>
      <c r="Z21" s="21">
        <v>12.51</v>
      </c>
      <c r="AA21" s="23">
        <v>1</v>
      </c>
      <c r="AB21" s="32" t="s">
        <v>162</v>
      </c>
      <c r="AC21" s="32" t="s">
        <v>192</v>
      </c>
      <c r="AD21" s="9" t="s">
        <v>166</v>
      </c>
      <c r="AE21" s="9" t="s">
        <v>212</v>
      </c>
      <c r="AF21" s="9">
        <v>88</v>
      </c>
      <c r="AG21" s="138" t="s">
        <v>525</v>
      </c>
      <c r="AH21" s="138" t="s">
        <v>1697</v>
      </c>
      <c r="AI21" s="9" t="s">
        <v>18</v>
      </c>
    </row>
    <row r="22" spans="1:35">
      <c r="A22" s="138" t="s">
        <v>526</v>
      </c>
      <c r="B22" s="139">
        <v>44719</v>
      </c>
      <c r="C22" s="138" t="s">
        <v>487</v>
      </c>
      <c r="D22" s="138"/>
      <c r="E22" s="9">
        <v>21</v>
      </c>
      <c r="F22" s="138"/>
      <c r="G22" s="9" t="s">
        <v>14</v>
      </c>
      <c r="H22" s="9" t="s">
        <v>230</v>
      </c>
      <c r="J22" s="9" t="s">
        <v>40</v>
      </c>
      <c r="L22" s="9" t="s">
        <v>493</v>
      </c>
      <c r="M22" s="9" t="s">
        <v>493</v>
      </c>
      <c r="N22" s="9" t="s">
        <v>493</v>
      </c>
      <c r="O22" s="9" t="s">
        <v>493</v>
      </c>
      <c r="P22" s="21" t="s">
        <v>241</v>
      </c>
      <c r="Q22" s="116">
        <f t="shared" si="0"/>
        <v>44719</v>
      </c>
      <c r="R22" s="140">
        <v>44893</v>
      </c>
      <c r="S22" s="141">
        <f t="shared" si="1"/>
        <v>174</v>
      </c>
      <c r="T22" s="21">
        <v>0.56299999999999994</v>
      </c>
      <c r="V22" s="9" t="s">
        <v>33</v>
      </c>
      <c r="W22" s="9">
        <v>4</v>
      </c>
      <c r="X22" s="121" t="s">
        <v>84</v>
      </c>
      <c r="Y22" s="140">
        <v>45308</v>
      </c>
      <c r="Z22" s="21">
        <v>14.2</v>
      </c>
      <c r="AA22" s="23">
        <v>4</v>
      </c>
      <c r="AB22" s="32" t="s">
        <v>204</v>
      </c>
      <c r="AC22" s="32" t="s">
        <v>205</v>
      </c>
      <c r="AD22" s="9" t="s">
        <v>177</v>
      </c>
      <c r="AE22" s="9" t="s">
        <v>225</v>
      </c>
      <c r="AF22" s="9">
        <v>366</v>
      </c>
      <c r="AG22" s="138" t="s">
        <v>526</v>
      </c>
      <c r="AH22" s="138" t="s">
        <v>1697</v>
      </c>
      <c r="AI22" s="9" t="s">
        <v>1790</v>
      </c>
    </row>
    <row r="23" spans="1:35">
      <c r="A23" s="138" t="s">
        <v>527</v>
      </c>
      <c r="B23" s="139">
        <v>44719</v>
      </c>
      <c r="C23" s="138" t="s">
        <v>487</v>
      </c>
      <c r="D23" s="138"/>
      <c r="E23" s="9">
        <v>22</v>
      </c>
      <c r="F23" s="138"/>
      <c r="G23" s="9" t="s">
        <v>12</v>
      </c>
      <c r="H23" s="9" t="s">
        <v>230</v>
      </c>
      <c r="J23" s="9" t="s">
        <v>254</v>
      </c>
      <c r="L23" s="9" t="s">
        <v>493</v>
      </c>
      <c r="M23" s="9" t="s">
        <v>493</v>
      </c>
      <c r="N23" s="9" t="s">
        <v>493</v>
      </c>
      <c r="O23" s="9" t="s">
        <v>493</v>
      </c>
      <c r="P23" s="21" t="s">
        <v>241</v>
      </c>
      <c r="Q23" s="116">
        <f t="shared" si="0"/>
        <v>44719</v>
      </c>
      <c r="R23" s="140">
        <v>44894</v>
      </c>
      <c r="S23" s="141">
        <f t="shared" si="1"/>
        <v>175</v>
      </c>
      <c r="T23" s="21">
        <v>0.16700000000000001</v>
      </c>
      <c r="U23" s="108">
        <v>1.03</v>
      </c>
      <c r="V23" s="9" t="s">
        <v>32</v>
      </c>
      <c r="W23" s="9">
        <v>2</v>
      </c>
      <c r="X23" s="121" t="s">
        <v>109</v>
      </c>
      <c r="Y23" s="140">
        <v>44908</v>
      </c>
      <c r="Z23" s="21">
        <v>2.1173554590679768</v>
      </c>
      <c r="AA23" s="23">
        <v>2</v>
      </c>
      <c r="AB23" s="32" t="s">
        <v>160</v>
      </c>
      <c r="AC23" s="32" t="s">
        <v>189</v>
      </c>
      <c r="AD23" s="9" t="s">
        <v>177</v>
      </c>
      <c r="AE23" s="9" t="s">
        <v>225</v>
      </c>
      <c r="AF23" s="9">
        <v>258</v>
      </c>
      <c r="AG23" s="138" t="s">
        <v>527</v>
      </c>
      <c r="AH23" s="138" t="s">
        <v>1697</v>
      </c>
      <c r="AI23" s="9" t="s">
        <v>18</v>
      </c>
    </row>
    <row r="24" spans="1:35">
      <c r="A24" s="138" t="s">
        <v>528</v>
      </c>
      <c r="B24" s="139">
        <v>44719</v>
      </c>
      <c r="C24" s="138" t="s">
        <v>487</v>
      </c>
      <c r="D24" s="138"/>
      <c r="E24" s="9">
        <v>23</v>
      </c>
      <c r="F24" s="138"/>
      <c r="G24" s="9" t="s">
        <v>15</v>
      </c>
      <c r="H24" s="9" t="s">
        <v>230</v>
      </c>
      <c r="J24" s="9" t="s">
        <v>253</v>
      </c>
      <c r="L24" s="9" t="s">
        <v>493</v>
      </c>
      <c r="M24" s="9" t="s">
        <v>493</v>
      </c>
      <c r="N24" s="9" t="s">
        <v>493</v>
      </c>
      <c r="O24" s="9" t="s">
        <v>493</v>
      </c>
      <c r="P24" s="21" t="s">
        <v>241</v>
      </c>
      <c r="Q24" s="116">
        <f t="shared" si="0"/>
        <v>44719</v>
      </c>
      <c r="R24" s="140">
        <v>44894</v>
      </c>
      <c r="S24" s="141">
        <f t="shared" si="1"/>
        <v>175</v>
      </c>
      <c r="T24" s="21">
        <v>0.14399999999999999</v>
      </c>
      <c r="U24" s="108">
        <v>0.41499999999999998</v>
      </c>
      <c r="V24" s="9" t="s">
        <v>32</v>
      </c>
      <c r="W24" s="9">
        <v>2</v>
      </c>
      <c r="X24" s="121" t="s">
        <v>105</v>
      </c>
      <c r="Y24" s="140">
        <v>44908</v>
      </c>
      <c r="Z24" s="21">
        <v>0.54</v>
      </c>
      <c r="AA24" s="23">
        <v>2</v>
      </c>
      <c r="AB24" s="32" t="s">
        <v>159</v>
      </c>
      <c r="AC24" s="32" t="s">
        <v>188</v>
      </c>
      <c r="AD24" s="9" t="s">
        <v>178</v>
      </c>
      <c r="AE24" s="9" t="s">
        <v>226</v>
      </c>
      <c r="AF24" s="9">
        <v>247</v>
      </c>
      <c r="AG24" s="138" t="s">
        <v>528</v>
      </c>
      <c r="AH24" s="138" t="s">
        <v>1697</v>
      </c>
      <c r="AI24" s="9" t="s">
        <v>18</v>
      </c>
    </row>
    <row r="25" spans="1:35">
      <c r="A25" s="138" t="s">
        <v>529</v>
      </c>
      <c r="B25" s="139">
        <v>44719</v>
      </c>
      <c r="C25" s="138" t="s">
        <v>487</v>
      </c>
      <c r="D25" s="138"/>
      <c r="E25" s="9">
        <v>24</v>
      </c>
      <c r="F25" s="138"/>
      <c r="G25" s="9" t="s">
        <v>16</v>
      </c>
      <c r="H25" s="9" t="s">
        <v>3</v>
      </c>
      <c r="J25" s="9" t="s">
        <v>254</v>
      </c>
      <c r="L25" s="9" t="s">
        <v>493</v>
      </c>
      <c r="M25" s="9" t="s">
        <v>493</v>
      </c>
      <c r="N25" s="9" t="s">
        <v>493</v>
      </c>
      <c r="O25" s="9" t="s">
        <v>493</v>
      </c>
      <c r="P25" s="21" t="s">
        <v>241</v>
      </c>
      <c r="Q25" s="116">
        <f t="shared" si="0"/>
        <v>44719</v>
      </c>
      <c r="R25" s="140">
        <v>44894</v>
      </c>
      <c r="S25" s="141">
        <f t="shared" si="1"/>
        <v>175</v>
      </c>
      <c r="T25" s="21">
        <v>0.26100000000000001</v>
      </c>
      <c r="V25" s="9" t="s">
        <v>32</v>
      </c>
      <c r="W25" s="9">
        <v>2</v>
      </c>
      <c r="X25" s="121" t="s">
        <v>140</v>
      </c>
      <c r="Y25" s="140">
        <v>44908</v>
      </c>
      <c r="Z25" s="21">
        <v>0.62228628684936804</v>
      </c>
      <c r="AA25" s="23">
        <v>2</v>
      </c>
      <c r="AB25" s="32" t="s">
        <v>158</v>
      </c>
      <c r="AC25" s="32" t="s">
        <v>187</v>
      </c>
      <c r="AD25" s="9" t="s">
        <v>179</v>
      </c>
      <c r="AE25" s="9" t="s">
        <v>227</v>
      </c>
      <c r="AF25" s="9">
        <v>236</v>
      </c>
      <c r="AG25" s="138" t="s">
        <v>529</v>
      </c>
      <c r="AH25" s="138" t="s">
        <v>1697</v>
      </c>
    </row>
    <row r="26" spans="1:35">
      <c r="A26" s="138" t="s">
        <v>530</v>
      </c>
      <c r="B26" s="139">
        <v>44722</v>
      </c>
      <c r="C26" s="138" t="s">
        <v>487</v>
      </c>
      <c r="D26" s="138"/>
      <c r="E26" s="9">
        <v>1</v>
      </c>
      <c r="F26" s="138"/>
      <c r="G26" s="9" t="s">
        <v>9</v>
      </c>
      <c r="H26" s="9" t="s">
        <v>3</v>
      </c>
      <c r="J26" s="9" t="s">
        <v>253</v>
      </c>
      <c r="L26" s="9" t="s">
        <v>493</v>
      </c>
      <c r="M26" s="9" t="s">
        <v>493</v>
      </c>
      <c r="N26" s="9" t="s">
        <v>493</v>
      </c>
      <c r="O26" s="9" t="s">
        <v>493</v>
      </c>
      <c r="P26" s="21">
        <v>12.555400000000001</v>
      </c>
      <c r="Q26" s="116">
        <f t="shared" si="0"/>
        <v>44722</v>
      </c>
      <c r="R26" s="140">
        <v>44860</v>
      </c>
      <c r="S26" s="141">
        <f t="shared" si="1"/>
        <v>138</v>
      </c>
      <c r="T26" s="21"/>
      <c r="U26" s="108">
        <v>0</v>
      </c>
      <c r="V26" s="9" t="s">
        <v>34</v>
      </c>
      <c r="W26" s="9">
        <v>6</v>
      </c>
      <c r="X26" s="121" t="s">
        <v>48</v>
      </c>
      <c r="Y26" s="140">
        <v>44937</v>
      </c>
      <c r="Z26" s="21">
        <v>8.11</v>
      </c>
      <c r="AA26" s="23">
        <v>1</v>
      </c>
      <c r="AB26" s="32" t="s">
        <v>159</v>
      </c>
      <c r="AC26" s="32" t="s">
        <v>188</v>
      </c>
      <c r="AD26" s="9" t="s">
        <v>163</v>
      </c>
      <c r="AE26" s="9" t="s">
        <v>209</v>
      </c>
      <c r="AF26" s="9">
        <v>49</v>
      </c>
      <c r="AG26" s="138" t="s">
        <v>530</v>
      </c>
      <c r="AH26" s="138" t="s">
        <v>1697</v>
      </c>
      <c r="AI26" s="9" t="s">
        <v>20</v>
      </c>
    </row>
    <row r="27" spans="1:35">
      <c r="A27" s="138" t="s">
        <v>531</v>
      </c>
      <c r="B27" s="139">
        <v>44722</v>
      </c>
      <c r="C27" s="138" t="s">
        <v>487</v>
      </c>
      <c r="D27" s="138"/>
      <c r="E27" s="9">
        <v>2</v>
      </c>
      <c r="F27" s="138"/>
      <c r="G27" s="9" t="s">
        <v>11</v>
      </c>
      <c r="H27" s="9" t="s">
        <v>3</v>
      </c>
      <c r="J27" s="9" t="s">
        <v>40</v>
      </c>
      <c r="L27" s="9" t="s">
        <v>493</v>
      </c>
      <c r="M27" s="9" t="s">
        <v>493</v>
      </c>
      <c r="N27" s="9" t="s">
        <v>493</v>
      </c>
      <c r="O27" s="9" t="s">
        <v>493</v>
      </c>
      <c r="P27" s="21">
        <v>13.571999999999999</v>
      </c>
      <c r="Q27" s="116">
        <f t="shared" si="0"/>
        <v>44722</v>
      </c>
      <c r="R27" s="140">
        <v>44861</v>
      </c>
      <c r="S27" s="141">
        <f t="shared" si="1"/>
        <v>139</v>
      </c>
      <c r="T27" s="21">
        <v>0.53300000000000003</v>
      </c>
      <c r="V27" s="9" t="s">
        <v>33</v>
      </c>
      <c r="W27" s="9">
        <v>3</v>
      </c>
      <c r="X27" s="121" t="s">
        <v>41</v>
      </c>
      <c r="Y27" s="140">
        <v>44938</v>
      </c>
      <c r="Z27" s="21">
        <v>5.26</v>
      </c>
      <c r="AA27" s="23">
        <v>1</v>
      </c>
      <c r="AB27" s="9" t="s">
        <v>155</v>
      </c>
      <c r="AC27" s="9" t="s">
        <v>184</v>
      </c>
      <c r="AD27" s="9" t="s">
        <v>69</v>
      </c>
      <c r="AE27" s="9" t="s">
        <v>214</v>
      </c>
      <c r="AF27" s="9">
        <v>11</v>
      </c>
      <c r="AG27" s="138" t="s">
        <v>531</v>
      </c>
      <c r="AH27" s="138" t="s">
        <v>1697</v>
      </c>
    </row>
    <row r="28" spans="1:35">
      <c r="A28" s="138" t="s">
        <v>532</v>
      </c>
      <c r="B28" s="139">
        <v>44722</v>
      </c>
      <c r="C28" s="138" t="s">
        <v>487</v>
      </c>
      <c r="D28" s="138"/>
      <c r="E28" s="9">
        <v>3</v>
      </c>
      <c r="F28" s="138"/>
      <c r="G28" s="9" t="s">
        <v>12</v>
      </c>
      <c r="H28" s="9" t="s">
        <v>230</v>
      </c>
      <c r="J28" s="9" t="s">
        <v>254</v>
      </c>
      <c r="L28" s="9" t="s">
        <v>493</v>
      </c>
      <c r="M28" s="9" t="s">
        <v>493</v>
      </c>
      <c r="N28" s="9" t="s">
        <v>493</v>
      </c>
      <c r="O28" s="9" t="s">
        <v>493</v>
      </c>
      <c r="P28" s="21">
        <v>10.4679</v>
      </c>
      <c r="Q28" s="116">
        <f t="shared" si="0"/>
        <v>44722</v>
      </c>
      <c r="R28" s="140">
        <v>44860</v>
      </c>
      <c r="S28" s="141">
        <f t="shared" si="1"/>
        <v>138</v>
      </c>
      <c r="T28" s="21">
        <v>0.124</v>
      </c>
      <c r="U28" s="108">
        <v>0.26600000000000001</v>
      </c>
      <c r="V28" s="9" t="s">
        <v>34</v>
      </c>
      <c r="W28" s="9">
        <v>6</v>
      </c>
      <c r="X28" s="121" t="s">
        <v>80</v>
      </c>
      <c r="Y28" s="140">
        <v>44937</v>
      </c>
      <c r="Z28" s="21">
        <v>9.9499999999999993</v>
      </c>
      <c r="AA28" s="23">
        <v>1</v>
      </c>
      <c r="AB28" s="9" t="s">
        <v>157</v>
      </c>
      <c r="AC28" s="9" t="s">
        <v>186</v>
      </c>
      <c r="AD28" s="9" t="s">
        <v>164</v>
      </c>
      <c r="AE28" s="9" t="s">
        <v>210</v>
      </c>
      <c r="AF28" s="9">
        <v>26</v>
      </c>
      <c r="AG28" s="138" t="s">
        <v>532</v>
      </c>
      <c r="AH28" s="138" t="s">
        <v>1697</v>
      </c>
      <c r="AI28" s="9" t="s">
        <v>18</v>
      </c>
    </row>
    <row r="29" spans="1:35">
      <c r="A29" s="138" t="s">
        <v>533</v>
      </c>
      <c r="B29" s="139">
        <v>44722</v>
      </c>
      <c r="C29" s="138" t="s">
        <v>487</v>
      </c>
      <c r="D29" s="138"/>
      <c r="E29" s="9">
        <v>4</v>
      </c>
      <c r="F29" s="138"/>
      <c r="G29" s="9" t="s">
        <v>14</v>
      </c>
      <c r="H29" s="9" t="s">
        <v>230</v>
      </c>
      <c r="J29" s="9" t="s">
        <v>40</v>
      </c>
      <c r="L29" s="9" t="s">
        <v>493</v>
      </c>
      <c r="M29" s="9" t="s">
        <v>493</v>
      </c>
      <c r="N29" s="9" t="s">
        <v>493</v>
      </c>
      <c r="O29" s="9" t="s">
        <v>493</v>
      </c>
      <c r="P29" s="21">
        <v>11.168699999999999</v>
      </c>
      <c r="Q29" s="116">
        <f t="shared" si="0"/>
        <v>44722</v>
      </c>
      <c r="R29" s="140">
        <v>44861</v>
      </c>
      <c r="S29" s="141">
        <f t="shared" si="1"/>
        <v>139</v>
      </c>
      <c r="T29" s="21">
        <v>8.3000000000000004E-2</v>
      </c>
      <c r="U29" s="108">
        <v>0.19400000000000001</v>
      </c>
      <c r="V29" s="9" t="s">
        <v>34</v>
      </c>
      <c r="W29" s="9">
        <v>7</v>
      </c>
      <c r="X29" s="121" t="s">
        <v>41</v>
      </c>
      <c r="Y29" s="140">
        <v>44944</v>
      </c>
      <c r="Z29" s="21">
        <v>2.78</v>
      </c>
      <c r="AA29" s="23">
        <v>4</v>
      </c>
      <c r="AB29" s="32" t="s">
        <v>42</v>
      </c>
      <c r="AC29" s="32" t="s">
        <v>193</v>
      </c>
      <c r="AD29" s="9" t="s">
        <v>180</v>
      </c>
      <c r="AE29" s="9" t="s">
        <v>228</v>
      </c>
      <c r="AF29" s="9">
        <v>297</v>
      </c>
      <c r="AG29" s="138" t="s">
        <v>533</v>
      </c>
      <c r="AH29" s="138" t="s">
        <v>1697</v>
      </c>
      <c r="AI29" s="9" t="s">
        <v>18</v>
      </c>
    </row>
    <row r="30" spans="1:35">
      <c r="A30" s="138" t="s">
        <v>534</v>
      </c>
      <c r="B30" s="139">
        <v>44722</v>
      </c>
      <c r="C30" s="138" t="s">
        <v>487</v>
      </c>
      <c r="D30" s="138"/>
      <c r="E30" s="9">
        <v>5</v>
      </c>
      <c r="F30" s="138"/>
      <c r="G30" s="9" t="s">
        <v>15</v>
      </c>
      <c r="H30" s="9" t="s">
        <v>230</v>
      </c>
      <c r="J30" s="9" t="s">
        <v>253</v>
      </c>
      <c r="L30" s="9" t="s">
        <v>493</v>
      </c>
      <c r="M30" s="9" t="s">
        <v>493</v>
      </c>
      <c r="N30" s="9" t="s">
        <v>493</v>
      </c>
      <c r="O30" s="9" t="s">
        <v>493</v>
      </c>
      <c r="P30" s="21">
        <v>11.293799999999999</v>
      </c>
      <c r="Q30" s="116">
        <f t="shared" si="0"/>
        <v>44722</v>
      </c>
      <c r="R30" s="140">
        <v>44861</v>
      </c>
      <c r="S30" s="141">
        <f t="shared" si="1"/>
        <v>139</v>
      </c>
      <c r="T30" s="21"/>
      <c r="U30" s="108">
        <v>0</v>
      </c>
      <c r="V30" s="9" t="s">
        <v>34</v>
      </c>
      <c r="W30" s="9">
        <v>6</v>
      </c>
      <c r="X30" s="121" t="s">
        <v>145</v>
      </c>
      <c r="Y30" s="140">
        <v>44937</v>
      </c>
      <c r="Z30" s="21">
        <v>0.72</v>
      </c>
      <c r="AA30" s="23">
        <v>1</v>
      </c>
      <c r="AB30" s="9" t="s">
        <v>155</v>
      </c>
      <c r="AC30" s="9" t="s">
        <v>184</v>
      </c>
      <c r="AD30" s="9" t="s">
        <v>165</v>
      </c>
      <c r="AE30" s="9" t="s">
        <v>211</v>
      </c>
      <c r="AF30" s="9">
        <v>3</v>
      </c>
      <c r="AG30" s="138" t="s">
        <v>534</v>
      </c>
      <c r="AH30" s="138" t="s">
        <v>1697</v>
      </c>
      <c r="AI30" s="9" t="s">
        <v>20</v>
      </c>
    </row>
    <row r="31" spans="1:35">
      <c r="A31" s="138" t="s">
        <v>535</v>
      </c>
      <c r="B31" s="139">
        <v>44722</v>
      </c>
      <c r="C31" s="138" t="s">
        <v>487</v>
      </c>
      <c r="D31" s="138"/>
      <c r="E31" s="9">
        <v>6</v>
      </c>
      <c r="F31" s="138"/>
      <c r="G31" s="9" t="s">
        <v>16</v>
      </c>
      <c r="H31" s="9" t="s">
        <v>3</v>
      </c>
      <c r="J31" s="9" t="s">
        <v>254</v>
      </c>
      <c r="L31" s="9" t="s">
        <v>493</v>
      </c>
      <c r="M31" s="9" t="s">
        <v>493</v>
      </c>
      <c r="N31" s="9" t="s">
        <v>493</v>
      </c>
      <c r="O31" s="9" t="s">
        <v>493</v>
      </c>
      <c r="P31" s="21">
        <v>11.133100000000001</v>
      </c>
      <c r="Q31" s="116">
        <f t="shared" si="0"/>
        <v>44722</v>
      </c>
      <c r="R31" s="140">
        <v>44865</v>
      </c>
      <c r="S31" s="141">
        <f t="shared" si="1"/>
        <v>143</v>
      </c>
      <c r="T31" s="21"/>
      <c r="U31" s="108">
        <v>0.11799999999999999</v>
      </c>
      <c r="V31" s="9" t="s">
        <v>34</v>
      </c>
      <c r="W31" s="9">
        <v>5</v>
      </c>
      <c r="X31" s="121" t="s">
        <v>48</v>
      </c>
      <c r="Y31" s="140">
        <v>44902</v>
      </c>
      <c r="Z31" s="21">
        <v>0.92</v>
      </c>
      <c r="AA31" s="23">
        <v>4</v>
      </c>
      <c r="AB31" s="32" t="s">
        <v>198</v>
      </c>
      <c r="AC31" s="32" t="s">
        <v>199</v>
      </c>
      <c r="AD31" s="9" t="s">
        <v>173</v>
      </c>
      <c r="AE31" s="9" t="s">
        <v>221</v>
      </c>
      <c r="AF31" s="9">
        <v>325</v>
      </c>
      <c r="AG31" s="138" t="s">
        <v>535</v>
      </c>
      <c r="AH31" s="138" t="s">
        <v>1697</v>
      </c>
      <c r="AI31" s="9" t="s">
        <v>18</v>
      </c>
    </row>
    <row r="32" spans="1:35">
      <c r="A32" s="138" t="s">
        <v>536</v>
      </c>
      <c r="B32" s="139">
        <v>44722</v>
      </c>
      <c r="C32" s="138" t="s">
        <v>487</v>
      </c>
      <c r="D32" s="138"/>
      <c r="E32" s="9">
        <v>7</v>
      </c>
      <c r="F32" s="138"/>
      <c r="G32" s="9" t="s">
        <v>14</v>
      </c>
      <c r="H32" s="9" t="s">
        <v>230</v>
      </c>
      <c r="J32" s="9" t="s">
        <v>40</v>
      </c>
      <c r="L32" s="9" t="s">
        <v>493</v>
      </c>
      <c r="M32" s="9" t="s">
        <v>493</v>
      </c>
      <c r="N32" s="9" t="s">
        <v>493</v>
      </c>
      <c r="O32" s="9" t="s">
        <v>493</v>
      </c>
      <c r="P32" s="21">
        <v>11.4428</v>
      </c>
      <c r="Q32" s="116">
        <f t="shared" si="0"/>
        <v>44722</v>
      </c>
      <c r="R32" s="140">
        <v>44861</v>
      </c>
      <c r="S32" s="141">
        <f t="shared" si="1"/>
        <v>139</v>
      </c>
      <c r="T32" s="21"/>
      <c r="U32" s="108">
        <v>0</v>
      </c>
      <c r="V32" s="9" t="s">
        <v>34</v>
      </c>
      <c r="W32" s="9">
        <v>6</v>
      </c>
      <c r="X32" s="121" t="s">
        <v>85</v>
      </c>
      <c r="Y32" s="140">
        <v>44937</v>
      </c>
      <c r="Z32" s="21">
        <v>3.72</v>
      </c>
      <c r="AA32" s="23">
        <v>1</v>
      </c>
      <c r="AB32" s="9" t="s">
        <v>157</v>
      </c>
      <c r="AC32" s="9" t="s">
        <v>186</v>
      </c>
      <c r="AD32" s="9" t="s">
        <v>165</v>
      </c>
      <c r="AE32" s="9" t="s">
        <v>211</v>
      </c>
      <c r="AF32" s="9">
        <v>27</v>
      </c>
      <c r="AG32" s="138" t="s">
        <v>536</v>
      </c>
      <c r="AH32" s="138" t="s">
        <v>1697</v>
      </c>
      <c r="AI32" s="9" t="s">
        <v>20</v>
      </c>
    </row>
    <row r="33" spans="1:35">
      <c r="A33" s="138" t="s">
        <v>537</v>
      </c>
      <c r="B33" s="139">
        <v>44722</v>
      </c>
      <c r="C33" s="138" t="s">
        <v>487</v>
      </c>
      <c r="D33" s="138"/>
      <c r="E33" s="9">
        <v>8</v>
      </c>
      <c r="F33" s="138"/>
      <c r="G33" s="9" t="s">
        <v>15</v>
      </c>
      <c r="H33" s="9" t="s">
        <v>230</v>
      </c>
      <c r="J33" s="9" t="s">
        <v>253</v>
      </c>
      <c r="L33" s="9" t="s">
        <v>493</v>
      </c>
      <c r="M33" s="9" t="s">
        <v>493</v>
      </c>
      <c r="N33" s="9" t="s">
        <v>493</v>
      </c>
      <c r="O33" s="9" t="s">
        <v>493</v>
      </c>
      <c r="P33" s="21">
        <v>10.3475</v>
      </c>
      <c r="Q33" s="116">
        <f t="shared" si="0"/>
        <v>44722</v>
      </c>
      <c r="R33" s="140">
        <v>44865</v>
      </c>
      <c r="S33" s="141">
        <f t="shared" si="1"/>
        <v>143</v>
      </c>
      <c r="T33" s="21">
        <v>5.1999999999999998E-2</v>
      </c>
      <c r="U33" s="108">
        <v>0.11</v>
      </c>
      <c r="V33" s="9" t="s">
        <v>34</v>
      </c>
      <c r="W33" s="9">
        <v>5</v>
      </c>
      <c r="X33" s="121" t="s">
        <v>50</v>
      </c>
      <c r="Y33" s="140">
        <v>44902</v>
      </c>
      <c r="Z33" s="21">
        <v>0.97099999999999997</v>
      </c>
      <c r="AA33" s="23">
        <v>4</v>
      </c>
      <c r="AB33" s="32" t="s">
        <v>200</v>
      </c>
      <c r="AC33" s="32" t="s">
        <v>201</v>
      </c>
      <c r="AD33" s="9" t="s">
        <v>173</v>
      </c>
      <c r="AE33" s="9" t="s">
        <v>221</v>
      </c>
      <c r="AF33" s="9">
        <v>337</v>
      </c>
      <c r="AG33" s="138" t="s">
        <v>537</v>
      </c>
      <c r="AH33" s="138" t="s">
        <v>1697</v>
      </c>
      <c r="AI33" s="9" t="s">
        <v>18</v>
      </c>
    </row>
    <row r="34" spans="1:35">
      <c r="A34" s="138" t="s">
        <v>538</v>
      </c>
      <c r="B34" s="139">
        <v>44722</v>
      </c>
      <c r="C34" s="138" t="s">
        <v>487</v>
      </c>
      <c r="D34" s="138"/>
      <c r="E34" s="9">
        <v>9</v>
      </c>
      <c r="F34" s="138"/>
      <c r="G34" s="9" t="s">
        <v>12</v>
      </c>
      <c r="H34" s="9" t="s">
        <v>230</v>
      </c>
      <c r="J34" s="9" t="s">
        <v>254</v>
      </c>
      <c r="L34" s="9" t="s">
        <v>493</v>
      </c>
      <c r="M34" s="9" t="s">
        <v>493</v>
      </c>
      <c r="N34" s="9" t="s">
        <v>493</v>
      </c>
      <c r="O34" s="9" t="s">
        <v>493</v>
      </c>
      <c r="P34" s="21">
        <v>11.438700000000001</v>
      </c>
      <c r="Q34" s="116">
        <f t="shared" si="0"/>
        <v>44722</v>
      </c>
      <c r="R34" s="140">
        <v>44886</v>
      </c>
      <c r="S34" s="141">
        <f t="shared" si="1"/>
        <v>164</v>
      </c>
      <c r="T34" s="21">
        <v>0.35799999999999998</v>
      </c>
      <c r="V34" s="9" t="s">
        <v>33</v>
      </c>
      <c r="W34" s="9">
        <v>4</v>
      </c>
      <c r="X34" s="121" t="s">
        <v>41</v>
      </c>
      <c r="Y34" s="140">
        <v>45308</v>
      </c>
      <c r="Z34" s="21">
        <v>12.5</v>
      </c>
      <c r="AA34" s="23">
        <v>4</v>
      </c>
      <c r="AB34" s="32" t="s">
        <v>42</v>
      </c>
      <c r="AC34" s="32" t="s">
        <v>193</v>
      </c>
      <c r="AD34" s="9" t="s">
        <v>181</v>
      </c>
      <c r="AE34" s="9" t="s">
        <v>229</v>
      </c>
      <c r="AF34" s="9">
        <v>293</v>
      </c>
      <c r="AG34" s="138" t="s">
        <v>538</v>
      </c>
      <c r="AH34" s="138" t="s">
        <v>1697</v>
      </c>
    </row>
    <row r="35" spans="1:35">
      <c r="A35" s="138" t="s">
        <v>539</v>
      </c>
      <c r="B35" s="139">
        <v>44722</v>
      </c>
      <c r="C35" s="138" t="s">
        <v>487</v>
      </c>
      <c r="D35" s="138"/>
      <c r="E35" s="9">
        <v>10</v>
      </c>
      <c r="F35" s="138"/>
      <c r="G35" s="9" t="s">
        <v>11</v>
      </c>
      <c r="H35" s="9" t="s">
        <v>3</v>
      </c>
      <c r="J35" s="9" t="s">
        <v>40</v>
      </c>
      <c r="L35" s="9" t="s">
        <v>493</v>
      </c>
      <c r="M35" s="9" t="s">
        <v>493</v>
      </c>
      <c r="N35" s="9" t="s">
        <v>493</v>
      </c>
      <c r="O35" s="9" t="s">
        <v>493</v>
      </c>
      <c r="P35" s="21">
        <v>13.1031</v>
      </c>
      <c r="Q35" s="116">
        <f t="shared" si="0"/>
        <v>44722</v>
      </c>
      <c r="R35" s="140">
        <v>44861</v>
      </c>
      <c r="S35" s="141">
        <f t="shared" si="1"/>
        <v>139</v>
      </c>
      <c r="T35" s="21">
        <v>0.13700000000000001</v>
      </c>
      <c r="U35" s="108">
        <v>0.57999999999999996</v>
      </c>
      <c r="V35" s="9" t="s">
        <v>33</v>
      </c>
      <c r="W35" s="9">
        <v>4</v>
      </c>
      <c r="X35" s="121" t="s">
        <v>48</v>
      </c>
      <c r="Y35" s="140">
        <v>45308</v>
      </c>
      <c r="Z35" s="21">
        <v>8.09</v>
      </c>
      <c r="AA35" s="23">
        <v>4</v>
      </c>
      <c r="AB35" s="32" t="s">
        <v>198</v>
      </c>
      <c r="AC35" s="32" t="s">
        <v>199</v>
      </c>
      <c r="AD35" s="9" t="s">
        <v>181</v>
      </c>
      <c r="AE35" s="9" t="s">
        <v>229</v>
      </c>
      <c r="AF35" s="9">
        <v>329</v>
      </c>
      <c r="AG35" s="138" t="s">
        <v>539</v>
      </c>
      <c r="AH35" s="138" t="s">
        <v>1697</v>
      </c>
      <c r="AI35" s="9" t="s">
        <v>18</v>
      </c>
    </row>
    <row r="36" spans="1:35">
      <c r="A36" s="138" t="s">
        <v>540</v>
      </c>
      <c r="B36" s="139">
        <v>44722</v>
      </c>
      <c r="C36" s="138" t="s">
        <v>487</v>
      </c>
      <c r="D36" s="138"/>
      <c r="E36" s="9">
        <v>11</v>
      </c>
      <c r="F36" s="138"/>
      <c r="G36" s="9" t="s">
        <v>9</v>
      </c>
      <c r="H36" s="9" t="s">
        <v>3</v>
      </c>
      <c r="J36" s="9" t="s">
        <v>253</v>
      </c>
      <c r="L36" s="9" t="s">
        <v>493</v>
      </c>
      <c r="M36" s="9" t="s">
        <v>493</v>
      </c>
      <c r="N36" s="9" t="s">
        <v>493</v>
      </c>
      <c r="O36" s="9" t="s">
        <v>493</v>
      </c>
      <c r="P36" s="21">
        <v>11.782500000000001</v>
      </c>
      <c r="Q36" s="116">
        <f t="shared" si="0"/>
        <v>44722</v>
      </c>
      <c r="R36" s="140">
        <v>44886</v>
      </c>
      <c r="S36" s="141">
        <f t="shared" si="1"/>
        <v>164</v>
      </c>
      <c r="T36" s="21">
        <v>0.11600000000000001</v>
      </c>
      <c r="U36" s="108">
        <v>0.64300000000000002</v>
      </c>
      <c r="V36" s="9" t="s">
        <v>32</v>
      </c>
      <c r="W36" s="9">
        <v>1</v>
      </c>
      <c r="X36" s="121" t="s">
        <v>113</v>
      </c>
      <c r="Y36" s="140">
        <v>44907</v>
      </c>
      <c r="Z36" s="21">
        <v>0.53932194572097458</v>
      </c>
      <c r="AA36" s="23">
        <v>3</v>
      </c>
      <c r="AB36" s="32" t="s">
        <v>42</v>
      </c>
      <c r="AC36" s="32" t="s">
        <v>193</v>
      </c>
      <c r="AD36" s="9" t="s">
        <v>170</v>
      </c>
      <c r="AE36" s="9" t="s">
        <v>218</v>
      </c>
      <c r="AF36" s="9">
        <v>105</v>
      </c>
      <c r="AG36" s="138" t="s">
        <v>540</v>
      </c>
      <c r="AH36" s="138" t="s">
        <v>1697</v>
      </c>
      <c r="AI36" s="9" t="s">
        <v>18</v>
      </c>
    </row>
    <row r="37" spans="1:35">
      <c r="A37" s="138" t="s">
        <v>541</v>
      </c>
      <c r="B37" s="139">
        <v>44722</v>
      </c>
      <c r="C37" s="138" t="s">
        <v>487</v>
      </c>
      <c r="D37" s="138"/>
      <c r="E37" s="9">
        <v>12</v>
      </c>
      <c r="F37" s="138"/>
      <c r="G37" s="9" t="s">
        <v>16</v>
      </c>
      <c r="H37" s="9" t="s">
        <v>3</v>
      </c>
      <c r="J37" s="9" t="s">
        <v>254</v>
      </c>
      <c r="L37" s="9" t="s">
        <v>493</v>
      </c>
      <c r="M37" s="9" t="s">
        <v>493</v>
      </c>
      <c r="N37" s="9" t="s">
        <v>493</v>
      </c>
      <c r="O37" s="9" t="s">
        <v>493</v>
      </c>
      <c r="P37" s="21">
        <v>13.235099999999999</v>
      </c>
      <c r="Q37" s="116">
        <f t="shared" si="0"/>
        <v>44722</v>
      </c>
      <c r="R37" s="140">
        <v>44861</v>
      </c>
      <c r="S37" s="141">
        <f t="shared" si="1"/>
        <v>139</v>
      </c>
      <c r="T37" s="21">
        <v>0.30499999999999999</v>
      </c>
      <c r="V37" s="9" t="s">
        <v>33</v>
      </c>
      <c r="W37" s="9">
        <v>4</v>
      </c>
      <c r="X37" s="121" t="s">
        <v>54</v>
      </c>
      <c r="Y37" s="140">
        <v>45308</v>
      </c>
      <c r="Z37" s="21">
        <v>16.8</v>
      </c>
      <c r="AA37" s="23">
        <v>4</v>
      </c>
      <c r="AB37" s="32" t="s">
        <v>204</v>
      </c>
      <c r="AC37" s="32" t="s">
        <v>205</v>
      </c>
      <c r="AD37" s="9" t="s">
        <v>181</v>
      </c>
      <c r="AE37" s="9" t="s">
        <v>229</v>
      </c>
      <c r="AF37" s="9">
        <v>365</v>
      </c>
      <c r="AG37" s="138" t="s">
        <v>541</v>
      </c>
      <c r="AH37" s="138" t="s">
        <v>1697</v>
      </c>
    </row>
    <row r="38" spans="1:35">
      <c r="A38" s="138" t="s">
        <v>542</v>
      </c>
      <c r="B38" s="139">
        <v>44722</v>
      </c>
      <c r="C38" s="138" t="s">
        <v>487</v>
      </c>
      <c r="D38" s="138"/>
      <c r="E38" s="9">
        <v>13</v>
      </c>
      <c r="F38" s="138"/>
      <c r="G38" s="9" t="s">
        <v>11</v>
      </c>
      <c r="H38" s="9" t="s">
        <v>3</v>
      </c>
      <c r="J38" s="9" t="s">
        <v>40</v>
      </c>
      <c r="L38" s="9" t="s">
        <v>493</v>
      </c>
      <c r="M38" s="9" t="s">
        <v>493</v>
      </c>
      <c r="N38" s="9" t="s">
        <v>493</v>
      </c>
      <c r="O38" s="9" t="s">
        <v>493</v>
      </c>
      <c r="P38" s="21">
        <v>13.919600000000001</v>
      </c>
      <c r="Q38" s="116">
        <f t="shared" si="0"/>
        <v>44722</v>
      </c>
      <c r="R38" s="140">
        <v>44890</v>
      </c>
      <c r="S38" s="141">
        <f t="shared" si="1"/>
        <v>168</v>
      </c>
      <c r="T38" s="21"/>
      <c r="U38" s="108">
        <v>0</v>
      </c>
      <c r="V38" s="9" t="s">
        <v>34</v>
      </c>
      <c r="W38" s="9">
        <v>6</v>
      </c>
      <c r="X38" s="121" t="s">
        <v>83</v>
      </c>
      <c r="Y38" s="140">
        <v>44937</v>
      </c>
      <c r="Z38" s="21">
        <v>3.1</v>
      </c>
      <c r="AA38" s="23">
        <v>1</v>
      </c>
      <c r="AB38" s="32" t="s">
        <v>160</v>
      </c>
      <c r="AC38" s="32" t="s">
        <v>189</v>
      </c>
      <c r="AD38" s="9" t="s">
        <v>165</v>
      </c>
      <c r="AE38" s="9" t="s">
        <v>211</v>
      </c>
      <c r="AF38" s="9">
        <v>63</v>
      </c>
      <c r="AG38" s="138" t="s">
        <v>542</v>
      </c>
      <c r="AH38" s="138" t="s">
        <v>1697</v>
      </c>
      <c r="AI38" s="9" t="s">
        <v>20</v>
      </c>
    </row>
    <row r="39" spans="1:35">
      <c r="A39" s="138" t="s">
        <v>543</v>
      </c>
      <c r="B39" s="139">
        <v>44722</v>
      </c>
      <c r="C39" s="138" t="s">
        <v>487</v>
      </c>
      <c r="D39" s="138"/>
      <c r="E39" s="9">
        <v>14</v>
      </c>
      <c r="F39" s="138"/>
      <c r="G39" s="9" t="s">
        <v>16</v>
      </c>
      <c r="H39" s="9" t="s">
        <v>3</v>
      </c>
      <c r="J39" s="9" t="s">
        <v>254</v>
      </c>
      <c r="L39" s="9" t="s">
        <v>493</v>
      </c>
      <c r="M39" s="9" t="s">
        <v>493</v>
      </c>
      <c r="N39" s="9" t="s">
        <v>493</v>
      </c>
      <c r="O39" s="9" t="s">
        <v>493</v>
      </c>
      <c r="P39" s="21">
        <v>14.4762</v>
      </c>
      <c r="Q39" s="116">
        <f t="shared" si="0"/>
        <v>44722</v>
      </c>
      <c r="R39" s="140">
        <v>44890</v>
      </c>
      <c r="S39" s="141">
        <f t="shared" si="1"/>
        <v>168</v>
      </c>
      <c r="T39" s="21"/>
      <c r="U39" s="108">
        <v>0</v>
      </c>
      <c r="V39" s="9" t="s">
        <v>34</v>
      </c>
      <c r="W39" s="9">
        <v>6</v>
      </c>
      <c r="X39" s="121" t="s">
        <v>89</v>
      </c>
      <c r="Y39" s="140">
        <v>44937</v>
      </c>
      <c r="Z39" s="21">
        <v>2.7</v>
      </c>
      <c r="AA39" s="23">
        <v>1</v>
      </c>
      <c r="AB39" s="32" t="s">
        <v>162</v>
      </c>
      <c r="AC39" s="32" t="s">
        <v>192</v>
      </c>
      <c r="AD39" s="9" t="s">
        <v>165</v>
      </c>
      <c r="AE39" s="9" t="s">
        <v>211</v>
      </c>
      <c r="AF39" s="9">
        <v>87</v>
      </c>
      <c r="AG39" s="138" t="s">
        <v>543</v>
      </c>
      <c r="AH39" s="138" t="s">
        <v>1697</v>
      </c>
      <c r="AI39" s="9" t="s">
        <v>20</v>
      </c>
    </row>
    <row r="40" spans="1:35">
      <c r="A40" s="138" t="s">
        <v>544</v>
      </c>
      <c r="B40" s="139">
        <v>44722</v>
      </c>
      <c r="C40" s="138" t="s">
        <v>487</v>
      </c>
      <c r="D40" s="138"/>
      <c r="E40" s="9">
        <v>15</v>
      </c>
      <c r="F40" s="138"/>
      <c r="G40" s="9" t="s">
        <v>9</v>
      </c>
      <c r="H40" s="9" t="s">
        <v>3</v>
      </c>
      <c r="J40" s="9" t="s">
        <v>253</v>
      </c>
      <c r="L40" s="9" t="s">
        <v>493</v>
      </c>
      <c r="M40" s="9" t="s">
        <v>493</v>
      </c>
      <c r="N40" s="9" t="s">
        <v>493</v>
      </c>
      <c r="O40" s="9" t="s">
        <v>493</v>
      </c>
      <c r="P40" s="21">
        <v>12.5166</v>
      </c>
      <c r="Q40" s="116">
        <f t="shared" si="0"/>
        <v>44722</v>
      </c>
      <c r="R40" s="140">
        <v>44890</v>
      </c>
      <c r="S40" s="141">
        <f t="shared" si="1"/>
        <v>168</v>
      </c>
      <c r="T40" s="21"/>
      <c r="U40" s="108">
        <v>0</v>
      </c>
      <c r="V40" s="9" t="s">
        <v>34</v>
      </c>
      <c r="W40" s="9">
        <v>6</v>
      </c>
      <c r="X40" s="121" t="s">
        <v>90</v>
      </c>
      <c r="Y40" s="140">
        <v>44937</v>
      </c>
      <c r="Z40" s="21">
        <v>0</v>
      </c>
      <c r="AA40" s="23">
        <v>1</v>
      </c>
      <c r="AB40" s="9" t="s">
        <v>155</v>
      </c>
      <c r="AC40" s="9" t="s">
        <v>184</v>
      </c>
      <c r="AD40" s="9" t="s">
        <v>166</v>
      </c>
      <c r="AE40" s="9" t="s">
        <v>212</v>
      </c>
      <c r="AF40" s="9">
        <v>4</v>
      </c>
      <c r="AG40" s="138" t="s">
        <v>544</v>
      </c>
      <c r="AH40" s="138" t="s">
        <v>1697</v>
      </c>
      <c r="AI40" s="9" t="s">
        <v>20</v>
      </c>
    </row>
    <row r="41" spans="1:35">
      <c r="A41" s="138" t="s">
        <v>545</v>
      </c>
      <c r="B41" s="139">
        <v>44722</v>
      </c>
      <c r="C41" s="138" t="s">
        <v>487</v>
      </c>
      <c r="D41" s="138"/>
      <c r="E41" s="9">
        <v>16</v>
      </c>
      <c r="F41" s="138"/>
      <c r="G41" s="9" t="s">
        <v>15</v>
      </c>
      <c r="H41" s="9" t="s">
        <v>230</v>
      </c>
      <c r="J41" s="9" t="s">
        <v>253</v>
      </c>
      <c r="L41" s="9" t="s">
        <v>493</v>
      </c>
      <c r="M41" s="9" t="s">
        <v>493</v>
      </c>
      <c r="N41" s="9" t="s">
        <v>493</v>
      </c>
      <c r="O41" s="9" t="s">
        <v>493</v>
      </c>
      <c r="P41" s="21">
        <v>10.4834</v>
      </c>
      <c r="Q41" s="116">
        <f t="shared" si="0"/>
        <v>44722</v>
      </c>
      <c r="R41" s="140">
        <v>44890</v>
      </c>
      <c r="S41" s="141">
        <f t="shared" si="1"/>
        <v>168</v>
      </c>
      <c r="T41" s="21">
        <v>0.10299999999999999</v>
      </c>
      <c r="U41" s="108">
        <v>0.47899999999999998</v>
      </c>
      <c r="V41" s="9" t="s">
        <v>32</v>
      </c>
      <c r="W41" s="9">
        <v>2</v>
      </c>
      <c r="X41" s="121" t="s">
        <v>56</v>
      </c>
      <c r="Y41" s="140">
        <v>44908</v>
      </c>
      <c r="Z41" s="21">
        <v>3.12</v>
      </c>
      <c r="AA41" s="23">
        <v>2</v>
      </c>
      <c r="AB41" s="32" t="s">
        <v>162</v>
      </c>
      <c r="AC41" s="32" t="s">
        <v>192</v>
      </c>
      <c r="AD41" s="9" t="s">
        <v>173</v>
      </c>
      <c r="AE41" s="9" t="s">
        <v>221</v>
      </c>
      <c r="AF41" s="9">
        <v>277</v>
      </c>
      <c r="AG41" s="138" t="s">
        <v>545</v>
      </c>
      <c r="AH41" s="138" t="s">
        <v>1697</v>
      </c>
      <c r="AI41" s="9" t="s">
        <v>18</v>
      </c>
    </row>
    <row r="42" spans="1:35">
      <c r="A42" s="138" t="s">
        <v>546</v>
      </c>
      <c r="B42" s="139">
        <v>44722</v>
      </c>
      <c r="C42" s="138" t="s">
        <v>487</v>
      </c>
      <c r="D42" s="138"/>
      <c r="E42" s="9">
        <v>17</v>
      </c>
      <c r="F42" s="138"/>
      <c r="G42" s="9" t="s">
        <v>14</v>
      </c>
      <c r="H42" s="9" t="s">
        <v>230</v>
      </c>
      <c r="J42" s="9" t="s">
        <v>40</v>
      </c>
      <c r="L42" s="9" t="s">
        <v>493</v>
      </c>
      <c r="M42" s="9" t="s">
        <v>493</v>
      </c>
      <c r="N42" s="9" t="s">
        <v>493</v>
      </c>
      <c r="O42" s="9" t="s">
        <v>493</v>
      </c>
      <c r="P42" s="21">
        <v>13.402799999999999</v>
      </c>
      <c r="Q42" s="116">
        <f t="shared" si="0"/>
        <v>44722</v>
      </c>
      <c r="R42" s="140">
        <v>44893</v>
      </c>
      <c r="S42" s="141">
        <f t="shared" si="1"/>
        <v>171</v>
      </c>
      <c r="T42" s="21">
        <v>5.3999999999999999E-2</v>
      </c>
      <c r="U42" s="108">
        <v>0.18099999999999999</v>
      </c>
      <c r="V42" s="9" t="s">
        <v>34</v>
      </c>
      <c r="W42" s="9">
        <v>7</v>
      </c>
      <c r="X42" s="121" t="s">
        <v>52</v>
      </c>
      <c r="Y42" s="140">
        <v>44944</v>
      </c>
      <c r="Z42" s="21">
        <v>0.749</v>
      </c>
      <c r="AA42" s="23">
        <v>4</v>
      </c>
      <c r="AB42" s="32" t="s">
        <v>202</v>
      </c>
      <c r="AC42" s="32" t="s">
        <v>203</v>
      </c>
      <c r="AD42" s="9" t="s">
        <v>180</v>
      </c>
      <c r="AE42" s="9" t="s">
        <v>228</v>
      </c>
      <c r="AF42" s="9">
        <v>357</v>
      </c>
      <c r="AG42" s="138" t="s">
        <v>546</v>
      </c>
      <c r="AH42" s="138" t="s">
        <v>1697</v>
      </c>
      <c r="AI42" s="9" t="s">
        <v>18</v>
      </c>
    </row>
    <row r="43" spans="1:35">
      <c r="A43" s="138" t="s">
        <v>547</v>
      </c>
      <c r="B43" s="139">
        <v>44722</v>
      </c>
      <c r="C43" s="138" t="s">
        <v>487</v>
      </c>
      <c r="D43" s="138"/>
      <c r="E43" s="9">
        <v>18</v>
      </c>
      <c r="F43" s="138"/>
      <c r="G43" s="9" t="s">
        <v>12</v>
      </c>
      <c r="H43" s="9" t="s">
        <v>230</v>
      </c>
      <c r="J43" s="9" t="s">
        <v>254</v>
      </c>
      <c r="L43" s="9" t="s">
        <v>493</v>
      </c>
      <c r="M43" s="9" t="s">
        <v>493</v>
      </c>
      <c r="N43" s="9" t="s">
        <v>493</v>
      </c>
      <c r="O43" s="9" t="s">
        <v>493</v>
      </c>
      <c r="P43" s="21">
        <v>13.994199999999999</v>
      </c>
      <c r="Q43" s="116">
        <f t="shared" si="0"/>
        <v>44722</v>
      </c>
      <c r="R43" s="140">
        <v>44893</v>
      </c>
      <c r="S43" s="141">
        <f t="shared" si="1"/>
        <v>171</v>
      </c>
      <c r="T43" s="21"/>
      <c r="U43" s="108">
        <v>0.13300000000000001</v>
      </c>
      <c r="V43" s="9" t="s">
        <v>34</v>
      </c>
      <c r="W43" s="9">
        <v>5</v>
      </c>
      <c r="X43" s="121" t="s">
        <v>85</v>
      </c>
      <c r="Y43" s="140">
        <v>44902</v>
      </c>
      <c r="Z43" s="21">
        <v>2.81</v>
      </c>
      <c r="AA43" s="23">
        <v>4</v>
      </c>
      <c r="AB43" s="32" t="s">
        <v>206</v>
      </c>
      <c r="AC43" s="32" t="s">
        <v>207</v>
      </c>
      <c r="AD43" s="9" t="s">
        <v>174</v>
      </c>
      <c r="AE43" s="9" t="s">
        <v>222</v>
      </c>
      <c r="AF43" s="9">
        <v>374</v>
      </c>
      <c r="AG43" s="138" t="s">
        <v>547</v>
      </c>
      <c r="AH43" s="138" t="s">
        <v>1697</v>
      </c>
      <c r="AI43" s="9" t="s">
        <v>18</v>
      </c>
    </row>
    <row r="44" spans="1:35">
      <c r="A44" s="138" t="s">
        <v>548</v>
      </c>
      <c r="B44" s="139">
        <v>44722</v>
      </c>
      <c r="C44" s="138" t="s">
        <v>487</v>
      </c>
      <c r="D44" s="138"/>
      <c r="E44" s="9">
        <v>19</v>
      </c>
      <c r="F44" s="138"/>
      <c r="G44" s="9" t="s">
        <v>9</v>
      </c>
      <c r="H44" s="9" t="s">
        <v>3</v>
      </c>
      <c r="J44" s="9" t="s">
        <v>253</v>
      </c>
      <c r="L44" s="9" t="s">
        <v>493</v>
      </c>
      <c r="M44" s="9" t="s">
        <v>493</v>
      </c>
      <c r="N44" s="9" t="s">
        <v>493</v>
      </c>
      <c r="O44" s="9" t="s">
        <v>493</v>
      </c>
      <c r="P44" s="21">
        <v>10.635400000000001</v>
      </c>
      <c r="Q44" s="116">
        <f t="shared" si="0"/>
        <v>44722</v>
      </c>
      <c r="R44" s="140">
        <v>44893</v>
      </c>
      <c r="S44" s="141">
        <f t="shared" si="1"/>
        <v>171</v>
      </c>
      <c r="T44" s="21">
        <v>8.7999999999999995E-2</v>
      </c>
      <c r="U44" s="108">
        <v>0.41799999999999998</v>
      </c>
      <c r="V44" s="9" t="s">
        <v>32</v>
      </c>
      <c r="W44" s="9">
        <v>2</v>
      </c>
      <c r="X44" s="121" t="s">
        <v>94</v>
      </c>
      <c r="Y44" s="140">
        <v>44908</v>
      </c>
      <c r="Z44" s="21">
        <v>0.85</v>
      </c>
      <c r="AA44" s="23">
        <v>2</v>
      </c>
      <c r="AB44" s="32" t="s">
        <v>157</v>
      </c>
      <c r="AC44" s="32" t="s">
        <v>186</v>
      </c>
      <c r="AD44" s="9" t="s">
        <v>176</v>
      </c>
      <c r="AE44" s="9" t="s">
        <v>224</v>
      </c>
      <c r="AF44" s="9">
        <v>220</v>
      </c>
      <c r="AG44" s="138" t="s">
        <v>548</v>
      </c>
      <c r="AH44" s="138" t="s">
        <v>1697</v>
      </c>
      <c r="AI44" s="9" t="s">
        <v>18</v>
      </c>
    </row>
    <row r="45" spans="1:35">
      <c r="A45" s="138" t="s">
        <v>549</v>
      </c>
      <c r="B45" s="139">
        <v>44722</v>
      </c>
      <c r="C45" s="138" t="s">
        <v>487</v>
      </c>
      <c r="D45" s="138"/>
      <c r="E45" s="9">
        <v>20</v>
      </c>
      <c r="F45" s="138"/>
      <c r="G45" s="9" t="s">
        <v>11</v>
      </c>
      <c r="H45" s="9" t="s">
        <v>3</v>
      </c>
      <c r="J45" s="9" t="s">
        <v>40</v>
      </c>
      <c r="L45" s="9" t="s">
        <v>493</v>
      </c>
      <c r="M45" s="9" t="s">
        <v>493</v>
      </c>
      <c r="N45" s="9" t="s">
        <v>493</v>
      </c>
      <c r="O45" s="9" t="s">
        <v>493</v>
      </c>
      <c r="P45" s="21">
        <v>13.431100000000001</v>
      </c>
      <c r="Q45" s="116">
        <f t="shared" si="0"/>
        <v>44722</v>
      </c>
      <c r="R45" s="140">
        <v>44894</v>
      </c>
      <c r="S45" s="141">
        <f t="shared" si="1"/>
        <v>172</v>
      </c>
      <c r="T45" s="21">
        <v>0.16600000000000001</v>
      </c>
      <c r="U45" s="108">
        <v>1.18</v>
      </c>
      <c r="V45" s="9" t="s">
        <v>34</v>
      </c>
      <c r="W45" s="9">
        <v>6</v>
      </c>
      <c r="X45" s="121" t="s">
        <v>92</v>
      </c>
      <c r="Y45" s="140">
        <v>44937</v>
      </c>
      <c r="Z45" s="21">
        <v>33.840000000000003</v>
      </c>
      <c r="AA45" s="23">
        <v>1</v>
      </c>
      <c r="AB45" s="9" t="s">
        <v>155</v>
      </c>
      <c r="AC45" s="9" t="s">
        <v>184</v>
      </c>
      <c r="AD45" s="9" t="s">
        <v>43</v>
      </c>
      <c r="AE45" s="9" t="s">
        <v>213</v>
      </c>
      <c r="AF45" s="9">
        <v>5</v>
      </c>
      <c r="AG45" s="138" t="s">
        <v>549</v>
      </c>
      <c r="AH45" s="138" t="s">
        <v>1697</v>
      </c>
      <c r="AI45" s="9" t="s">
        <v>18</v>
      </c>
    </row>
    <row r="46" spans="1:35">
      <c r="A46" s="138" t="s">
        <v>550</v>
      </c>
      <c r="B46" s="139">
        <v>44722</v>
      </c>
      <c r="C46" s="138" t="s">
        <v>487</v>
      </c>
      <c r="D46" s="138"/>
      <c r="E46" s="9">
        <v>21</v>
      </c>
      <c r="F46" s="138"/>
      <c r="G46" s="9" t="s">
        <v>14</v>
      </c>
      <c r="H46" s="9" t="s">
        <v>230</v>
      </c>
      <c r="J46" s="9" t="s">
        <v>40</v>
      </c>
      <c r="L46" s="9" t="s">
        <v>493</v>
      </c>
      <c r="M46" s="9" t="s">
        <v>493</v>
      </c>
      <c r="N46" s="9" t="s">
        <v>493</v>
      </c>
      <c r="O46" s="9" t="s">
        <v>493</v>
      </c>
      <c r="P46" s="21">
        <v>12.375299999999999</v>
      </c>
      <c r="Q46" s="116">
        <f t="shared" si="0"/>
        <v>44722</v>
      </c>
      <c r="R46" s="140">
        <v>44893</v>
      </c>
      <c r="S46" s="141">
        <f t="shared" si="1"/>
        <v>171</v>
      </c>
      <c r="T46" s="21"/>
      <c r="U46" s="108">
        <v>0</v>
      </c>
      <c r="V46" s="9" t="s">
        <v>34</v>
      </c>
      <c r="W46" s="9">
        <v>6</v>
      </c>
      <c r="X46" s="121" t="s">
        <v>148</v>
      </c>
      <c r="Y46" s="140">
        <v>44937</v>
      </c>
      <c r="Z46" s="21">
        <v>1.32</v>
      </c>
      <c r="AA46" s="23">
        <v>1</v>
      </c>
      <c r="AB46" s="32" t="s">
        <v>158</v>
      </c>
      <c r="AC46" s="32" t="s">
        <v>187</v>
      </c>
      <c r="AD46" s="9" t="s">
        <v>43</v>
      </c>
      <c r="AE46" s="9" t="s">
        <v>213</v>
      </c>
      <c r="AF46" s="9">
        <v>41</v>
      </c>
      <c r="AG46" s="138" t="s">
        <v>550</v>
      </c>
      <c r="AH46" s="138" t="s">
        <v>1697</v>
      </c>
      <c r="AI46" s="9" t="s">
        <v>20</v>
      </c>
    </row>
    <row r="47" spans="1:35">
      <c r="A47" s="138" t="s">
        <v>551</v>
      </c>
      <c r="B47" s="139">
        <v>44722</v>
      </c>
      <c r="C47" s="138" t="s">
        <v>487</v>
      </c>
      <c r="D47" s="138"/>
      <c r="E47" s="9">
        <v>22</v>
      </c>
      <c r="F47" s="138"/>
      <c r="G47" s="9" t="s">
        <v>12</v>
      </c>
      <c r="H47" s="9" t="s">
        <v>230</v>
      </c>
      <c r="J47" s="9" t="s">
        <v>254</v>
      </c>
      <c r="L47" s="9" t="s">
        <v>493</v>
      </c>
      <c r="M47" s="9" t="s">
        <v>493</v>
      </c>
      <c r="N47" s="9" t="s">
        <v>493</v>
      </c>
      <c r="O47" s="9" t="s">
        <v>493</v>
      </c>
      <c r="P47" s="21">
        <v>14.1808</v>
      </c>
      <c r="Q47" s="116">
        <f t="shared" si="0"/>
        <v>44722</v>
      </c>
      <c r="R47" s="140">
        <v>44894</v>
      </c>
      <c r="S47" s="141">
        <f t="shared" si="1"/>
        <v>172</v>
      </c>
      <c r="T47" s="21"/>
      <c r="U47" s="108">
        <v>0</v>
      </c>
      <c r="V47" s="9" t="s">
        <v>34</v>
      </c>
      <c r="W47" s="9">
        <v>6</v>
      </c>
      <c r="X47" s="121" t="s">
        <v>96</v>
      </c>
      <c r="Y47" s="140">
        <v>44937</v>
      </c>
      <c r="Z47" s="21">
        <v>1.37</v>
      </c>
      <c r="AA47" s="23">
        <v>1</v>
      </c>
      <c r="AB47" s="32" t="s">
        <v>159</v>
      </c>
      <c r="AC47" s="32" t="s">
        <v>188</v>
      </c>
      <c r="AD47" s="9" t="s">
        <v>43</v>
      </c>
      <c r="AE47" s="9" t="s">
        <v>213</v>
      </c>
      <c r="AF47" s="9">
        <v>53</v>
      </c>
      <c r="AG47" s="138" t="s">
        <v>551</v>
      </c>
      <c r="AH47" s="138" t="s">
        <v>1697</v>
      </c>
      <c r="AI47" s="9" t="s">
        <v>20</v>
      </c>
    </row>
    <row r="48" spans="1:35">
      <c r="A48" s="138" t="s">
        <v>552</v>
      </c>
      <c r="B48" s="139">
        <v>44722</v>
      </c>
      <c r="C48" s="138" t="s">
        <v>487</v>
      </c>
      <c r="D48" s="138"/>
      <c r="E48" s="9">
        <v>23</v>
      </c>
      <c r="F48" s="138"/>
      <c r="G48" s="9" t="s">
        <v>15</v>
      </c>
      <c r="H48" s="9" t="s">
        <v>230</v>
      </c>
      <c r="J48" s="9" t="s">
        <v>253</v>
      </c>
      <c r="L48" s="9" t="s">
        <v>493</v>
      </c>
      <c r="M48" s="9" t="s">
        <v>493</v>
      </c>
      <c r="N48" s="9" t="s">
        <v>493</v>
      </c>
      <c r="O48" s="9" t="s">
        <v>493</v>
      </c>
      <c r="P48" s="21">
        <v>11.606199999999999</v>
      </c>
      <c r="Q48" s="116">
        <f t="shared" si="0"/>
        <v>44722</v>
      </c>
      <c r="R48" s="140">
        <v>44894</v>
      </c>
      <c r="S48" s="141">
        <f t="shared" si="1"/>
        <v>172</v>
      </c>
      <c r="T48" s="21"/>
      <c r="U48" s="108">
        <v>5.1999999999999998E-2</v>
      </c>
      <c r="V48" s="9" t="s">
        <v>34</v>
      </c>
      <c r="W48" s="9">
        <v>6</v>
      </c>
      <c r="X48" s="121" t="s">
        <v>41</v>
      </c>
      <c r="Y48" s="140">
        <v>44937</v>
      </c>
      <c r="Z48" s="21">
        <v>0.1</v>
      </c>
      <c r="AA48" s="23">
        <v>1</v>
      </c>
      <c r="AB48" s="32" t="s">
        <v>160</v>
      </c>
      <c r="AC48" s="32" t="s">
        <v>189</v>
      </c>
      <c r="AD48" s="9" t="s">
        <v>43</v>
      </c>
      <c r="AE48" s="9" t="s">
        <v>213</v>
      </c>
      <c r="AF48" s="9">
        <v>65</v>
      </c>
      <c r="AG48" s="138" t="s">
        <v>552</v>
      </c>
      <c r="AH48" s="138" t="s">
        <v>1697</v>
      </c>
      <c r="AI48" s="9" t="s">
        <v>18</v>
      </c>
    </row>
    <row r="49" spans="1:35">
      <c r="A49" s="138" t="s">
        <v>553</v>
      </c>
      <c r="B49" s="139">
        <v>44722</v>
      </c>
      <c r="C49" s="138" t="s">
        <v>487</v>
      </c>
      <c r="D49" s="138"/>
      <c r="E49" s="9">
        <v>24</v>
      </c>
      <c r="F49" s="138"/>
      <c r="G49" s="9" t="s">
        <v>16</v>
      </c>
      <c r="H49" s="9" t="s">
        <v>3</v>
      </c>
      <c r="J49" s="9" t="s">
        <v>254</v>
      </c>
      <c r="L49" s="9" t="s">
        <v>493</v>
      </c>
      <c r="M49" s="9" t="s">
        <v>493</v>
      </c>
      <c r="N49" s="9" t="s">
        <v>493</v>
      </c>
      <c r="O49" s="9" t="s">
        <v>493</v>
      </c>
      <c r="P49" s="21">
        <v>10.106400000000001</v>
      </c>
      <c r="Q49" s="116">
        <f t="shared" si="0"/>
        <v>44722</v>
      </c>
      <c r="R49" s="140">
        <v>44894</v>
      </c>
      <c r="S49" s="141">
        <f t="shared" si="1"/>
        <v>172</v>
      </c>
      <c r="T49" s="21"/>
      <c r="U49" s="108">
        <v>6.3E-2</v>
      </c>
      <c r="V49" s="9" t="s">
        <v>34</v>
      </c>
      <c r="W49" s="9">
        <v>5</v>
      </c>
      <c r="X49" s="121" t="s">
        <v>87</v>
      </c>
      <c r="Y49" s="140">
        <v>44902</v>
      </c>
      <c r="Z49" s="21">
        <v>24.6</v>
      </c>
      <c r="AA49" s="23">
        <v>4</v>
      </c>
      <c r="AB49" s="32" t="s">
        <v>194</v>
      </c>
      <c r="AC49" s="32" t="s">
        <v>195</v>
      </c>
      <c r="AD49" s="9" t="s">
        <v>176</v>
      </c>
      <c r="AE49" s="9" t="s">
        <v>224</v>
      </c>
      <c r="AF49" s="9">
        <v>304</v>
      </c>
      <c r="AG49" s="138" t="s">
        <v>553</v>
      </c>
      <c r="AH49" s="138" t="s">
        <v>1697</v>
      </c>
      <c r="AI49" s="9" t="s">
        <v>18</v>
      </c>
    </row>
    <row r="50" spans="1:35">
      <c r="A50" s="138" t="s">
        <v>554</v>
      </c>
      <c r="B50" s="139">
        <v>44726</v>
      </c>
      <c r="C50" s="138" t="s">
        <v>487</v>
      </c>
      <c r="D50" s="138"/>
      <c r="E50" s="9">
        <v>1</v>
      </c>
      <c r="F50" s="138"/>
      <c r="G50" s="9" t="s">
        <v>9</v>
      </c>
      <c r="H50" s="9" t="s">
        <v>3</v>
      </c>
      <c r="J50" s="9" t="s">
        <v>253</v>
      </c>
      <c r="L50" s="9" t="s">
        <v>493</v>
      </c>
      <c r="M50" s="9" t="s">
        <v>493</v>
      </c>
      <c r="N50" s="9" t="s">
        <v>493</v>
      </c>
      <c r="O50" s="9" t="s">
        <v>493</v>
      </c>
      <c r="P50" s="21">
        <v>11.97</v>
      </c>
      <c r="Q50" s="116">
        <f t="shared" si="0"/>
        <v>44726</v>
      </c>
      <c r="R50" s="140">
        <v>44860</v>
      </c>
      <c r="S50" s="141">
        <f t="shared" si="1"/>
        <v>134</v>
      </c>
      <c r="T50" s="21">
        <v>0.156</v>
      </c>
      <c r="U50" s="108">
        <v>0.30599999999999999</v>
      </c>
      <c r="V50" s="9" t="s">
        <v>32</v>
      </c>
      <c r="W50" s="9">
        <v>1</v>
      </c>
      <c r="X50" s="121" t="s">
        <v>75</v>
      </c>
      <c r="Y50" s="140">
        <v>44907</v>
      </c>
      <c r="Z50" s="21">
        <v>0.73268013526402498</v>
      </c>
      <c r="AA50" s="23">
        <v>3</v>
      </c>
      <c r="AB50" s="32" t="s">
        <v>42</v>
      </c>
      <c r="AC50" s="32" t="s">
        <v>193</v>
      </c>
      <c r="AD50" s="9" t="s">
        <v>163</v>
      </c>
      <c r="AE50" s="9" t="s">
        <v>209</v>
      </c>
      <c r="AF50" s="9">
        <v>97</v>
      </c>
      <c r="AG50" s="138" t="s">
        <v>554</v>
      </c>
      <c r="AH50" s="138" t="s">
        <v>1697</v>
      </c>
      <c r="AI50" s="9" t="s">
        <v>1789</v>
      </c>
    </row>
    <row r="51" spans="1:35">
      <c r="A51" s="138" t="s">
        <v>555</v>
      </c>
      <c r="B51" s="139">
        <v>44726</v>
      </c>
      <c r="C51" s="138" t="s">
        <v>487</v>
      </c>
      <c r="D51" s="138"/>
      <c r="E51" s="9">
        <v>2</v>
      </c>
      <c r="F51" s="138"/>
      <c r="G51" s="9" t="s">
        <v>11</v>
      </c>
      <c r="H51" s="9" t="s">
        <v>3</v>
      </c>
      <c r="J51" s="9" t="s">
        <v>40</v>
      </c>
      <c r="L51" s="9" t="s">
        <v>493</v>
      </c>
      <c r="M51" s="9" t="s">
        <v>493</v>
      </c>
      <c r="N51" s="9" t="s">
        <v>493</v>
      </c>
      <c r="O51" s="9" t="s">
        <v>493</v>
      </c>
      <c r="P51" s="21">
        <v>14.048</v>
      </c>
      <c r="Q51" s="116">
        <f t="shared" si="0"/>
        <v>44726</v>
      </c>
      <c r="R51" s="140">
        <v>44861</v>
      </c>
      <c r="S51" s="141">
        <f t="shared" si="1"/>
        <v>135</v>
      </c>
      <c r="T51" s="21"/>
      <c r="U51" s="108">
        <v>0</v>
      </c>
      <c r="V51" s="9" t="s">
        <v>34</v>
      </c>
      <c r="W51" s="9">
        <v>6</v>
      </c>
      <c r="X51" s="121" t="s">
        <v>54</v>
      </c>
      <c r="Y51" s="140">
        <v>44937</v>
      </c>
      <c r="Z51" s="21">
        <v>0.54</v>
      </c>
      <c r="AA51" s="23">
        <v>1</v>
      </c>
      <c r="AB51" s="32" t="s">
        <v>162</v>
      </c>
      <c r="AC51" s="32" t="s">
        <v>192</v>
      </c>
      <c r="AD51" s="9" t="s">
        <v>163</v>
      </c>
      <c r="AE51" s="9" t="s">
        <v>209</v>
      </c>
      <c r="AF51" s="9">
        <v>85</v>
      </c>
      <c r="AG51" s="138" t="s">
        <v>555</v>
      </c>
      <c r="AH51" s="138" t="s">
        <v>1697</v>
      </c>
      <c r="AI51" s="9" t="s">
        <v>20</v>
      </c>
    </row>
    <row r="52" spans="1:35">
      <c r="A52" s="138" t="s">
        <v>556</v>
      </c>
      <c r="B52" s="139">
        <v>44726</v>
      </c>
      <c r="C52" s="138" t="s">
        <v>487</v>
      </c>
      <c r="D52" s="138"/>
      <c r="E52" s="9">
        <v>3</v>
      </c>
      <c r="F52" s="138"/>
      <c r="G52" s="9" t="s">
        <v>12</v>
      </c>
      <c r="H52" s="9" t="s">
        <v>230</v>
      </c>
      <c r="J52" s="9" t="s">
        <v>254</v>
      </c>
      <c r="L52" s="9" t="s">
        <v>493</v>
      </c>
      <c r="M52" s="9" t="s">
        <v>493</v>
      </c>
      <c r="N52" s="9" t="s">
        <v>493</v>
      </c>
      <c r="O52" s="9" t="s">
        <v>493</v>
      </c>
      <c r="P52" s="21">
        <v>12.217000000000001</v>
      </c>
      <c r="Q52" s="116">
        <f t="shared" si="0"/>
        <v>44726</v>
      </c>
      <c r="R52" s="140">
        <v>44860</v>
      </c>
      <c r="S52" s="141">
        <f t="shared" si="1"/>
        <v>134</v>
      </c>
      <c r="T52" s="21">
        <v>1.71</v>
      </c>
      <c r="V52" s="9" t="s">
        <v>33</v>
      </c>
      <c r="W52" s="9">
        <v>3</v>
      </c>
      <c r="X52" s="121" t="s">
        <v>46</v>
      </c>
      <c r="Y52" s="140">
        <v>44938</v>
      </c>
      <c r="Z52" s="21">
        <v>4.01</v>
      </c>
      <c r="AA52" s="23">
        <v>1</v>
      </c>
      <c r="AB52" s="9" t="s">
        <v>157</v>
      </c>
      <c r="AC52" s="9" t="s">
        <v>186</v>
      </c>
      <c r="AD52" s="9" t="s">
        <v>69</v>
      </c>
      <c r="AE52" s="9" t="s">
        <v>214</v>
      </c>
      <c r="AF52" s="9">
        <v>35</v>
      </c>
      <c r="AG52" s="138" t="s">
        <v>556</v>
      </c>
      <c r="AH52" s="138" t="s">
        <v>1697</v>
      </c>
    </row>
    <row r="53" spans="1:35">
      <c r="A53" s="138" t="s">
        <v>557</v>
      </c>
      <c r="B53" s="139">
        <v>44726</v>
      </c>
      <c r="C53" s="138" t="s">
        <v>487</v>
      </c>
      <c r="D53" s="138"/>
      <c r="E53" s="9">
        <v>4</v>
      </c>
      <c r="F53" s="138"/>
      <c r="G53" s="9" t="s">
        <v>14</v>
      </c>
      <c r="H53" s="9" t="s">
        <v>230</v>
      </c>
      <c r="J53" s="9" t="s">
        <v>40</v>
      </c>
      <c r="L53" s="9" t="s">
        <v>493</v>
      </c>
      <c r="M53" s="9" t="s">
        <v>493</v>
      </c>
      <c r="N53" s="9" t="s">
        <v>493</v>
      </c>
      <c r="O53" s="9" t="s">
        <v>493</v>
      </c>
      <c r="P53" s="21">
        <v>12.438000000000001</v>
      </c>
      <c r="Q53" s="116">
        <f t="shared" si="0"/>
        <v>44726</v>
      </c>
      <c r="R53" s="140">
        <v>44861</v>
      </c>
      <c r="S53" s="141">
        <f t="shared" si="1"/>
        <v>135</v>
      </c>
      <c r="T53" s="21"/>
      <c r="U53" s="108">
        <v>5.1999999999999998E-2</v>
      </c>
      <c r="V53" s="9" t="s">
        <v>34</v>
      </c>
      <c r="W53" s="9">
        <v>5</v>
      </c>
      <c r="X53" s="121" t="s">
        <v>41</v>
      </c>
      <c r="Y53" s="140">
        <v>44902</v>
      </c>
      <c r="Z53" s="21">
        <v>1.1599999999999999</v>
      </c>
      <c r="AA53" s="23">
        <v>4</v>
      </c>
      <c r="AB53" s="32" t="s">
        <v>42</v>
      </c>
      <c r="AC53" s="32" t="s">
        <v>193</v>
      </c>
      <c r="AD53" s="9" t="s">
        <v>173</v>
      </c>
      <c r="AE53" s="9" t="s">
        <v>221</v>
      </c>
      <c r="AF53" s="9">
        <v>289</v>
      </c>
      <c r="AG53" s="138" t="s">
        <v>557</v>
      </c>
      <c r="AH53" s="138" t="s">
        <v>1697</v>
      </c>
      <c r="AI53" s="9" t="s">
        <v>18</v>
      </c>
    </row>
    <row r="54" spans="1:35">
      <c r="A54" s="138" t="s">
        <v>558</v>
      </c>
      <c r="B54" s="139">
        <v>44726</v>
      </c>
      <c r="C54" s="138" t="s">
        <v>487</v>
      </c>
      <c r="D54" s="138"/>
      <c r="E54" s="9">
        <v>5</v>
      </c>
      <c r="F54" s="138"/>
      <c r="G54" s="9" t="s">
        <v>15</v>
      </c>
      <c r="H54" s="9" t="s">
        <v>230</v>
      </c>
      <c r="J54" s="9" t="s">
        <v>253</v>
      </c>
      <c r="L54" s="9" t="s">
        <v>493</v>
      </c>
      <c r="M54" s="9" t="s">
        <v>493</v>
      </c>
      <c r="N54" s="9" t="s">
        <v>493</v>
      </c>
      <c r="O54" s="9" t="s">
        <v>493</v>
      </c>
      <c r="P54" s="21">
        <v>13.725</v>
      </c>
      <c r="Q54" s="116">
        <f t="shared" si="0"/>
        <v>44726</v>
      </c>
      <c r="R54" s="140">
        <v>44861</v>
      </c>
      <c r="S54" s="141">
        <f t="shared" si="1"/>
        <v>135</v>
      </c>
      <c r="T54" s="21">
        <v>5.7000000000000002E-2</v>
      </c>
      <c r="U54" s="108">
        <v>0.19400000000000001</v>
      </c>
      <c r="V54" s="9" t="s">
        <v>34</v>
      </c>
      <c r="W54" s="9">
        <v>5</v>
      </c>
      <c r="X54" s="121" t="s">
        <v>46</v>
      </c>
      <c r="Y54" s="140">
        <v>44902</v>
      </c>
      <c r="Z54" s="21">
        <v>1.84</v>
      </c>
      <c r="AA54" s="23">
        <v>4</v>
      </c>
      <c r="AB54" s="32" t="s">
        <v>196</v>
      </c>
      <c r="AC54" s="32" t="s">
        <v>197</v>
      </c>
      <c r="AD54" s="9" t="s">
        <v>173</v>
      </c>
      <c r="AE54" s="9" t="s">
        <v>221</v>
      </c>
      <c r="AF54" s="9">
        <v>313</v>
      </c>
      <c r="AG54" s="138" t="s">
        <v>558</v>
      </c>
      <c r="AH54" s="138" t="s">
        <v>1697</v>
      </c>
      <c r="AI54" s="9" t="s">
        <v>18</v>
      </c>
    </row>
    <row r="55" spans="1:35">
      <c r="A55" s="138" t="s">
        <v>559</v>
      </c>
      <c r="B55" s="139">
        <v>44726</v>
      </c>
      <c r="C55" s="138" t="s">
        <v>487</v>
      </c>
      <c r="D55" s="138"/>
      <c r="E55" s="9">
        <v>6</v>
      </c>
      <c r="F55" s="138"/>
      <c r="G55" s="9" t="s">
        <v>16</v>
      </c>
      <c r="H55" s="9" t="s">
        <v>3</v>
      </c>
      <c r="J55" s="9" t="s">
        <v>254</v>
      </c>
      <c r="L55" s="9" t="s">
        <v>493</v>
      </c>
      <c r="M55" s="9" t="s">
        <v>493</v>
      </c>
      <c r="N55" s="9" t="s">
        <v>493</v>
      </c>
      <c r="O55" s="9" t="s">
        <v>493</v>
      </c>
      <c r="P55" s="21">
        <v>11.39</v>
      </c>
      <c r="Q55" s="116">
        <f t="shared" si="0"/>
        <v>44726</v>
      </c>
      <c r="R55" s="140">
        <v>44865</v>
      </c>
      <c r="S55" s="141">
        <f t="shared" si="1"/>
        <v>139</v>
      </c>
      <c r="T55" s="21">
        <v>0.36099999999999999</v>
      </c>
      <c r="V55" s="9" t="s">
        <v>32</v>
      </c>
      <c r="W55" s="9">
        <v>1</v>
      </c>
      <c r="X55" s="121" t="s">
        <v>96</v>
      </c>
      <c r="Y55" s="140">
        <v>44907</v>
      </c>
      <c r="Z55" s="21">
        <v>0.55000000000000004</v>
      </c>
      <c r="AA55" s="23">
        <v>3</v>
      </c>
      <c r="AB55" s="32" t="s">
        <v>204</v>
      </c>
      <c r="AC55" s="32" t="s">
        <v>205</v>
      </c>
      <c r="AD55" s="9" t="s">
        <v>166</v>
      </c>
      <c r="AE55" s="9" t="s">
        <v>212</v>
      </c>
      <c r="AF55" s="9">
        <v>172</v>
      </c>
      <c r="AG55" s="138" t="s">
        <v>559</v>
      </c>
      <c r="AH55" s="138" t="s">
        <v>1697</v>
      </c>
    </row>
    <row r="56" spans="1:35">
      <c r="A56" s="138" t="s">
        <v>560</v>
      </c>
      <c r="B56" s="139">
        <v>44726</v>
      </c>
      <c r="C56" s="138" t="s">
        <v>487</v>
      </c>
      <c r="D56" s="138"/>
      <c r="E56" s="9">
        <v>7</v>
      </c>
      <c r="F56" s="138"/>
      <c r="G56" s="9" t="s">
        <v>14</v>
      </c>
      <c r="H56" s="9" t="s">
        <v>230</v>
      </c>
      <c r="J56" s="9" t="s">
        <v>40</v>
      </c>
      <c r="L56" s="9" t="s">
        <v>493</v>
      </c>
      <c r="M56" s="9" t="s">
        <v>493</v>
      </c>
      <c r="N56" s="9" t="s">
        <v>493</v>
      </c>
      <c r="O56" s="9" t="s">
        <v>493</v>
      </c>
      <c r="P56" s="21">
        <v>13.096</v>
      </c>
      <c r="Q56" s="116">
        <f t="shared" si="0"/>
        <v>44726</v>
      </c>
      <c r="R56" s="140">
        <v>44861</v>
      </c>
      <c r="S56" s="141">
        <f t="shared" si="1"/>
        <v>135</v>
      </c>
      <c r="T56" s="21">
        <v>0.22600000000000001</v>
      </c>
      <c r="V56" s="9" t="s">
        <v>32</v>
      </c>
      <c r="W56" s="9">
        <v>1</v>
      </c>
      <c r="X56" s="121" t="s">
        <v>104</v>
      </c>
      <c r="Y56" s="140">
        <v>44907</v>
      </c>
      <c r="Z56" s="21">
        <v>0.64076996444983958</v>
      </c>
      <c r="AA56" s="23">
        <v>3</v>
      </c>
      <c r="AB56" s="32" t="s">
        <v>204</v>
      </c>
      <c r="AC56" s="32" t="s">
        <v>205</v>
      </c>
      <c r="AD56" s="9" t="s">
        <v>43</v>
      </c>
      <c r="AE56" s="9" t="s">
        <v>213</v>
      </c>
      <c r="AF56" s="9">
        <v>173</v>
      </c>
      <c r="AG56" s="138" t="s">
        <v>560</v>
      </c>
      <c r="AH56" s="138" t="s">
        <v>1697</v>
      </c>
    </row>
    <row r="57" spans="1:35">
      <c r="A57" s="138" t="s">
        <v>561</v>
      </c>
      <c r="B57" s="139">
        <v>44726</v>
      </c>
      <c r="C57" s="138" t="s">
        <v>487</v>
      </c>
      <c r="D57" s="138"/>
      <c r="E57" s="9">
        <v>8</v>
      </c>
      <c r="F57" s="138"/>
      <c r="G57" s="9" t="s">
        <v>15</v>
      </c>
      <c r="H57" s="9" t="s">
        <v>230</v>
      </c>
      <c r="J57" s="9" t="s">
        <v>253</v>
      </c>
      <c r="L57" s="9" t="s">
        <v>493</v>
      </c>
      <c r="M57" s="9" t="s">
        <v>493</v>
      </c>
      <c r="N57" s="9" t="s">
        <v>493</v>
      </c>
      <c r="O57" s="9" t="s">
        <v>493</v>
      </c>
      <c r="P57" s="21">
        <v>12.109</v>
      </c>
      <c r="Q57" s="116">
        <f t="shared" si="0"/>
        <v>44726</v>
      </c>
      <c r="R57" s="140">
        <v>44865</v>
      </c>
      <c r="S57" s="141">
        <f t="shared" si="1"/>
        <v>139</v>
      </c>
      <c r="T57" s="21">
        <v>0.65400000000000003</v>
      </c>
      <c r="V57" s="9" t="s">
        <v>32</v>
      </c>
      <c r="W57" s="9">
        <v>1</v>
      </c>
      <c r="X57" s="121" t="s">
        <v>98</v>
      </c>
      <c r="Y57" s="140">
        <v>44907</v>
      </c>
      <c r="Z57" s="21">
        <v>0.58007456862915108</v>
      </c>
      <c r="AA57" s="23">
        <v>3</v>
      </c>
      <c r="AB57" s="32" t="s">
        <v>200</v>
      </c>
      <c r="AC57" s="32" t="s">
        <v>201</v>
      </c>
      <c r="AD57" s="9" t="s">
        <v>168</v>
      </c>
      <c r="AE57" s="9" t="s">
        <v>216</v>
      </c>
      <c r="AF57" s="9">
        <v>150</v>
      </c>
      <c r="AG57" s="138" t="s">
        <v>561</v>
      </c>
      <c r="AH57" s="138" t="s">
        <v>1697</v>
      </c>
    </row>
    <row r="58" spans="1:35">
      <c r="A58" s="138" t="s">
        <v>562</v>
      </c>
      <c r="B58" s="139">
        <v>44726</v>
      </c>
      <c r="C58" s="138" t="s">
        <v>487</v>
      </c>
      <c r="D58" s="138"/>
      <c r="E58" s="9">
        <v>9</v>
      </c>
      <c r="F58" s="138"/>
      <c r="G58" s="9" t="s">
        <v>12</v>
      </c>
      <c r="H58" s="9" t="s">
        <v>230</v>
      </c>
      <c r="J58" s="9" t="s">
        <v>254</v>
      </c>
      <c r="L58" s="9" t="s">
        <v>493</v>
      </c>
      <c r="M58" s="9" t="s">
        <v>493</v>
      </c>
      <c r="N58" s="9" t="s">
        <v>493</v>
      </c>
      <c r="O58" s="9" t="s">
        <v>493</v>
      </c>
      <c r="P58" s="21">
        <v>11.907999999999999</v>
      </c>
      <c r="Q58" s="116">
        <f t="shared" si="0"/>
        <v>44726</v>
      </c>
      <c r="R58" s="140">
        <v>44886</v>
      </c>
      <c r="S58" s="141">
        <f t="shared" si="1"/>
        <v>160</v>
      </c>
      <c r="T58" s="21">
        <v>0.4</v>
      </c>
      <c r="V58" s="9" t="s">
        <v>33</v>
      </c>
      <c r="W58" s="9">
        <v>4</v>
      </c>
      <c r="X58" s="121" t="s">
        <v>44</v>
      </c>
      <c r="Y58" s="140">
        <v>45308</v>
      </c>
      <c r="Z58" s="21">
        <v>14.5</v>
      </c>
      <c r="AA58" s="23">
        <v>4</v>
      </c>
      <c r="AB58" s="32" t="s">
        <v>194</v>
      </c>
      <c r="AC58" s="32" t="s">
        <v>195</v>
      </c>
      <c r="AD58" s="9" t="s">
        <v>181</v>
      </c>
      <c r="AE58" s="9" t="s">
        <v>229</v>
      </c>
      <c r="AF58" s="9">
        <v>305</v>
      </c>
      <c r="AG58" s="138" t="s">
        <v>562</v>
      </c>
      <c r="AH58" s="138" t="s">
        <v>1697</v>
      </c>
    </row>
    <row r="59" spans="1:35">
      <c r="A59" s="138" t="s">
        <v>563</v>
      </c>
      <c r="B59" s="139">
        <v>44726</v>
      </c>
      <c r="C59" s="138" t="s">
        <v>487</v>
      </c>
      <c r="D59" s="138"/>
      <c r="E59" s="9">
        <v>10</v>
      </c>
      <c r="F59" s="138"/>
      <c r="G59" s="9" t="s">
        <v>11</v>
      </c>
      <c r="H59" s="9" t="s">
        <v>3</v>
      </c>
      <c r="J59" s="9" t="s">
        <v>40</v>
      </c>
      <c r="L59" s="9" t="s">
        <v>493</v>
      </c>
      <c r="M59" s="9" t="s">
        <v>493</v>
      </c>
      <c r="N59" s="9" t="s">
        <v>493</v>
      </c>
      <c r="O59" s="9" t="s">
        <v>493</v>
      </c>
      <c r="P59" s="21">
        <v>11.704000000000001</v>
      </c>
      <c r="Q59" s="116">
        <f t="shared" si="0"/>
        <v>44726</v>
      </c>
      <c r="R59" s="140">
        <v>44861</v>
      </c>
      <c r="S59" s="141">
        <f t="shared" si="1"/>
        <v>135</v>
      </c>
      <c r="T59" s="21"/>
      <c r="U59" s="108">
        <v>0.53200000000000003</v>
      </c>
      <c r="V59" s="9" t="s">
        <v>32</v>
      </c>
      <c r="W59" s="9">
        <v>2</v>
      </c>
      <c r="X59" s="121" t="s">
        <v>115</v>
      </c>
      <c r="Y59" s="140">
        <v>44908</v>
      </c>
      <c r="Z59" s="21">
        <v>4.82</v>
      </c>
      <c r="AA59" s="23">
        <v>2</v>
      </c>
      <c r="AB59" s="32" t="s">
        <v>157</v>
      </c>
      <c r="AC59" s="32" t="s">
        <v>186</v>
      </c>
      <c r="AD59" s="9" t="s">
        <v>180</v>
      </c>
      <c r="AE59" s="9" t="s">
        <v>228</v>
      </c>
      <c r="AF59" s="9">
        <v>225</v>
      </c>
      <c r="AG59" s="138" t="s">
        <v>563</v>
      </c>
      <c r="AH59" s="138" t="s">
        <v>1697</v>
      </c>
      <c r="AI59" s="9" t="s">
        <v>18</v>
      </c>
    </row>
    <row r="60" spans="1:35">
      <c r="A60" s="138" t="s">
        <v>564</v>
      </c>
      <c r="B60" s="139">
        <v>44726</v>
      </c>
      <c r="C60" s="138" t="s">
        <v>487</v>
      </c>
      <c r="D60" s="138"/>
      <c r="E60" s="9">
        <v>11</v>
      </c>
      <c r="F60" s="138"/>
      <c r="G60" s="9" t="s">
        <v>9</v>
      </c>
      <c r="H60" s="9" t="s">
        <v>3</v>
      </c>
      <c r="J60" s="9" t="s">
        <v>253</v>
      </c>
      <c r="L60" s="9" t="s">
        <v>493</v>
      </c>
      <c r="M60" s="9" t="s">
        <v>493</v>
      </c>
      <c r="N60" s="9" t="s">
        <v>493</v>
      </c>
      <c r="O60" s="9" t="s">
        <v>493</v>
      </c>
      <c r="P60" s="21">
        <v>11.7905</v>
      </c>
      <c r="Q60" s="116">
        <f t="shared" si="0"/>
        <v>44726</v>
      </c>
      <c r="R60" s="140">
        <v>44886</v>
      </c>
      <c r="S60" s="141">
        <f t="shared" si="1"/>
        <v>160</v>
      </c>
      <c r="T60" s="21">
        <v>7.0999999999999994E-2</v>
      </c>
      <c r="U60" s="108">
        <v>0.91900000000000004</v>
      </c>
      <c r="V60" s="9" t="s">
        <v>33</v>
      </c>
      <c r="W60" s="9">
        <v>4</v>
      </c>
      <c r="X60" s="121" t="s">
        <v>52</v>
      </c>
      <c r="Y60" s="140">
        <v>45308</v>
      </c>
      <c r="Z60" s="21">
        <v>13.9</v>
      </c>
      <c r="AA60" s="23">
        <v>4</v>
      </c>
      <c r="AB60" s="32" t="s">
        <v>202</v>
      </c>
      <c r="AC60" s="32" t="s">
        <v>203</v>
      </c>
      <c r="AD60" s="9" t="s">
        <v>181</v>
      </c>
      <c r="AE60" s="9" t="s">
        <v>229</v>
      </c>
      <c r="AF60" s="9">
        <v>353</v>
      </c>
      <c r="AG60" s="138" t="s">
        <v>564</v>
      </c>
      <c r="AH60" s="138" t="s">
        <v>1697</v>
      </c>
      <c r="AI60" s="9" t="s">
        <v>18</v>
      </c>
    </row>
    <row r="61" spans="1:35">
      <c r="A61" s="138" t="s">
        <v>565</v>
      </c>
      <c r="B61" s="139">
        <v>44726</v>
      </c>
      <c r="C61" s="138" t="s">
        <v>487</v>
      </c>
      <c r="D61" s="138"/>
      <c r="E61" s="9">
        <v>12</v>
      </c>
      <c r="F61" s="138"/>
      <c r="G61" s="9" t="s">
        <v>16</v>
      </c>
      <c r="H61" s="9" t="s">
        <v>3</v>
      </c>
      <c r="J61" s="9" t="s">
        <v>254</v>
      </c>
      <c r="L61" s="9" t="s">
        <v>493</v>
      </c>
      <c r="M61" s="9" t="s">
        <v>493</v>
      </c>
      <c r="N61" s="9" t="s">
        <v>493</v>
      </c>
      <c r="O61" s="9" t="s">
        <v>493</v>
      </c>
      <c r="P61" s="21">
        <v>13.972</v>
      </c>
      <c r="Q61" s="116">
        <f t="shared" si="0"/>
        <v>44726</v>
      </c>
      <c r="R61" s="140">
        <v>44861</v>
      </c>
      <c r="S61" s="141">
        <f t="shared" si="1"/>
        <v>135</v>
      </c>
      <c r="T61" s="21">
        <v>0.41899999999999998</v>
      </c>
      <c r="V61" s="9" t="s">
        <v>32</v>
      </c>
      <c r="W61" s="9">
        <v>1</v>
      </c>
      <c r="X61" s="121" t="s">
        <v>119</v>
      </c>
      <c r="Y61" s="140">
        <v>44907</v>
      </c>
      <c r="Z61" s="21">
        <v>0.51</v>
      </c>
      <c r="AA61" s="23">
        <v>3</v>
      </c>
      <c r="AB61" s="32" t="s">
        <v>194</v>
      </c>
      <c r="AC61" s="32" t="s">
        <v>195</v>
      </c>
      <c r="AD61" s="9" t="s">
        <v>171</v>
      </c>
      <c r="AE61" s="9" t="s">
        <v>219</v>
      </c>
      <c r="AF61" s="9">
        <v>118</v>
      </c>
      <c r="AG61" s="138" t="s">
        <v>565</v>
      </c>
      <c r="AH61" s="138" t="s">
        <v>1697</v>
      </c>
    </row>
    <row r="62" spans="1:35">
      <c r="A62" s="138" t="s">
        <v>566</v>
      </c>
      <c r="B62" s="139">
        <v>44726</v>
      </c>
      <c r="C62" s="138" t="s">
        <v>487</v>
      </c>
      <c r="D62" s="138"/>
      <c r="E62" s="9">
        <v>13</v>
      </c>
      <c r="F62" s="138"/>
      <c r="G62" s="9" t="s">
        <v>11</v>
      </c>
      <c r="H62" s="9" t="s">
        <v>3</v>
      </c>
      <c r="J62" s="9" t="s">
        <v>40</v>
      </c>
      <c r="L62" s="9" t="s">
        <v>493</v>
      </c>
      <c r="M62" s="9" t="s">
        <v>493</v>
      </c>
      <c r="N62" s="9" t="s">
        <v>493</v>
      </c>
      <c r="O62" s="9" t="s">
        <v>493</v>
      </c>
      <c r="P62" s="21">
        <v>11.523</v>
      </c>
      <c r="Q62" s="116">
        <f t="shared" si="0"/>
        <v>44726</v>
      </c>
      <c r="R62" s="140">
        <v>44890</v>
      </c>
      <c r="S62" s="141">
        <f t="shared" si="1"/>
        <v>164</v>
      </c>
      <c r="T62" s="21"/>
      <c r="U62" s="108">
        <v>0.13400000000000001</v>
      </c>
      <c r="V62" s="9" t="s">
        <v>34</v>
      </c>
      <c r="W62" s="9">
        <v>7</v>
      </c>
      <c r="X62" s="121" t="s">
        <v>48</v>
      </c>
      <c r="Y62" s="140">
        <v>44944</v>
      </c>
      <c r="Z62" s="21">
        <v>1.48</v>
      </c>
      <c r="AA62" s="23">
        <v>4</v>
      </c>
      <c r="AB62" s="32" t="s">
        <v>198</v>
      </c>
      <c r="AC62" s="32" t="s">
        <v>199</v>
      </c>
      <c r="AD62" s="9" t="s">
        <v>180</v>
      </c>
      <c r="AE62" s="9" t="s">
        <v>228</v>
      </c>
      <c r="AF62" s="9">
        <v>333</v>
      </c>
      <c r="AG62" s="138" t="s">
        <v>566</v>
      </c>
      <c r="AH62" s="138" t="s">
        <v>1697</v>
      </c>
      <c r="AI62" s="9" t="s">
        <v>18</v>
      </c>
    </row>
    <row r="63" spans="1:35">
      <c r="A63" s="138" t="s">
        <v>567</v>
      </c>
      <c r="B63" s="139">
        <v>44726</v>
      </c>
      <c r="C63" s="138" t="s">
        <v>487</v>
      </c>
      <c r="D63" s="138"/>
      <c r="E63" s="9">
        <v>14</v>
      </c>
      <c r="F63" s="138"/>
      <c r="G63" s="9" t="s">
        <v>16</v>
      </c>
      <c r="H63" s="9" t="s">
        <v>3</v>
      </c>
      <c r="J63" s="9" t="s">
        <v>254</v>
      </c>
      <c r="L63" s="9" t="s">
        <v>493</v>
      </c>
      <c r="M63" s="9" t="s">
        <v>493</v>
      </c>
      <c r="N63" s="9" t="s">
        <v>493</v>
      </c>
      <c r="O63" s="9" t="s">
        <v>493</v>
      </c>
      <c r="P63" s="21">
        <v>13.984</v>
      </c>
      <c r="Q63" s="116">
        <f t="shared" si="0"/>
        <v>44726</v>
      </c>
      <c r="R63" s="140">
        <v>44890</v>
      </c>
      <c r="S63" s="141">
        <f t="shared" si="1"/>
        <v>164</v>
      </c>
      <c r="T63" s="21">
        <v>0.22500000000000001</v>
      </c>
      <c r="V63" s="9" t="s">
        <v>32</v>
      </c>
      <c r="W63" s="9">
        <v>1</v>
      </c>
      <c r="X63" s="121" t="s">
        <v>41</v>
      </c>
      <c r="Y63" s="140">
        <v>44907</v>
      </c>
      <c r="Z63" s="21">
        <v>1.53</v>
      </c>
      <c r="AA63" s="23">
        <v>3</v>
      </c>
      <c r="AB63" s="32" t="s">
        <v>204</v>
      </c>
      <c r="AC63" s="32" t="s">
        <v>205</v>
      </c>
      <c r="AD63" s="9" t="s">
        <v>69</v>
      </c>
      <c r="AE63" s="9" t="s">
        <v>214</v>
      </c>
      <c r="AF63" s="9">
        <v>179</v>
      </c>
      <c r="AG63" s="138" t="s">
        <v>567</v>
      </c>
      <c r="AH63" s="138" t="s">
        <v>1697</v>
      </c>
    </row>
    <row r="64" spans="1:35">
      <c r="A64" s="138" t="s">
        <v>568</v>
      </c>
      <c r="B64" s="139">
        <v>44726</v>
      </c>
      <c r="C64" s="138" t="s">
        <v>487</v>
      </c>
      <c r="D64" s="138"/>
      <c r="E64" s="9">
        <v>15</v>
      </c>
      <c r="F64" s="138"/>
      <c r="G64" s="9" t="s">
        <v>9</v>
      </c>
      <c r="H64" s="9" t="s">
        <v>3</v>
      </c>
      <c r="J64" s="9" t="s">
        <v>253</v>
      </c>
      <c r="L64" s="9" t="s">
        <v>493</v>
      </c>
      <c r="M64" s="9" t="s">
        <v>493</v>
      </c>
      <c r="N64" s="9" t="s">
        <v>493</v>
      </c>
      <c r="O64" s="9" t="s">
        <v>493</v>
      </c>
      <c r="P64" s="21">
        <v>11.589</v>
      </c>
      <c r="Q64" s="116">
        <f t="shared" si="0"/>
        <v>44726</v>
      </c>
      <c r="R64" s="140">
        <v>44890</v>
      </c>
      <c r="S64" s="141">
        <f t="shared" si="1"/>
        <v>164</v>
      </c>
      <c r="T64" s="21">
        <v>0.80300000000000005</v>
      </c>
      <c r="V64" s="9" t="s">
        <v>32</v>
      </c>
      <c r="W64" s="9">
        <v>2</v>
      </c>
      <c r="X64" s="121" t="s">
        <v>41</v>
      </c>
      <c r="Y64" s="140">
        <v>44908</v>
      </c>
      <c r="Z64" s="21">
        <v>5.167261412976603</v>
      </c>
      <c r="AA64" s="23">
        <v>2</v>
      </c>
      <c r="AB64" s="32" t="s">
        <v>155</v>
      </c>
      <c r="AC64" s="32" t="s">
        <v>184</v>
      </c>
      <c r="AD64" s="9" t="s">
        <v>173</v>
      </c>
      <c r="AE64" s="9" t="s">
        <v>221</v>
      </c>
      <c r="AF64" s="9">
        <v>193</v>
      </c>
      <c r="AG64" s="138" t="s">
        <v>568</v>
      </c>
      <c r="AH64" s="138" t="s">
        <v>1697</v>
      </c>
    </row>
    <row r="65" spans="1:35">
      <c r="A65" s="138" t="s">
        <v>569</v>
      </c>
      <c r="B65" s="139">
        <v>44726</v>
      </c>
      <c r="C65" s="138" t="s">
        <v>487</v>
      </c>
      <c r="D65" s="138"/>
      <c r="E65" s="9">
        <v>16</v>
      </c>
      <c r="F65" s="138"/>
      <c r="G65" s="9" t="s">
        <v>15</v>
      </c>
      <c r="H65" s="9" t="s">
        <v>230</v>
      </c>
      <c r="J65" s="9" t="s">
        <v>253</v>
      </c>
      <c r="L65" s="9" t="s">
        <v>493</v>
      </c>
      <c r="M65" s="9" t="s">
        <v>493</v>
      </c>
      <c r="N65" s="9" t="s">
        <v>493</v>
      </c>
      <c r="O65" s="9" t="s">
        <v>493</v>
      </c>
      <c r="P65" s="21">
        <v>11.304</v>
      </c>
      <c r="Q65" s="116">
        <f t="shared" si="0"/>
        <v>44726</v>
      </c>
      <c r="R65" s="140">
        <v>44890</v>
      </c>
      <c r="S65" s="141">
        <f t="shared" si="1"/>
        <v>164</v>
      </c>
      <c r="T65" s="21"/>
      <c r="U65" s="108">
        <v>0.59099999999999997</v>
      </c>
      <c r="V65" s="9" t="s">
        <v>32</v>
      </c>
      <c r="W65" s="9">
        <v>2</v>
      </c>
      <c r="X65" s="121" t="s">
        <v>79</v>
      </c>
      <c r="Y65" s="140">
        <v>44908</v>
      </c>
      <c r="Z65" s="21">
        <v>3.5227732170794734</v>
      </c>
      <c r="AA65" s="23">
        <v>2</v>
      </c>
      <c r="AB65" s="32" t="s">
        <v>155</v>
      </c>
      <c r="AC65" s="32" t="s">
        <v>184</v>
      </c>
      <c r="AD65" s="9" t="s">
        <v>174</v>
      </c>
      <c r="AE65" s="9" t="s">
        <v>222</v>
      </c>
      <c r="AF65" s="9">
        <v>194</v>
      </c>
      <c r="AG65" s="138" t="s">
        <v>569</v>
      </c>
      <c r="AH65" s="138" t="s">
        <v>1697</v>
      </c>
      <c r="AI65" s="9" t="s">
        <v>1789</v>
      </c>
    </row>
    <row r="66" spans="1:35">
      <c r="A66" s="138" t="s">
        <v>570</v>
      </c>
      <c r="B66" s="139">
        <v>44726</v>
      </c>
      <c r="C66" s="138" t="s">
        <v>487</v>
      </c>
      <c r="D66" s="138"/>
      <c r="E66" s="9">
        <v>17</v>
      </c>
      <c r="F66" s="138"/>
      <c r="G66" s="9" t="s">
        <v>14</v>
      </c>
      <c r="H66" s="9" t="s">
        <v>230</v>
      </c>
      <c r="J66" s="9" t="s">
        <v>40</v>
      </c>
      <c r="L66" s="9" t="s">
        <v>493</v>
      </c>
      <c r="M66" s="9" t="s">
        <v>493</v>
      </c>
      <c r="N66" s="9" t="s">
        <v>493</v>
      </c>
      <c r="O66" s="9" t="s">
        <v>493</v>
      </c>
      <c r="P66" s="21">
        <v>11.374000000000001</v>
      </c>
      <c r="Q66" s="116">
        <f t="shared" si="0"/>
        <v>44726</v>
      </c>
      <c r="R66" s="140">
        <v>44893</v>
      </c>
      <c r="S66" s="141">
        <f t="shared" si="1"/>
        <v>167</v>
      </c>
      <c r="T66" s="21"/>
      <c r="U66" s="108">
        <v>0.152</v>
      </c>
      <c r="V66" s="9" t="s">
        <v>34</v>
      </c>
      <c r="W66" s="9">
        <v>5</v>
      </c>
      <c r="X66" s="121" t="s">
        <v>84</v>
      </c>
      <c r="Y66" s="140">
        <v>44902</v>
      </c>
      <c r="Z66" s="21">
        <v>1.48</v>
      </c>
      <c r="AA66" s="23">
        <v>4</v>
      </c>
      <c r="AB66" s="32" t="s">
        <v>204</v>
      </c>
      <c r="AC66" s="32" t="s">
        <v>205</v>
      </c>
      <c r="AD66" s="9" t="s">
        <v>174</v>
      </c>
      <c r="AE66" s="9" t="s">
        <v>222</v>
      </c>
      <c r="AF66" s="9">
        <v>362</v>
      </c>
      <c r="AG66" s="138" t="s">
        <v>570</v>
      </c>
      <c r="AH66" s="138" t="s">
        <v>1697</v>
      </c>
      <c r="AI66" s="9" t="s">
        <v>18</v>
      </c>
    </row>
    <row r="67" spans="1:35">
      <c r="A67" s="138" t="s">
        <v>571</v>
      </c>
      <c r="B67" s="139">
        <v>44726</v>
      </c>
      <c r="C67" s="138" t="s">
        <v>487</v>
      </c>
      <c r="D67" s="138"/>
      <c r="E67" s="9">
        <v>18</v>
      </c>
      <c r="F67" s="138"/>
      <c r="G67" s="9" t="s">
        <v>12</v>
      </c>
      <c r="H67" s="9" t="s">
        <v>230</v>
      </c>
      <c r="J67" s="9" t="s">
        <v>254</v>
      </c>
      <c r="L67" s="9" t="s">
        <v>493</v>
      </c>
      <c r="M67" s="9" t="s">
        <v>493</v>
      </c>
      <c r="N67" s="9" t="s">
        <v>493</v>
      </c>
      <c r="O67" s="9" t="s">
        <v>493</v>
      </c>
      <c r="P67" s="21">
        <v>11.885999999999999</v>
      </c>
      <c r="Q67" s="116">
        <f t="shared" ref="Q67:Q130" si="2">B67</f>
        <v>44726</v>
      </c>
      <c r="R67" s="140">
        <v>44893</v>
      </c>
      <c r="S67" s="141">
        <f t="shared" ref="S67:S130" si="3">R67-Q67</f>
        <v>167</v>
      </c>
      <c r="T67" s="21">
        <v>0.23799999999999999</v>
      </c>
      <c r="V67" s="9" t="s">
        <v>32</v>
      </c>
      <c r="W67" s="9">
        <v>2</v>
      </c>
      <c r="X67" s="121" t="s">
        <v>89</v>
      </c>
      <c r="Y67" s="140">
        <v>44908</v>
      </c>
      <c r="Z67" s="21">
        <v>1.525831912387716</v>
      </c>
      <c r="AA67" s="23">
        <v>2</v>
      </c>
      <c r="AB67" s="32" t="s">
        <v>159</v>
      </c>
      <c r="AC67" s="32" t="s">
        <v>188</v>
      </c>
      <c r="AD67" s="9" t="s">
        <v>175</v>
      </c>
      <c r="AE67" s="9" t="s">
        <v>223</v>
      </c>
      <c r="AF67" s="9">
        <v>243</v>
      </c>
      <c r="AG67" s="138" t="s">
        <v>571</v>
      </c>
      <c r="AH67" s="138" t="s">
        <v>1697</v>
      </c>
    </row>
    <row r="68" spans="1:35">
      <c r="A68" s="138" t="s">
        <v>572</v>
      </c>
      <c r="B68" s="139">
        <v>44726</v>
      </c>
      <c r="C68" s="138" t="s">
        <v>487</v>
      </c>
      <c r="D68" s="138"/>
      <c r="E68" s="9">
        <v>19</v>
      </c>
      <c r="F68" s="138"/>
      <c r="G68" s="9" t="s">
        <v>9</v>
      </c>
      <c r="H68" s="9" t="s">
        <v>3</v>
      </c>
      <c r="J68" s="9" t="s">
        <v>253</v>
      </c>
      <c r="L68" s="9" t="s">
        <v>493</v>
      </c>
      <c r="M68" s="9" t="s">
        <v>493</v>
      </c>
      <c r="N68" s="9" t="s">
        <v>493</v>
      </c>
      <c r="O68" s="9" t="s">
        <v>493</v>
      </c>
      <c r="P68" s="21">
        <v>10.4901</v>
      </c>
      <c r="Q68" s="116">
        <f t="shared" si="2"/>
        <v>44726</v>
      </c>
      <c r="R68" s="140">
        <v>44893</v>
      </c>
      <c r="S68" s="141">
        <f t="shared" si="3"/>
        <v>167</v>
      </c>
      <c r="T68" s="21">
        <v>9.5000000000000001E-2</v>
      </c>
      <c r="U68" s="108">
        <v>0.54600000000000004</v>
      </c>
      <c r="V68" s="9" t="s">
        <v>32</v>
      </c>
      <c r="W68" s="9">
        <v>2</v>
      </c>
      <c r="X68" s="121" t="s">
        <v>102</v>
      </c>
      <c r="Y68" s="140">
        <v>44908</v>
      </c>
      <c r="Z68" s="21">
        <v>1.01</v>
      </c>
      <c r="AA68" s="23">
        <v>2</v>
      </c>
      <c r="AB68" s="32" t="s">
        <v>158</v>
      </c>
      <c r="AC68" s="32" t="s">
        <v>187</v>
      </c>
      <c r="AD68" s="9" t="s">
        <v>176</v>
      </c>
      <c r="AE68" s="9" t="s">
        <v>224</v>
      </c>
      <c r="AF68" s="9">
        <v>232</v>
      </c>
      <c r="AG68" s="138" t="s">
        <v>572</v>
      </c>
      <c r="AH68" s="138" t="s">
        <v>1697</v>
      </c>
      <c r="AI68" s="9" t="s">
        <v>18</v>
      </c>
    </row>
    <row r="69" spans="1:35">
      <c r="A69" s="138" t="s">
        <v>573</v>
      </c>
      <c r="B69" s="139">
        <v>44726</v>
      </c>
      <c r="C69" s="138" t="s">
        <v>487</v>
      </c>
      <c r="D69" s="138"/>
      <c r="E69" s="9">
        <v>20</v>
      </c>
      <c r="F69" s="138"/>
      <c r="G69" s="9" t="s">
        <v>11</v>
      </c>
      <c r="H69" s="9" t="s">
        <v>3</v>
      </c>
      <c r="J69" s="9" t="s">
        <v>40</v>
      </c>
      <c r="L69" s="9" t="s">
        <v>493</v>
      </c>
      <c r="M69" s="9" t="s">
        <v>493</v>
      </c>
      <c r="N69" s="9" t="s">
        <v>493</v>
      </c>
      <c r="O69" s="9" t="s">
        <v>493</v>
      </c>
      <c r="P69" s="21">
        <v>12.109</v>
      </c>
      <c r="Q69" s="116">
        <f t="shared" si="2"/>
        <v>44726</v>
      </c>
      <c r="R69" s="140">
        <v>44894</v>
      </c>
      <c r="S69" s="141">
        <f t="shared" si="3"/>
        <v>168</v>
      </c>
      <c r="T69" s="21"/>
      <c r="U69" s="108">
        <v>7.2999999999999995E-2</v>
      </c>
      <c r="V69" s="9" t="s">
        <v>34</v>
      </c>
      <c r="W69" s="9">
        <v>5</v>
      </c>
      <c r="X69" s="121" t="s">
        <v>146</v>
      </c>
      <c r="Y69" s="140">
        <v>44902</v>
      </c>
      <c r="Z69" s="21">
        <v>0.34</v>
      </c>
      <c r="AA69" s="23">
        <v>4</v>
      </c>
      <c r="AB69" s="32" t="s">
        <v>198</v>
      </c>
      <c r="AC69" s="32" t="s">
        <v>199</v>
      </c>
      <c r="AD69" s="9" t="s">
        <v>175</v>
      </c>
      <c r="AE69" s="9" t="s">
        <v>223</v>
      </c>
      <c r="AF69" s="9">
        <v>327</v>
      </c>
      <c r="AG69" s="138" t="s">
        <v>573</v>
      </c>
      <c r="AH69" s="138" t="s">
        <v>1697</v>
      </c>
      <c r="AI69" s="9" t="s">
        <v>18</v>
      </c>
    </row>
    <row r="70" spans="1:35">
      <c r="A70" s="138" t="s">
        <v>574</v>
      </c>
      <c r="B70" s="139">
        <v>44726</v>
      </c>
      <c r="C70" s="138" t="s">
        <v>487</v>
      </c>
      <c r="D70" s="138"/>
      <c r="E70" s="9">
        <v>21</v>
      </c>
      <c r="F70" s="138"/>
      <c r="G70" s="9" t="s">
        <v>14</v>
      </c>
      <c r="H70" s="9" t="s">
        <v>230</v>
      </c>
      <c r="J70" s="9" t="s">
        <v>40</v>
      </c>
      <c r="L70" s="9" t="s">
        <v>493</v>
      </c>
      <c r="M70" s="9" t="s">
        <v>493</v>
      </c>
      <c r="N70" s="9" t="s">
        <v>493</v>
      </c>
      <c r="O70" s="9" t="s">
        <v>493</v>
      </c>
      <c r="P70" s="21">
        <v>13.8391</v>
      </c>
      <c r="Q70" s="116">
        <f t="shared" si="2"/>
        <v>44726</v>
      </c>
      <c r="R70" s="140">
        <v>44893</v>
      </c>
      <c r="S70" s="141">
        <f t="shared" si="3"/>
        <v>167</v>
      </c>
      <c r="T70" s="21">
        <v>3.11</v>
      </c>
      <c r="V70" s="9" t="s">
        <v>33</v>
      </c>
      <c r="W70" s="9">
        <v>4</v>
      </c>
      <c r="X70" s="121" t="s">
        <v>85</v>
      </c>
      <c r="Y70" s="140">
        <v>45308</v>
      </c>
      <c r="Z70" s="21">
        <v>27.7</v>
      </c>
      <c r="AA70" s="23">
        <v>4</v>
      </c>
      <c r="AB70" s="32" t="s">
        <v>206</v>
      </c>
      <c r="AC70" s="32" t="s">
        <v>207</v>
      </c>
      <c r="AD70" s="9" t="s">
        <v>177</v>
      </c>
      <c r="AE70" s="9" t="s">
        <v>225</v>
      </c>
      <c r="AF70" s="9">
        <v>378</v>
      </c>
      <c r="AG70" s="138" t="s">
        <v>574</v>
      </c>
      <c r="AH70" s="138" t="s">
        <v>1697</v>
      </c>
    </row>
    <row r="71" spans="1:35">
      <c r="A71" s="138" t="s">
        <v>575</v>
      </c>
      <c r="B71" s="139">
        <v>44726</v>
      </c>
      <c r="C71" s="138" t="s">
        <v>487</v>
      </c>
      <c r="D71" s="138"/>
      <c r="E71" s="9">
        <v>22</v>
      </c>
      <c r="F71" s="138"/>
      <c r="G71" s="9" t="s">
        <v>12</v>
      </c>
      <c r="H71" s="9" t="s">
        <v>230</v>
      </c>
      <c r="J71" s="9" t="s">
        <v>254</v>
      </c>
      <c r="L71" s="9" t="s">
        <v>493</v>
      </c>
      <c r="M71" s="9" t="s">
        <v>493</v>
      </c>
      <c r="N71" s="9" t="s">
        <v>493</v>
      </c>
      <c r="O71" s="9" t="s">
        <v>493</v>
      </c>
      <c r="P71" s="21">
        <v>13.297000000000001</v>
      </c>
      <c r="Q71" s="116">
        <f t="shared" si="2"/>
        <v>44726</v>
      </c>
      <c r="R71" s="140">
        <v>44894</v>
      </c>
      <c r="S71" s="141">
        <f t="shared" si="3"/>
        <v>168</v>
      </c>
      <c r="T71" s="21">
        <v>0.156</v>
      </c>
      <c r="U71" s="108">
        <v>0.95099999999999996</v>
      </c>
      <c r="V71" s="9" t="s">
        <v>32</v>
      </c>
      <c r="W71" s="9">
        <v>2</v>
      </c>
      <c r="X71" s="121" t="s">
        <v>110</v>
      </c>
      <c r="Y71" s="140">
        <v>44908</v>
      </c>
      <c r="Z71" s="21">
        <v>1.66</v>
      </c>
      <c r="AA71" s="23">
        <v>2</v>
      </c>
      <c r="AB71" s="32" t="s">
        <v>45</v>
      </c>
      <c r="AC71" s="32" t="s">
        <v>190</v>
      </c>
      <c r="AD71" s="9" t="s">
        <v>177</v>
      </c>
      <c r="AE71" s="9" t="s">
        <v>225</v>
      </c>
      <c r="AF71" s="9">
        <v>270</v>
      </c>
      <c r="AG71" s="138" t="s">
        <v>575</v>
      </c>
      <c r="AH71" s="138" t="s">
        <v>1697</v>
      </c>
      <c r="AI71" s="9" t="s">
        <v>18</v>
      </c>
    </row>
    <row r="72" spans="1:35">
      <c r="A72" s="138" t="s">
        <v>576</v>
      </c>
      <c r="B72" s="139">
        <v>44726</v>
      </c>
      <c r="C72" s="138" t="s">
        <v>487</v>
      </c>
      <c r="D72" s="138"/>
      <c r="E72" s="9">
        <v>23</v>
      </c>
      <c r="F72" s="138"/>
      <c r="G72" s="9" t="s">
        <v>15</v>
      </c>
      <c r="H72" s="9" t="s">
        <v>230</v>
      </c>
      <c r="J72" s="9" t="s">
        <v>253</v>
      </c>
      <c r="L72" s="9" t="s">
        <v>493</v>
      </c>
      <c r="M72" s="9" t="s">
        <v>493</v>
      </c>
      <c r="N72" s="9" t="s">
        <v>493</v>
      </c>
      <c r="O72" s="9" t="s">
        <v>493</v>
      </c>
      <c r="P72" s="21">
        <v>11.884</v>
      </c>
      <c r="Q72" s="116">
        <f t="shared" si="2"/>
        <v>44726</v>
      </c>
      <c r="R72" s="140">
        <v>44894</v>
      </c>
      <c r="S72" s="141">
        <f t="shared" si="3"/>
        <v>168</v>
      </c>
      <c r="T72" s="21">
        <v>7.5999999999999998E-2</v>
      </c>
      <c r="U72" s="108">
        <v>0.27900000000000003</v>
      </c>
      <c r="V72" s="9" t="s">
        <v>34</v>
      </c>
      <c r="W72" s="9">
        <v>5</v>
      </c>
      <c r="X72" s="121" t="s">
        <v>147</v>
      </c>
      <c r="Y72" s="140">
        <v>44902</v>
      </c>
      <c r="Z72" s="21">
        <v>0.27</v>
      </c>
      <c r="AA72" s="23">
        <v>4</v>
      </c>
      <c r="AB72" s="32" t="s">
        <v>206</v>
      </c>
      <c r="AC72" s="32" t="s">
        <v>207</v>
      </c>
      <c r="AD72" s="9" t="s">
        <v>175</v>
      </c>
      <c r="AE72" s="9" t="s">
        <v>223</v>
      </c>
      <c r="AF72" s="9">
        <v>375</v>
      </c>
      <c r="AG72" s="138" t="s">
        <v>576</v>
      </c>
      <c r="AH72" s="138" t="s">
        <v>1697</v>
      </c>
      <c r="AI72" s="9" t="s">
        <v>18</v>
      </c>
    </row>
    <row r="73" spans="1:35">
      <c r="A73" s="138" t="s">
        <v>577</v>
      </c>
      <c r="B73" s="139">
        <v>44726</v>
      </c>
      <c r="C73" s="138" t="s">
        <v>487</v>
      </c>
      <c r="D73" s="138"/>
      <c r="E73" s="9">
        <v>24</v>
      </c>
      <c r="F73" s="138"/>
      <c r="G73" s="9" t="s">
        <v>16</v>
      </c>
      <c r="H73" s="9" t="s">
        <v>3</v>
      </c>
      <c r="J73" s="9" t="s">
        <v>254</v>
      </c>
      <c r="L73" s="9" t="s">
        <v>493</v>
      </c>
      <c r="M73" s="9" t="s">
        <v>493</v>
      </c>
      <c r="N73" s="9" t="s">
        <v>493</v>
      </c>
      <c r="O73" s="9" t="s">
        <v>493</v>
      </c>
      <c r="P73" s="21">
        <v>12.651</v>
      </c>
      <c r="Q73" s="116">
        <f t="shared" si="2"/>
        <v>44726</v>
      </c>
      <c r="R73" s="140">
        <v>44894</v>
      </c>
      <c r="S73" s="141">
        <f t="shared" si="3"/>
        <v>168</v>
      </c>
      <c r="T73" s="21">
        <v>7.4999999999999997E-2</v>
      </c>
      <c r="U73" s="108">
        <v>0.34699999999999998</v>
      </c>
      <c r="V73" s="9" t="s">
        <v>32</v>
      </c>
      <c r="W73" s="9">
        <v>2</v>
      </c>
      <c r="X73" s="121" t="s">
        <v>120</v>
      </c>
      <c r="Y73" s="140">
        <v>44908</v>
      </c>
      <c r="Z73" s="21">
        <v>1.1100000000000001</v>
      </c>
      <c r="AA73" s="23">
        <v>2</v>
      </c>
      <c r="AB73" s="32" t="s">
        <v>159</v>
      </c>
      <c r="AC73" s="32" t="s">
        <v>188</v>
      </c>
      <c r="AD73" s="9" t="s">
        <v>179</v>
      </c>
      <c r="AE73" s="9" t="s">
        <v>227</v>
      </c>
      <c r="AF73" s="9">
        <v>248</v>
      </c>
      <c r="AG73" s="138" t="s">
        <v>577</v>
      </c>
      <c r="AH73" s="138" t="s">
        <v>1697</v>
      </c>
      <c r="AI73" s="9" t="s">
        <v>18</v>
      </c>
    </row>
    <row r="74" spans="1:35">
      <c r="A74" s="138" t="s">
        <v>578</v>
      </c>
      <c r="B74" s="139">
        <v>44729</v>
      </c>
      <c r="C74" s="138" t="s">
        <v>487</v>
      </c>
      <c r="D74" s="138"/>
      <c r="E74" s="9">
        <v>1</v>
      </c>
      <c r="F74" s="138"/>
      <c r="G74" s="9" t="s">
        <v>9</v>
      </c>
      <c r="H74" s="9" t="s">
        <v>3</v>
      </c>
      <c r="J74" s="9" t="s">
        <v>253</v>
      </c>
      <c r="L74" s="9" t="s">
        <v>493</v>
      </c>
      <c r="M74" s="9" t="s">
        <v>493</v>
      </c>
      <c r="N74" s="9" t="s">
        <v>493</v>
      </c>
      <c r="O74" s="9" t="s">
        <v>493</v>
      </c>
      <c r="P74" s="21">
        <v>12.125</v>
      </c>
      <c r="Q74" s="116">
        <f t="shared" si="2"/>
        <v>44729</v>
      </c>
      <c r="R74" s="140">
        <v>44860</v>
      </c>
      <c r="S74" s="141">
        <f t="shared" si="3"/>
        <v>131</v>
      </c>
      <c r="T74" s="21">
        <v>0.39800000000000002</v>
      </c>
      <c r="V74" s="9" t="s">
        <v>32</v>
      </c>
      <c r="W74" s="9">
        <v>1</v>
      </c>
      <c r="X74" s="121" t="s">
        <v>44</v>
      </c>
      <c r="Y74" s="140">
        <v>44907</v>
      </c>
      <c r="Z74" s="21">
        <v>0.62949796236885458</v>
      </c>
      <c r="AA74" s="23">
        <v>3</v>
      </c>
      <c r="AB74" s="32" t="s">
        <v>194</v>
      </c>
      <c r="AC74" s="32" t="s">
        <v>195</v>
      </c>
      <c r="AD74" s="9" t="s">
        <v>163</v>
      </c>
      <c r="AE74" s="9" t="s">
        <v>209</v>
      </c>
      <c r="AF74" s="9">
        <v>109</v>
      </c>
      <c r="AG74" s="138" t="s">
        <v>578</v>
      </c>
      <c r="AH74" s="138" t="s">
        <v>1697</v>
      </c>
    </row>
    <row r="75" spans="1:35">
      <c r="A75" s="138" t="s">
        <v>579</v>
      </c>
      <c r="B75" s="139">
        <v>44729</v>
      </c>
      <c r="C75" s="138" t="s">
        <v>487</v>
      </c>
      <c r="D75" s="138"/>
      <c r="E75" s="9">
        <v>2</v>
      </c>
      <c r="F75" s="138"/>
      <c r="G75" s="9" t="s">
        <v>11</v>
      </c>
      <c r="H75" s="9" t="s">
        <v>3</v>
      </c>
      <c r="J75" s="9" t="s">
        <v>40</v>
      </c>
      <c r="L75" s="9" t="s">
        <v>493</v>
      </c>
      <c r="M75" s="9" t="s">
        <v>493</v>
      </c>
      <c r="N75" s="9" t="s">
        <v>493</v>
      </c>
      <c r="O75" s="9" t="s">
        <v>493</v>
      </c>
      <c r="P75" s="21">
        <v>12.386100000000001</v>
      </c>
      <c r="Q75" s="116">
        <f t="shared" si="2"/>
        <v>44729</v>
      </c>
      <c r="R75" s="140">
        <v>44861</v>
      </c>
      <c r="S75" s="141">
        <f t="shared" si="3"/>
        <v>132</v>
      </c>
      <c r="T75" s="21"/>
      <c r="U75" s="108">
        <v>0</v>
      </c>
      <c r="V75" s="9" t="s">
        <v>34</v>
      </c>
      <c r="W75" s="9">
        <v>6</v>
      </c>
      <c r="X75" s="121" t="s">
        <v>56</v>
      </c>
      <c r="Y75" s="140">
        <v>44937</v>
      </c>
      <c r="Z75" s="21">
        <v>1.25</v>
      </c>
      <c r="AA75" s="23">
        <v>1</v>
      </c>
      <c r="AB75" s="9" t="s">
        <v>155</v>
      </c>
      <c r="AC75" s="9" t="s">
        <v>184</v>
      </c>
      <c r="AD75" s="9" t="s">
        <v>164</v>
      </c>
      <c r="AE75" s="9" t="s">
        <v>210</v>
      </c>
      <c r="AF75" s="9">
        <v>2</v>
      </c>
      <c r="AG75" s="138" t="s">
        <v>579</v>
      </c>
      <c r="AH75" s="138" t="s">
        <v>1697</v>
      </c>
      <c r="AI75" s="9" t="s">
        <v>20</v>
      </c>
    </row>
    <row r="76" spans="1:35">
      <c r="A76" s="138" t="s">
        <v>580</v>
      </c>
      <c r="B76" s="139">
        <v>44729</v>
      </c>
      <c r="C76" s="138" t="s">
        <v>487</v>
      </c>
      <c r="D76" s="138"/>
      <c r="E76" s="9">
        <v>3</v>
      </c>
      <c r="F76" s="138"/>
      <c r="G76" s="9" t="s">
        <v>12</v>
      </c>
      <c r="H76" s="9" t="s">
        <v>230</v>
      </c>
      <c r="J76" s="9" t="s">
        <v>254</v>
      </c>
      <c r="L76" s="9" t="s">
        <v>493</v>
      </c>
      <c r="M76" s="9" t="s">
        <v>493</v>
      </c>
      <c r="N76" s="9" t="s">
        <v>493</v>
      </c>
      <c r="O76" s="9" t="s">
        <v>493</v>
      </c>
      <c r="P76" s="21">
        <v>9.7004000000000001</v>
      </c>
      <c r="Q76" s="116">
        <f t="shared" si="2"/>
        <v>44729</v>
      </c>
      <c r="R76" s="140">
        <v>44860</v>
      </c>
      <c r="S76" s="141">
        <f t="shared" si="3"/>
        <v>131</v>
      </c>
      <c r="T76" s="21">
        <v>0</v>
      </c>
      <c r="V76" s="9" t="s">
        <v>34</v>
      </c>
      <c r="W76" s="9">
        <v>6</v>
      </c>
      <c r="X76" s="121" t="s">
        <v>78</v>
      </c>
      <c r="Y76" s="140">
        <v>44937</v>
      </c>
      <c r="Z76" s="21">
        <v>0.95</v>
      </c>
      <c r="AA76" s="23">
        <v>1</v>
      </c>
      <c r="AB76" s="32" t="s">
        <v>158</v>
      </c>
      <c r="AC76" s="32" t="s">
        <v>187</v>
      </c>
      <c r="AD76" s="9" t="s">
        <v>164</v>
      </c>
      <c r="AE76" s="9" t="s">
        <v>210</v>
      </c>
      <c r="AF76" s="9">
        <v>38</v>
      </c>
      <c r="AG76" s="138" t="s">
        <v>580</v>
      </c>
      <c r="AH76" s="138" t="s">
        <v>1697</v>
      </c>
    </row>
    <row r="77" spans="1:35">
      <c r="A77" s="138" t="s">
        <v>581</v>
      </c>
      <c r="B77" s="139">
        <v>44729</v>
      </c>
      <c r="C77" s="138" t="s">
        <v>487</v>
      </c>
      <c r="D77" s="138"/>
      <c r="E77" s="9">
        <v>4</v>
      </c>
      <c r="F77" s="138"/>
      <c r="G77" s="9" t="s">
        <v>14</v>
      </c>
      <c r="H77" s="9" t="s">
        <v>230</v>
      </c>
      <c r="J77" s="9" t="s">
        <v>40</v>
      </c>
      <c r="L77" s="9" t="s">
        <v>493</v>
      </c>
      <c r="M77" s="9" t="s">
        <v>493</v>
      </c>
      <c r="N77" s="9" t="s">
        <v>493</v>
      </c>
      <c r="O77" s="9" t="s">
        <v>493</v>
      </c>
      <c r="P77" s="21">
        <v>9.4701000000000004</v>
      </c>
      <c r="Q77" s="116">
        <f t="shared" si="2"/>
        <v>44729</v>
      </c>
      <c r="R77" s="140">
        <v>44861</v>
      </c>
      <c r="S77" s="141">
        <f t="shared" si="3"/>
        <v>132</v>
      </c>
      <c r="T77" s="21"/>
      <c r="U77" s="108">
        <v>0</v>
      </c>
      <c r="V77" s="9" t="s">
        <v>34</v>
      </c>
      <c r="W77" s="9">
        <v>6</v>
      </c>
      <c r="X77" s="121" t="s">
        <v>144</v>
      </c>
      <c r="Y77" s="140">
        <v>44937</v>
      </c>
      <c r="Z77" s="21">
        <v>0.18</v>
      </c>
      <c r="AA77" s="23">
        <v>1</v>
      </c>
      <c r="AB77" s="32" t="s">
        <v>161</v>
      </c>
      <c r="AC77" s="32" t="s">
        <v>190</v>
      </c>
      <c r="AD77" s="9" t="s">
        <v>164</v>
      </c>
      <c r="AE77" s="9" t="s">
        <v>210</v>
      </c>
      <c r="AF77" s="9">
        <v>74</v>
      </c>
      <c r="AG77" s="138" t="s">
        <v>581</v>
      </c>
      <c r="AH77" s="138" t="s">
        <v>1697</v>
      </c>
      <c r="AI77" s="9" t="s">
        <v>20</v>
      </c>
    </row>
    <row r="78" spans="1:35">
      <c r="A78" s="138" t="s">
        <v>582</v>
      </c>
      <c r="B78" s="139">
        <v>44729</v>
      </c>
      <c r="C78" s="138" t="s">
        <v>487</v>
      </c>
      <c r="D78" s="138"/>
      <c r="E78" s="9">
        <v>5</v>
      </c>
      <c r="F78" s="138"/>
      <c r="G78" s="9" t="s">
        <v>15</v>
      </c>
      <c r="H78" s="9" t="s">
        <v>230</v>
      </c>
      <c r="J78" s="9" t="s">
        <v>253</v>
      </c>
      <c r="L78" s="9" t="s">
        <v>493</v>
      </c>
      <c r="M78" s="9" t="s">
        <v>493</v>
      </c>
      <c r="N78" s="9" t="s">
        <v>493</v>
      </c>
      <c r="O78" s="9" t="s">
        <v>493</v>
      </c>
      <c r="P78" s="21">
        <v>11.6937</v>
      </c>
      <c r="Q78" s="116">
        <f t="shared" si="2"/>
        <v>44729</v>
      </c>
      <c r="R78" s="140">
        <v>44861</v>
      </c>
      <c r="S78" s="141">
        <f t="shared" si="3"/>
        <v>132</v>
      </c>
      <c r="T78" s="21"/>
      <c r="U78" s="108">
        <v>0</v>
      </c>
      <c r="V78" s="9" t="s">
        <v>34</v>
      </c>
      <c r="W78" s="9">
        <v>6</v>
      </c>
      <c r="X78" s="121" t="s">
        <v>84</v>
      </c>
      <c r="Y78" s="140">
        <v>44937</v>
      </c>
      <c r="Z78" s="21">
        <v>2.8</v>
      </c>
      <c r="AA78" s="23">
        <v>1</v>
      </c>
      <c r="AB78" s="9" t="s">
        <v>156</v>
      </c>
      <c r="AC78" s="9" t="s">
        <v>185</v>
      </c>
      <c r="AD78" s="9" t="s">
        <v>165</v>
      </c>
      <c r="AE78" s="9" t="s">
        <v>211</v>
      </c>
      <c r="AF78" s="9">
        <v>15</v>
      </c>
      <c r="AG78" s="138" t="s">
        <v>582</v>
      </c>
      <c r="AH78" s="138" t="s">
        <v>1697</v>
      </c>
      <c r="AI78" s="9" t="s">
        <v>20</v>
      </c>
    </row>
    <row r="79" spans="1:35">
      <c r="A79" s="138" t="s">
        <v>583</v>
      </c>
      <c r="B79" s="139">
        <v>44729</v>
      </c>
      <c r="C79" s="138" t="s">
        <v>487</v>
      </c>
      <c r="D79" s="138"/>
      <c r="E79" s="9">
        <v>6</v>
      </c>
      <c r="F79" s="138"/>
      <c r="G79" s="9" t="s">
        <v>16</v>
      </c>
      <c r="H79" s="9" t="s">
        <v>3</v>
      </c>
      <c r="J79" s="9" t="s">
        <v>254</v>
      </c>
      <c r="L79" s="9" t="s">
        <v>493</v>
      </c>
      <c r="M79" s="9" t="s">
        <v>493</v>
      </c>
      <c r="N79" s="9" t="s">
        <v>493</v>
      </c>
      <c r="O79" s="9" t="s">
        <v>493</v>
      </c>
      <c r="P79" s="21">
        <v>10.8811</v>
      </c>
      <c r="Q79" s="116">
        <f t="shared" si="2"/>
        <v>44729</v>
      </c>
      <c r="R79" s="140">
        <v>44865</v>
      </c>
      <c r="S79" s="141">
        <f t="shared" si="3"/>
        <v>136</v>
      </c>
      <c r="T79" s="21">
        <v>0.18</v>
      </c>
      <c r="U79" s="108">
        <v>0.432</v>
      </c>
      <c r="V79" s="9" t="s">
        <v>33</v>
      </c>
      <c r="W79" s="9">
        <v>3</v>
      </c>
      <c r="X79" s="121" t="s">
        <v>79</v>
      </c>
      <c r="Y79" s="140">
        <v>44938</v>
      </c>
      <c r="Z79" s="21">
        <v>7.68</v>
      </c>
      <c r="AA79" s="23">
        <v>1</v>
      </c>
      <c r="AB79" s="9" t="s">
        <v>155</v>
      </c>
      <c r="AC79" s="9" t="s">
        <v>184</v>
      </c>
      <c r="AD79" s="9" t="s">
        <v>167</v>
      </c>
      <c r="AE79" s="9" t="s">
        <v>215</v>
      </c>
      <c r="AF79" s="9">
        <v>12</v>
      </c>
      <c r="AG79" s="138" t="s">
        <v>583</v>
      </c>
      <c r="AH79" s="138" t="s">
        <v>1697</v>
      </c>
      <c r="AI79" s="9" t="s">
        <v>18</v>
      </c>
    </row>
    <row r="80" spans="1:35">
      <c r="A80" s="138" t="s">
        <v>584</v>
      </c>
      <c r="B80" s="139">
        <v>44729</v>
      </c>
      <c r="C80" s="138" t="s">
        <v>487</v>
      </c>
      <c r="D80" s="138"/>
      <c r="E80" s="9">
        <v>7</v>
      </c>
      <c r="F80" s="138"/>
      <c r="G80" s="9" t="s">
        <v>14</v>
      </c>
      <c r="H80" s="9" t="s">
        <v>230</v>
      </c>
      <c r="J80" s="9" t="s">
        <v>40</v>
      </c>
      <c r="L80" s="9" t="s">
        <v>493</v>
      </c>
      <c r="M80" s="9" t="s">
        <v>493</v>
      </c>
      <c r="N80" s="9" t="s">
        <v>493</v>
      </c>
      <c r="O80" s="9" t="s">
        <v>493</v>
      </c>
      <c r="P80" s="21">
        <v>10.3337</v>
      </c>
      <c r="Q80" s="116">
        <f t="shared" si="2"/>
        <v>44729</v>
      </c>
      <c r="R80" s="140">
        <v>44861</v>
      </c>
      <c r="S80" s="141">
        <f t="shared" si="3"/>
        <v>132</v>
      </c>
      <c r="T80" s="21"/>
      <c r="U80" s="108">
        <v>0</v>
      </c>
      <c r="V80" s="9" t="s">
        <v>34</v>
      </c>
      <c r="W80" s="9">
        <v>6</v>
      </c>
      <c r="X80" s="121" t="s">
        <v>81</v>
      </c>
      <c r="Y80" s="140">
        <v>44937</v>
      </c>
      <c r="Z80" s="21">
        <v>0.62</v>
      </c>
      <c r="AA80" s="23">
        <v>1</v>
      </c>
      <c r="AB80" s="32" t="s">
        <v>158</v>
      </c>
      <c r="AC80" s="32" t="s">
        <v>187</v>
      </c>
      <c r="AD80" s="9" t="s">
        <v>165</v>
      </c>
      <c r="AE80" s="9" t="s">
        <v>211</v>
      </c>
      <c r="AF80" s="9">
        <v>39</v>
      </c>
      <c r="AG80" s="138" t="s">
        <v>584</v>
      </c>
      <c r="AH80" s="138" t="s">
        <v>1697</v>
      </c>
      <c r="AI80" s="9" t="s">
        <v>20</v>
      </c>
    </row>
    <row r="81" spans="1:35">
      <c r="A81" s="138" t="s">
        <v>585</v>
      </c>
      <c r="B81" s="139">
        <v>44729</v>
      </c>
      <c r="C81" s="138" t="s">
        <v>487</v>
      </c>
      <c r="D81" s="138"/>
      <c r="E81" s="9">
        <v>8</v>
      </c>
      <c r="F81" s="138"/>
      <c r="G81" s="9" t="s">
        <v>15</v>
      </c>
      <c r="H81" s="9" t="s">
        <v>230</v>
      </c>
      <c r="J81" s="9" t="s">
        <v>253</v>
      </c>
      <c r="L81" s="9" t="s">
        <v>493</v>
      </c>
      <c r="M81" s="9" t="s">
        <v>493</v>
      </c>
      <c r="N81" s="9" t="s">
        <v>493</v>
      </c>
      <c r="O81" s="9" t="s">
        <v>493</v>
      </c>
      <c r="P81" s="21">
        <v>11.077400000000001</v>
      </c>
      <c r="Q81" s="116">
        <f t="shared" si="2"/>
        <v>44729</v>
      </c>
      <c r="R81" s="140">
        <v>44865</v>
      </c>
      <c r="S81" s="141">
        <f t="shared" si="3"/>
        <v>136</v>
      </c>
      <c r="T81" s="21">
        <v>0.58399999999999996</v>
      </c>
      <c r="V81" s="9" t="s">
        <v>32</v>
      </c>
      <c r="W81" s="9">
        <v>1</v>
      </c>
      <c r="X81" s="121" t="s">
        <v>109</v>
      </c>
      <c r="Y81" s="140">
        <v>44907</v>
      </c>
      <c r="Z81" s="21">
        <v>0.74655336859446808</v>
      </c>
      <c r="AA81" s="23">
        <v>3</v>
      </c>
      <c r="AB81" s="32" t="s">
        <v>202</v>
      </c>
      <c r="AC81" s="32" t="s">
        <v>203</v>
      </c>
      <c r="AD81" s="9" t="s">
        <v>168</v>
      </c>
      <c r="AE81" s="9" t="s">
        <v>216</v>
      </c>
      <c r="AF81" s="9">
        <v>162</v>
      </c>
      <c r="AG81" s="138" t="s">
        <v>585</v>
      </c>
      <c r="AH81" s="138" t="s">
        <v>1697</v>
      </c>
    </row>
    <row r="82" spans="1:35">
      <c r="A82" s="138" t="s">
        <v>586</v>
      </c>
      <c r="B82" s="139">
        <v>44729</v>
      </c>
      <c r="C82" s="138" t="s">
        <v>487</v>
      </c>
      <c r="D82" s="138"/>
      <c r="E82" s="9">
        <v>9</v>
      </c>
      <c r="F82" s="138"/>
      <c r="G82" s="9" t="s">
        <v>12</v>
      </c>
      <c r="H82" s="9" t="s">
        <v>230</v>
      </c>
      <c r="J82" s="9" t="s">
        <v>254</v>
      </c>
      <c r="L82" s="9" t="s">
        <v>493</v>
      </c>
      <c r="M82" s="9" t="s">
        <v>493</v>
      </c>
      <c r="N82" s="9" t="s">
        <v>493</v>
      </c>
      <c r="O82" s="9" t="s">
        <v>493</v>
      </c>
      <c r="P82" s="21">
        <v>8.3526000000000007</v>
      </c>
      <c r="Q82" s="116">
        <f t="shared" si="2"/>
        <v>44729</v>
      </c>
      <c r="R82" s="140">
        <v>44886</v>
      </c>
      <c r="S82" s="141">
        <f t="shared" si="3"/>
        <v>157</v>
      </c>
      <c r="T82" s="21"/>
      <c r="U82" s="108">
        <v>5.2999999999999999E-2</v>
      </c>
      <c r="V82" s="9" t="s">
        <v>34</v>
      </c>
      <c r="W82" s="9">
        <v>5</v>
      </c>
      <c r="X82" s="121" t="s">
        <v>54</v>
      </c>
      <c r="Y82" s="140">
        <v>44902</v>
      </c>
      <c r="Z82" s="21">
        <v>1.62</v>
      </c>
      <c r="AA82" s="23">
        <v>4</v>
      </c>
      <c r="AB82" s="32" t="s">
        <v>204</v>
      </c>
      <c r="AC82" s="32" t="s">
        <v>205</v>
      </c>
      <c r="AD82" s="9" t="s">
        <v>173</v>
      </c>
      <c r="AE82" s="9" t="s">
        <v>221</v>
      </c>
      <c r="AF82" s="9">
        <v>361</v>
      </c>
      <c r="AG82" s="138" t="s">
        <v>586</v>
      </c>
      <c r="AH82" s="138" t="s">
        <v>1697</v>
      </c>
      <c r="AI82" s="9" t="s">
        <v>18</v>
      </c>
    </row>
    <row r="83" spans="1:35">
      <c r="A83" s="138" t="s">
        <v>587</v>
      </c>
      <c r="B83" s="139">
        <v>44729</v>
      </c>
      <c r="C83" s="138" t="s">
        <v>487</v>
      </c>
      <c r="D83" s="138"/>
      <c r="E83" s="9">
        <v>10</v>
      </c>
      <c r="F83" s="138"/>
      <c r="G83" s="9" t="s">
        <v>11</v>
      </c>
      <c r="H83" s="9" t="s">
        <v>3</v>
      </c>
      <c r="J83" s="9" t="s">
        <v>40</v>
      </c>
      <c r="L83" s="9" t="s">
        <v>493</v>
      </c>
      <c r="M83" s="9" t="s">
        <v>493</v>
      </c>
      <c r="N83" s="9" t="s">
        <v>493</v>
      </c>
      <c r="O83" s="9" t="s">
        <v>493</v>
      </c>
      <c r="P83" s="21">
        <v>10.499700000000001</v>
      </c>
      <c r="Q83" s="116">
        <f t="shared" si="2"/>
        <v>44729</v>
      </c>
      <c r="R83" s="140">
        <v>44861</v>
      </c>
      <c r="S83" s="141">
        <f t="shared" si="3"/>
        <v>132</v>
      </c>
      <c r="T83" s="21"/>
      <c r="U83" s="108">
        <v>0.187</v>
      </c>
      <c r="V83" s="9" t="s">
        <v>34</v>
      </c>
      <c r="W83" s="9">
        <v>7</v>
      </c>
      <c r="X83" s="121" t="s">
        <v>46</v>
      </c>
      <c r="Y83" s="140">
        <v>44944</v>
      </c>
      <c r="Z83" s="21">
        <v>0.56999999999999995</v>
      </c>
      <c r="AA83" s="23">
        <v>4</v>
      </c>
      <c r="AB83" s="32" t="s">
        <v>196</v>
      </c>
      <c r="AC83" s="32" t="s">
        <v>197</v>
      </c>
      <c r="AD83" s="9" t="s">
        <v>180</v>
      </c>
      <c r="AE83" s="9" t="s">
        <v>228</v>
      </c>
      <c r="AF83" s="9">
        <v>321</v>
      </c>
      <c r="AG83" s="138" t="s">
        <v>587</v>
      </c>
      <c r="AH83" s="138" t="s">
        <v>1697</v>
      </c>
      <c r="AI83" s="9" t="s">
        <v>18</v>
      </c>
    </row>
    <row r="84" spans="1:35">
      <c r="A84" s="138" t="s">
        <v>588</v>
      </c>
      <c r="B84" s="139">
        <v>44729</v>
      </c>
      <c r="C84" s="138" t="s">
        <v>487</v>
      </c>
      <c r="D84" s="138"/>
      <c r="E84" s="9">
        <v>11</v>
      </c>
      <c r="F84" s="138"/>
      <c r="G84" s="9" t="s">
        <v>9</v>
      </c>
      <c r="H84" s="9" t="s">
        <v>3</v>
      </c>
      <c r="J84" s="9" t="s">
        <v>253</v>
      </c>
      <c r="L84" s="9" t="s">
        <v>493</v>
      </c>
      <c r="M84" s="9" t="s">
        <v>493</v>
      </c>
      <c r="N84" s="9" t="s">
        <v>493</v>
      </c>
      <c r="O84" s="9" t="s">
        <v>493</v>
      </c>
      <c r="P84" s="21">
        <v>8.9612999999999996</v>
      </c>
      <c r="Q84" s="116">
        <f t="shared" si="2"/>
        <v>44729</v>
      </c>
      <c r="R84" s="140">
        <v>44886</v>
      </c>
      <c r="S84" s="141">
        <f t="shared" si="3"/>
        <v>157</v>
      </c>
      <c r="T84" s="21"/>
      <c r="U84" s="108">
        <v>8.4000000000000005E-2</v>
      </c>
      <c r="V84" s="9" t="s">
        <v>34</v>
      </c>
      <c r="W84" s="9">
        <v>5</v>
      </c>
      <c r="X84" s="121" t="s">
        <v>80</v>
      </c>
      <c r="Y84" s="140">
        <v>44902</v>
      </c>
      <c r="Z84" s="21">
        <v>0.55000000000000004</v>
      </c>
      <c r="AA84" s="23">
        <v>4</v>
      </c>
      <c r="AB84" s="32" t="s">
        <v>196</v>
      </c>
      <c r="AC84" s="32" t="s">
        <v>197</v>
      </c>
      <c r="AD84" s="9" t="s">
        <v>174</v>
      </c>
      <c r="AE84" s="9" t="s">
        <v>222</v>
      </c>
      <c r="AF84" s="9">
        <v>314</v>
      </c>
      <c r="AG84" s="138" t="s">
        <v>588</v>
      </c>
      <c r="AH84" s="138" t="s">
        <v>1697</v>
      </c>
      <c r="AI84" s="9" t="s">
        <v>18</v>
      </c>
    </row>
    <row r="85" spans="1:35">
      <c r="A85" s="138" t="s">
        <v>589</v>
      </c>
      <c r="B85" s="139">
        <v>44729</v>
      </c>
      <c r="C85" s="138" t="s">
        <v>487</v>
      </c>
      <c r="D85" s="138"/>
      <c r="E85" s="9">
        <v>12</v>
      </c>
      <c r="F85" s="138"/>
      <c r="G85" s="9" t="s">
        <v>16</v>
      </c>
      <c r="H85" s="9" t="s">
        <v>3</v>
      </c>
      <c r="J85" s="9" t="s">
        <v>254</v>
      </c>
      <c r="L85" s="9" t="s">
        <v>493</v>
      </c>
      <c r="M85" s="9" t="s">
        <v>493</v>
      </c>
      <c r="N85" s="9" t="s">
        <v>493</v>
      </c>
      <c r="O85" s="9" t="s">
        <v>493</v>
      </c>
      <c r="P85" s="21">
        <v>11.6229</v>
      </c>
      <c r="Q85" s="116">
        <f t="shared" si="2"/>
        <v>44729</v>
      </c>
      <c r="R85" s="140">
        <v>44861</v>
      </c>
      <c r="S85" s="141">
        <f t="shared" si="3"/>
        <v>132</v>
      </c>
      <c r="T85" s="21">
        <v>7.2999999999999995E-2</v>
      </c>
      <c r="U85" s="108">
        <v>0.79600000000000004</v>
      </c>
      <c r="V85" s="9" t="s">
        <v>33</v>
      </c>
      <c r="W85" s="9">
        <v>4</v>
      </c>
      <c r="X85" s="121" t="s">
        <v>56</v>
      </c>
      <c r="Y85" s="140">
        <v>45308</v>
      </c>
      <c r="Z85" s="21">
        <v>14.9</v>
      </c>
      <c r="AA85" s="23">
        <v>4</v>
      </c>
      <c r="AB85" s="32" t="s">
        <v>194</v>
      </c>
      <c r="AC85" s="32" t="s">
        <v>195</v>
      </c>
      <c r="AD85" s="9" t="s">
        <v>178</v>
      </c>
      <c r="AE85" s="9" t="s">
        <v>226</v>
      </c>
      <c r="AF85" s="9">
        <v>307</v>
      </c>
      <c r="AG85" s="138" t="s">
        <v>589</v>
      </c>
      <c r="AH85" s="138" t="s">
        <v>1697</v>
      </c>
      <c r="AI85" s="9" t="s">
        <v>18</v>
      </c>
    </row>
    <row r="86" spans="1:35">
      <c r="A86" s="138" t="s">
        <v>590</v>
      </c>
      <c r="B86" s="139">
        <v>44729</v>
      </c>
      <c r="C86" s="138" t="s">
        <v>487</v>
      </c>
      <c r="D86" s="138"/>
      <c r="E86" s="9">
        <v>13</v>
      </c>
      <c r="F86" s="138"/>
      <c r="G86" s="9" t="s">
        <v>11</v>
      </c>
      <c r="H86" s="9" t="s">
        <v>3</v>
      </c>
      <c r="J86" s="9" t="s">
        <v>40</v>
      </c>
      <c r="L86" s="9" t="s">
        <v>493</v>
      </c>
      <c r="M86" s="9" t="s">
        <v>493</v>
      </c>
      <c r="N86" s="9" t="s">
        <v>493</v>
      </c>
      <c r="O86" s="9" t="s">
        <v>493</v>
      </c>
      <c r="P86" s="21">
        <v>10.9062</v>
      </c>
      <c r="Q86" s="116">
        <f t="shared" si="2"/>
        <v>44729</v>
      </c>
      <c r="R86" s="140">
        <v>44890</v>
      </c>
      <c r="S86" s="141">
        <f t="shared" si="3"/>
        <v>161</v>
      </c>
      <c r="T86" s="21">
        <v>0.57999999999999996</v>
      </c>
      <c r="V86" s="9" t="s">
        <v>32</v>
      </c>
      <c r="W86" s="9">
        <v>1</v>
      </c>
      <c r="X86" s="121" t="s">
        <v>67</v>
      </c>
      <c r="Y86" s="140">
        <v>44907</v>
      </c>
      <c r="Z86" s="21">
        <v>0.52</v>
      </c>
      <c r="AA86" s="23">
        <v>3</v>
      </c>
      <c r="AB86" s="32" t="s">
        <v>42</v>
      </c>
      <c r="AC86" s="32" t="s">
        <v>193</v>
      </c>
      <c r="AD86" s="9" t="s">
        <v>69</v>
      </c>
      <c r="AE86" s="9" t="s">
        <v>214</v>
      </c>
      <c r="AF86" s="9">
        <v>107</v>
      </c>
      <c r="AG86" s="138" t="s">
        <v>590</v>
      </c>
      <c r="AH86" s="138" t="s">
        <v>1697</v>
      </c>
    </row>
    <row r="87" spans="1:35">
      <c r="A87" s="138" t="s">
        <v>591</v>
      </c>
      <c r="B87" s="139">
        <v>44729</v>
      </c>
      <c r="C87" s="138" t="s">
        <v>487</v>
      </c>
      <c r="D87" s="138"/>
      <c r="E87" s="9">
        <v>14</v>
      </c>
      <c r="F87" s="138"/>
      <c r="G87" s="9" t="s">
        <v>16</v>
      </c>
      <c r="H87" s="9" t="s">
        <v>3</v>
      </c>
      <c r="J87" s="9" t="s">
        <v>254</v>
      </c>
      <c r="L87" s="9" t="s">
        <v>493</v>
      </c>
      <c r="M87" s="9" t="s">
        <v>493</v>
      </c>
      <c r="N87" s="9" t="s">
        <v>493</v>
      </c>
      <c r="O87" s="9" t="s">
        <v>493</v>
      </c>
      <c r="P87" s="21">
        <v>12.973699999999999</v>
      </c>
      <c r="Q87" s="116">
        <f t="shared" si="2"/>
        <v>44729</v>
      </c>
      <c r="R87" s="140">
        <v>44890</v>
      </c>
      <c r="S87" s="141">
        <f t="shared" si="3"/>
        <v>161</v>
      </c>
      <c r="T87" s="21"/>
      <c r="U87" s="108">
        <v>0.44</v>
      </c>
      <c r="V87" s="9" t="s">
        <v>32</v>
      </c>
      <c r="W87" s="9">
        <v>1</v>
      </c>
      <c r="X87" s="121" t="s">
        <v>76</v>
      </c>
      <c r="Y87" s="140">
        <v>44907</v>
      </c>
      <c r="Z87" s="21">
        <v>0.87</v>
      </c>
      <c r="AA87" s="23">
        <v>3</v>
      </c>
      <c r="AB87" s="32" t="s">
        <v>206</v>
      </c>
      <c r="AC87" s="32" t="s">
        <v>207</v>
      </c>
      <c r="AD87" s="9" t="s">
        <v>69</v>
      </c>
      <c r="AE87" s="9" t="s">
        <v>214</v>
      </c>
      <c r="AF87" s="9">
        <v>191</v>
      </c>
      <c r="AG87" s="138" t="s">
        <v>591</v>
      </c>
      <c r="AH87" s="138" t="s">
        <v>1697</v>
      </c>
      <c r="AI87" s="9" t="s">
        <v>18</v>
      </c>
    </row>
    <row r="88" spans="1:35">
      <c r="A88" s="138" t="s">
        <v>592</v>
      </c>
      <c r="B88" s="139">
        <v>44729</v>
      </c>
      <c r="C88" s="138" t="s">
        <v>487</v>
      </c>
      <c r="D88" s="138"/>
      <c r="E88" s="9">
        <v>15</v>
      </c>
      <c r="F88" s="138"/>
      <c r="G88" s="9" t="s">
        <v>9</v>
      </c>
      <c r="H88" s="9" t="s">
        <v>3</v>
      </c>
      <c r="J88" s="9" t="s">
        <v>253</v>
      </c>
      <c r="L88" s="9" t="s">
        <v>493</v>
      </c>
      <c r="M88" s="9" t="s">
        <v>493</v>
      </c>
      <c r="N88" s="9" t="s">
        <v>493</v>
      </c>
      <c r="O88" s="9" t="s">
        <v>493</v>
      </c>
      <c r="P88" s="21">
        <v>11.5581</v>
      </c>
      <c r="Q88" s="116">
        <f t="shared" si="2"/>
        <v>44729</v>
      </c>
      <c r="R88" s="140">
        <v>44890</v>
      </c>
      <c r="S88" s="141">
        <f t="shared" si="3"/>
        <v>161</v>
      </c>
      <c r="T88" s="21"/>
      <c r="U88" s="108">
        <v>0.17499999999999999</v>
      </c>
      <c r="V88" s="9" t="s">
        <v>34</v>
      </c>
      <c r="W88" s="9">
        <v>7</v>
      </c>
      <c r="X88" s="121" t="s">
        <v>50</v>
      </c>
      <c r="Y88" s="140">
        <v>44944</v>
      </c>
      <c r="Z88" s="21">
        <v>1.73</v>
      </c>
      <c r="AA88" s="23">
        <v>4</v>
      </c>
      <c r="AB88" s="32" t="s">
        <v>200</v>
      </c>
      <c r="AC88" s="32" t="s">
        <v>201</v>
      </c>
      <c r="AD88" s="9" t="s">
        <v>180</v>
      </c>
      <c r="AE88" s="9" t="s">
        <v>228</v>
      </c>
      <c r="AF88" s="9">
        <v>345</v>
      </c>
      <c r="AG88" s="138" t="s">
        <v>592</v>
      </c>
      <c r="AH88" s="138" t="s">
        <v>1697</v>
      </c>
      <c r="AI88" s="9" t="s">
        <v>18</v>
      </c>
    </row>
    <row r="89" spans="1:35">
      <c r="A89" s="138" t="s">
        <v>593</v>
      </c>
      <c r="B89" s="139">
        <v>44729</v>
      </c>
      <c r="C89" s="138" t="s">
        <v>487</v>
      </c>
      <c r="D89" s="138"/>
      <c r="E89" s="9">
        <v>16</v>
      </c>
      <c r="F89" s="138"/>
      <c r="G89" s="9" t="s">
        <v>15</v>
      </c>
      <c r="H89" s="9" t="s">
        <v>230</v>
      </c>
      <c r="J89" s="9" t="s">
        <v>253</v>
      </c>
      <c r="L89" s="9" t="s">
        <v>493</v>
      </c>
      <c r="M89" s="9" t="s">
        <v>493</v>
      </c>
      <c r="N89" s="9" t="s">
        <v>493</v>
      </c>
      <c r="O89" s="9" t="s">
        <v>493</v>
      </c>
      <c r="P89" s="21">
        <v>10.6829</v>
      </c>
      <c r="Q89" s="116">
        <f t="shared" si="2"/>
        <v>44729</v>
      </c>
      <c r="R89" s="140">
        <v>44890</v>
      </c>
      <c r="S89" s="141">
        <f t="shared" si="3"/>
        <v>161</v>
      </c>
      <c r="T89" s="21"/>
      <c r="U89" s="108">
        <v>9.0999999999999998E-2</v>
      </c>
      <c r="V89" s="9" t="s">
        <v>34</v>
      </c>
      <c r="W89" s="9">
        <v>6</v>
      </c>
      <c r="X89" s="121" t="s">
        <v>147</v>
      </c>
      <c r="Y89" s="140">
        <v>44937</v>
      </c>
      <c r="Z89" s="21">
        <v>7.93</v>
      </c>
      <c r="AA89" s="23">
        <v>1</v>
      </c>
      <c r="AB89" s="9" t="s">
        <v>157</v>
      </c>
      <c r="AC89" s="9" t="s">
        <v>186</v>
      </c>
      <c r="AD89" s="9" t="s">
        <v>166</v>
      </c>
      <c r="AE89" s="9" t="s">
        <v>212</v>
      </c>
      <c r="AF89" s="9">
        <v>28</v>
      </c>
      <c r="AG89" s="138" t="s">
        <v>593</v>
      </c>
      <c r="AH89" s="138" t="s">
        <v>1697</v>
      </c>
      <c r="AI89" s="9" t="s">
        <v>18</v>
      </c>
    </row>
    <row r="90" spans="1:35">
      <c r="A90" s="138" t="s">
        <v>594</v>
      </c>
      <c r="B90" s="139">
        <v>44729</v>
      </c>
      <c r="C90" s="138" t="s">
        <v>487</v>
      </c>
      <c r="D90" s="138"/>
      <c r="E90" s="9">
        <v>17</v>
      </c>
      <c r="F90" s="138"/>
      <c r="G90" s="9" t="s">
        <v>14</v>
      </c>
      <c r="H90" s="9" t="s">
        <v>230</v>
      </c>
      <c r="J90" s="9" t="s">
        <v>40</v>
      </c>
      <c r="L90" s="9" t="s">
        <v>493</v>
      </c>
      <c r="M90" s="9" t="s">
        <v>493</v>
      </c>
      <c r="N90" s="9" t="s">
        <v>493</v>
      </c>
      <c r="O90" s="9" t="s">
        <v>493</v>
      </c>
      <c r="P90" s="21">
        <v>11.735799999999999</v>
      </c>
      <c r="Q90" s="116">
        <f t="shared" si="2"/>
        <v>44729</v>
      </c>
      <c r="R90" s="140">
        <v>44893</v>
      </c>
      <c r="S90" s="141">
        <f t="shared" si="3"/>
        <v>164</v>
      </c>
      <c r="T90" s="21"/>
      <c r="U90" s="108">
        <v>0.59799999999999998</v>
      </c>
      <c r="V90" s="9" t="s">
        <v>32</v>
      </c>
      <c r="W90" s="9">
        <v>2</v>
      </c>
      <c r="X90" s="121" t="s">
        <v>85</v>
      </c>
      <c r="Y90" s="140">
        <v>44908</v>
      </c>
      <c r="Z90" s="21">
        <v>1.6014203596603793</v>
      </c>
      <c r="AA90" s="23">
        <v>2</v>
      </c>
      <c r="AB90" s="32" t="s">
        <v>162</v>
      </c>
      <c r="AC90" s="32" t="s">
        <v>192</v>
      </c>
      <c r="AD90" s="9" t="s">
        <v>174</v>
      </c>
      <c r="AE90" s="9" t="s">
        <v>222</v>
      </c>
      <c r="AF90" s="9">
        <v>278</v>
      </c>
      <c r="AG90" s="138" t="s">
        <v>594</v>
      </c>
      <c r="AH90" s="138" t="s">
        <v>1697</v>
      </c>
      <c r="AI90" s="9" t="s">
        <v>18</v>
      </c>
    </row>
    <row r="91" spans="1:35">
      <c r="A91" s="138" t="s">
        <v>595</v>
      </c>
      <c r="B91" s="139">
        <v>44729</v>
      </c>
      <c r="C91" s="138" t="s">
        <v>487</v>
      </c>
      <c r="D91" s="138"/>
      <c r="E91" s="9">
        <v>18</v>
      </c>
      <c r="F91" s="138"/>
      <c r="G91" s="9" t="s">
        <v>12</v>
      </c>
      <c r="H91" s="9" t="s">
        <v>230</v>
      </c>
      <c r="J91" s="9" t="s">
        <v>254</v>
      </c>
      <c r="L91" s="9" t="s">
        <v>493</v>
      </c>
      <c r="M91" s="9" t="s">
        <v>493</v>
      </c>
      <c r="N91" s="9" t="s">
        <v>493</v>
      </c>
      <c r="O91" s="9" t="s">
        <v>493</v>
      </c>
      <c r="P91" s="21">
        <v>12.435700000000001</v>
      </c>
      <c r="Q91" s="116">
        <f t="shared" si="2"/>
        <v>44729</v>
      </c>
      <c r="R91" s="140">
        <v>44893</v>
      </c>
      <c r="S91" s="141">
        <f t="shared" si="3"/>
        <v>164</v>
      </c>
      <c r="T91" s="21"/>
      <c r="U91" s="108">
        <v>0.312</v>
      </c>
      <c r="V91" s="9" t="s">
        <v>33</v>
      </c>
      <c r="W91" s="9">
        <v>4</v>
      </c>
      <c r="X91" s="121" t="s">
        <v>80</v>
      </c>
      <c r="Y91" s="140">
        <v>45308</v>
      </c>
      <c r="Z91" s="21">
        <v>6.08</v>
      </c>
      <c r="AA91" s="23">
        <v>4</v>
      </c>
      <c r="AB91" s="32" t="s">
        <v>196</v>
      </c>
      <c r="AC91" s="32" t="s">
        <v>197</v>
      </c>
      <c r="AD91" s="9" t="s">
        <v>177</v>
      </c>
      <c r="AE91" s="9" t="s">
        <v>225</v>
      </c>
      <c r="AF91" s="9">
        <v>318</v>
      </c>
      <c r="AG91" s="138" t="s">
        <v>595</v>
      </c>
      <c r="AH91" s="138" t="s">
        <v>1697</v>
      </c>
      <c r="AI91" s="9" t="s">
        <v>18</v>
      </c>
    </row>
    <row r="92" spans="1:35">
      <c r="A92" s="138" t="s">
        <v>596</v>
      </c>
      <c r="B92" s="139">
        <v>44729</v>
      </c>
      <c r="C92" s="138" t="s">
        <v>487</v>
      </c>
      <c r="D92" s="138"/>
      <c r="E92" s="9">
        <v>19</v>
      </c>
      <c r="F92" s="138"/>
      <c r="G92" s="9" t="s">
        <v>9</v>
      </c>
      <c r="H92" s="9" t="s">
        <v>3</v>
      </c>
      <c r="J92" s="9" t="s">
        <v>253</v>
      </c>
      <c r="L92" s="9" t="s">
        <v>493</v>
      </c>
      <c r="M92" s="9" t="s">
        <v>493</v>
      </c>
      <c r="N92" s="9" t="s">
        <v>493</v>
      </c>
      <c r="O92" s="9" t="s">
        <v>493</v>
      </c>
      <c r="P92" s="21">
        <v>10.433400000000001</v>
      </c>
      <c r="Q92" s="116">
        <f t="shared" si="2"/>
        <v>44729</v>
      </c>
      <c r="R92" s="140">
        <v>44893</v>
      </c>
      <c r="S92" s="141">
        <f t="shared" si="3"/>
        <v>164</v>
      </c>
      <c r="T92" s="21"/>
      <c r="U92" s="108">
        <v>0</v>
      </c>
      <c r="V92" s="9" t="s">
        <v>34</v>
      </c>
      <c r="W92" s="9">
        <v>6</v>
      </c>
      <c r="X92" s="121" t="s">
        <v>102</v>
      </c>
      <c r="Y92" s="140">
        <v>44937</v>
      </c>
      <c r="Z92" s="21">
        <v>0.52</v>
      </c>
      <c r="AA92" s="23">
        <v>1</v>
      </c>
      <c r="AB92" s="32" t="s">
        <v>191</v>
      </c>
      <c r="AC92" s="32" t="s">
        <v>190</v>
      </c>
      <c r="AD92" s="9" t="s">
        <v>166</v>
      </c>
      <c r="AE92" s="9" t="s">
        <v>212</v>
      </c>
      <c r="AF92" s="9">
        <v>76</v>
      </c>
      <c r="AG92" s="138" t="s">
        <v>596</v>
      </c>
      <c r="AH92" s="138" t="s">
        <v>1697</v>
      </c>
      <c r="AI92" s="9" t="s">
        <v>20</v>
      </c>
    </row>
    <row r="93" spans="1:35">
      <c r="A93" s="138" t="s">
        <v>597</v>
      </c>
      <c r="B93" s="139">
        <v>44729</v>
      </c>
      <c r="C93" s="138" t="s">
        <v>487</v>
      </c>
      <c r="D93" s="138"/>
      <c r="E93" s="9">
        <v>20</v>
      </c>
      <c r="F93" s="138"/>
      <c r="G93" s="9" t="s">
        <v>11</v>
      </c>
      <c r="H93" s="9" t="s">
        <v>3</v>
      </c>
      <c r="J93" s="9" t="s">
        <v>40</v>
      </c>
      <c r="L93" s="9" t="s">
        <v>493</v>
      </c>
      <c r="M93" s="9" t="s">
        <v>493</v>
      </c>
      <c r="N93" s="9" t="s">
        <v>493</v>
      </c>
      <c r="O93" s="9" t="s">
        <v>493</v>
      </c>
      <c r="P93" s="21">
        <v>10.6897</v>
      </c>
      <c r="Q93" s="116">
        <f t="shared" si="2"/>
        <v>44729</v>
      </c>
      <c r="R93" s="140">
        <v>44894</v>
      </c>
      <c r="S93" s="141">
        <f t="shared" si="3"/>
        <v>165</v>
      </c>
      <c r="T93" s="21"/>
      <c r="U93" s="108">
        <v>0.14699999999999999</v>
      </c>
      <c r="V93" s="9" t="s">
        <v>34</v>
      </c>
      <c r="W93" s="9">
        <v>5</v>
      </c>
      <c r="X93" s="121" t="s">
        <v>89</v>
      </c>
      <c r="Y93" s="140">
        <v>44902</v>
      </c>
      <c r="Z93" s="21">
        <v>0.12</v>
      </c>
      <c r="AA93" s="23">
        <v>4</v>
      </c>
      <c r="AB93" s="32" t="s">
        <v>200</v>
      </c>
      <c r="AC93" s="32" t="s">
        <v>201</v>
      </c>
      <c r="AD93" s="9" t="s">
        <v>175</v>
      </c>
      <c r="AE93" s="9" t="s">
        <v>223</v>
      </c>
      <c r="AF93" s="9">
        <v>339</v>
      </c>
      <c r="AG93" s="138" t="s">
        <v>597</v>
      </c>
      <c r="AH93" s="138" t="s">
        <v>1697</v>
      </c>
      <c r="AI93" s="9" t="s">
        <v>18</v>
      </c>
    </row>
    <row r="94" spans="1:35">
      <c r="A94" s="138" t="s">
        <v>598</v>
      </c>
      <c r="B94" s="139">
        <v>44729</v>
      </c>
      <c r="C94" s="138" t="s">
        <v>487</v>
      </c>
      <c r="D94" s="138"/>
      <c r="E94" s="9">
        <v>21</v>
      </c>
      <c r="F94" s="138"/>
      <c r="G94" s="9" t="s">
        <v>14</v>
      </c>
      <c r="H94" s="9" t="s">
        <v>230</v>
      </c>
      <c r="J94" s="9" t="s">
        <v>40</v>
      </c>
      <c r="L94" s="9" t="s">
        <v>493</v>
      </c>
      <c r="M94" s="9" t="s">
        <v>493</v>
      </c>
      <c r="N94" s="9" t="s">
        <v>493</v>
      </c>
      <c r="O94" s="9" t="s">
        <v>493</v>
      </c>
      <c r="P94" s="21">
        <v>12.059900000000001</v>
      </c>
      <c r="Q94" s="116">
        <f t="shared" si="2"/>
        <v>44729</v>
      </c>
      <c r="R94" s="140">
        <v>44893</v>
      </c>
      <c r="S94" s="141">
        <f t="shared" si="3"/>
        <v>164</v>
      </c>
      <c r="T94" s="21">
        <v>1.28</v>
      </c>
      <c r="V94" s="9" t="s">
        <v>32</v>
      </c>
      <c r="W94" s="9">
        <v>2</v>
      </c>
      <c r="X94" s="121" t="s">
        <v>95</v>
      </c>
      <c r="Y94" s="140">
        <v>44908</v>
      </c>
      <c r="Z94" s="21">
        <v>1.0556014555170776</v>
      </c>
      <c r="AA94" s="23">
        <v>2</v>
      </c>
      <c r="AB94" s="32" t="s">
        <v>155</v>
      </c>
      <c r="AC94" s="32" t="s">
        <v>184</v>
      </c>
      <c r="AD94" s="9" t="s">
        <v>177</v>
      </c>
      <c r="AE94" s="9" t="s">
        <v>225</v>
      </c>
      <c r="AF94" s="9">
        <v>198</v>
      </c>
      <c r="AG94" s="138" t="s">
        <v>598</v>
      </c>
      <c r="AH94" s="138" t="s">
        <v>1697</v>
      </c>
    </row>
    <row r="95" spans="1:35">
      <c r="A95" s="138" t="s">
        <v>599</v>
      </c>
      <c r="B95" s="139">
        <v>44729</v>
      </c>
      <c r="C95" s="138" t="s">
        <v>487</v>
      </c>
      <c r="D95" s="138"/>
      <c r="E95" s="9">
        <v>22</v>
      </c>
      <c r="F95" s="138"/>
      <c r="G95" s="9" t="s">
        <v>12</v>
      </c>
      <c r="H95" s="9" t="s">
        <v>230</v>
      </c>
      <c r="J95" s="9" t="s">
        <v>254</v>
      </c>
      <c r="L95" s="9" t="s">
        <v>493</v>
      </c>
      <c r="M95" s="9" t="s">
        <v>493</v>
      </c>
      <c r="N95" s="9" t="s">
        <v>493</v>
      </c>
      <c r="O95" s="9" t="s">
        <v>493</v>
      </c>
      <c r="P95" s="21">
        <v>12.6167</v>
      </c>
      <c r="Q95" s="116">
        <f t="shared" si="2"/>
        <v>44729</v>
      </c>
      <c r="R95" s="140">
        <v>44894</v>
      </c>
      <c r="S95" s="141">
        <f t="shared" si="3"/>
        <v>165</v>
      </c>
      <c r="T95" s="21">
        <v>9.9000000000000005E-2</v>
      </c>
      <c r="U95" s="108">
        <v>0.60099999999999998</v>
      </c>
      <c r="V95" s="9" t="s">
        <v>32</v>
      </c>
      <c r="W95" s="9">
        <v>2</v>
      </c>
      <c r="X95" s="121" t="s">
        <v>150</v>
      </c>
      <c r="Y95" s="140">
        <v>44908</v>
      </c>
      <c r="Z95" s="21">
        <v>1.36</v>
      </c>
      <c r="AA95" s="23">
        <v>2</v>
      </c>
      <c r="AB95" s="32" t="s">
        <v>162</v>
      </c>
      <c r="AC95" s="32" t="s">
        <v>192</v>
      </c>
      <c r="AD95" s="9" t="s">
        <v>177</v>
      </c>
      <c r="AE95" s="9" t="s">
        <v>225</v>
      </c>
      <c r="AF95" s="9">
        <v>282</v>
      </c>
      <c r="AG95" s="138" t="s">
        <v>599</v>
      </c>
      <c r="AH95" s="138" t="s">
        <v>1697</v>
      </c>
      <c r="AI95" s="9" t="s">
        <v>18</v>
      </c>
    </row>
    <row r="96" spans="1:35">
      <c r="A96" s="138" t="s">
        <v>600</v>
      </c>
      <c r="B96" s="139">
        <v>44729</v>
      </c>
      <c r="C96" s="138" t="s">
        <v>487</v>
      </c>
      <c r="D96" s="138"/>
      <c r="E96" s="9">
        <v>23</v>
      </c>
      <c r="F96" s="138"/>
      <c r="G96" s="9" t="s">
        <v>15</v>
      </c>
      <c r="H96" s="9" t="s">
        <v>230</v>
      </c>
      <c r="J96" s="9" t="s">
        <v>253</v>
      </c>
      <c r="L96" s="9" t="s">
        <v>493</v>
      </c>
      <c r="M96" s="9" t="s">
        <v>493</v>
      </c>
      <c r="N96" s="9" t="s">
        <v>493</v>
      </c>
      <c r="O96" s="9" t="s">
        <v>493</v>
      </c>
      <c r="P96" s="21">
        <v>10.974500000000001</v>
      </c>
      <c r="Q96" s="116">
        <f t="shared" si="2"/>
        <v>44729</v>
      </c>
      <c r="R96" s="140">
        <v>44894</v>
      </c>
      <c r="S96" s="141">
        <f t="shared" si="3"/>
        <v>165</v>
      </c>
      <c r="T96" s="21">
        <v>0.10199999999999999</v>
      </c>
      <c r="U96" s="108">
        <v>0.28799999999999998</v>
      </c>
      <c r="V96" s="9" t="s">
        <v>33</v>
      </c>
      <c r="W96" s="9">
        <v>4</v>
      </c>
      <c r="X96" s="121" t="s">
        <v>81</v>
      </c>
      <c r="Y96" s="140">
        <v>45308</v>
      </c>
      <c r="Z96" s="21">
        <v>4.92</v>
      </c>
      <c r="AA96" s="23">
        <v>4</v>
      </c>
      <c r="AB96" s="32" t="s">
        <v>42</v>
      </c>
      <c r="AC96" s="32" t="s">
        <v>193</v>
      </c>
      <c r="AD96" s="9" t="s">
        <v>178</v>
      </c>
      <c r="AE96" s="9" t="s">
        <v>226</v>
      </c>
      <c r="AF96" s="9">
        <v>295</v>
      </c>
      <c r="AG96" s="138" t="s">
        <v>600</v>
      </c>
      <c r="AH96" s="138" t="s">
        <v>1697</v>
      </c>
      <c r="AI96" s="9" t="s">
        <v>18</v>
      </c>
    </row>
    <row r="97" spans="1:35">
      <c r="A97" s="138" t="s">
        <v>601</v>
      </c>
      <c r="B97" s="139">
        <v>44729</v>
      </c>
      <c r="C97" s="138" t="s">
        <v>487</v>
      </c>
      <c r="D97" s="138"/>
      <c r="E97" s="9">
        <v>24</v>
      </c>
      <c r="F97" s="138"/>
      <c r="G97" s="9" t="s">
        <v>16</v>
      </c>
      <c r="H97" s="9" t="s">
        <v>3</v>
      </c>
      <c r="J97" s="9" t="s">
        <v>254</v>
      </c>
      <c r="L97" s="9" t="s">
        <v>493</v>
      </c>
      <c r="M97" s="9" t="s">
        <v>493</v>
      </c>
      <c r="N97" s="9" t="s">
        <v>493</v>
      </c>
      <c r="O97" s="9" t="s">
        <v>493</v>
      </c>
      <c r="P97" s="21">
        <v>10.5747</v>
      </c>
      <c r="Q97" s="116">
        <f t="shared" si="2"/>
        <v>44729</v>
      </c>
      <c r="R97" s="140">
        <v>44894</v>
      </c>
      <c r="S97" s="141">
        <f t="shared" si="3"/>
        <v>165</v>
      </c>
      <c r="T97" s="21"/>
      <c r="U97" s="108">
        <v>8.8999999999999996E-2</v>
      </c>
      <c r="V97" s="9" t="s">
        <v>34</v>
      </c>
      <c r="W97" s="9">
        <v>5</v>
      </c>
      <c r="X97" s="121" t="s">
        <v>94</v>
      </c>
      <c r="Y97" s="140">
        <v>44902</v>
      </c>
      <c r="Z97" s="21">
        <v>1.5</v>
      </c>
      <c r="AA97" s="23">
        <v>4</v>
      </c>
      <c r="AB97" s="32" t="s">
        <v>196</v>
      </c>
      <c r="AC97" s="32" t="s">
        <v>197</v>
      </c>
      <c r="AD97" s="9" t="s">
        <v>176</v>
      </c>
      <c r="AE97" s="9" t="s">
        <v>224</v>
      </c>
      <c r="AF97" s="9">
        <v>316</v>
      </c>
      <c r="AG97" s="138" t="s">
        <v>601</v>
      </c>
      <c r="AH97" s="138" t="s">
        <v>1697</v>
      </c>
      <c r="AI97" s="9" t="s">
        <v>18</v>
      </c>
    </row>
    <row r="98" spans="1:35">
      <c r="A98" s="138" t="s">
        <v>602</v>
      </c>
      <c r="B98" s="139">
        <v>44733</v>
      </c>
      <c r="C98" s="138" t="s">
        <v>487</v>
      </c>
      <c r="D98" s="138"/>
      <c r="E98" s="9">
        <v>1</v>
      </c>
      <c r="F98" s="138"/>
      <c r="G98" s="9" t="s">
        <v>9</v>
      </c>
      <c r="H98" s="9" t="s">
        <v>3</v>
      </c>
      <c r="J98" s="9" t="s">
        <v>253</v>
      </c>
      <c r="L98" s="9" t="s">
        <v>493</v>
      </c>
      <c r="M98" s="9" t="s">
        <v>493</v>
      </c>
      <c r="N98" s="9" t="s">
        <v>493</v>
      </c>
      <c r="O98" s="9" t="s">
        <v>493</v>
      </c>
      <c r="P98" s="21">
        <v>13.155799999999999</v>
      </c>
      <c r="Q98" s="116">
        <f t="shared" si="2"/>
        <v>44733</v>
      </c>
      <c r="R98" s="140">
        <v>44860</v>
      </c>
      <c r="S98" s="141">
        <f t="shared" si="3"/>
        <v>127</v>
      </c>
      <c r="T98" s="21"/>
      <c r="U98" s="108">
        <v>0</v>
      </c>
      <c r="V98" s="9" t="s">
        <v>34</v>
      </c>
      <c r="W98" s="9">
        <v>6</v>
      </c>
      <c r="X98" s="121" t="s">
        <v>50</v>
      </c>
      <c r="Y98" s="140">
        <v>44937</v>
      </c>
      <c r="Z98" s="21">
        <v>6.88</v>
      </c>
      <c r="AA98" s="23">
        <v>1</v>
      </c>
      <c r="AB98" s="32" t="s">
        <v>160</v>
      </c>
      <c r="AC98" s="32" t="s">
        <v>189</v>
      </c>
      <c r="AD98" s="9" t="s">
        <v>163</v>
      </c>
      <c r="AE98" s="9" t="s">
        <v>209</v>
      </c>
      <c r="AF98" s="9">
        <v>61</v>
      </c>
      <c r="AG98" s="138" t="s">
        <v>602</v>
      </c>
      <c r="AH98" s="138" t="s">
        <v>1697</v>
      </c>
      <c r="AI98" s="9" t="s">
        <v>1792</v>
      </c>
    </row>
    <row r="99" spans="1:35">
      <c r="A99" s="138" t="s">
        <v>603</v>
      </c>
      <c r="B99" s="139">
        <v>44733</v>
      </c>
      <c r="C99" s="138" t="s">
        <v>487</v>
      </c>
      <c r="D99" s="138"/>
      <c r="E99" s="9">
        <v>2</v>
      </c>
      <c r="F99" s="138"/>
      <c r="G99" s="9" t="s">
        <v>11</v>
      </c>
      <c r="H99" s="9" t="s">
        <v>3</v>
      </c>
      <c r="J99" s="9" t="s">
        <v>40</v>
      </c>
      <c r="L99" s="9" t="s">
        <v>493</v>
      </c>
      <c r="M99" s="9" t="s">
        <v>493</v>
      </c>
      <c r="N99" s="9" t="s">
        <v>493</v>
      </c>
      <c r="O99" s="9" t="s">
        <v>493</v>
      </c>
      <c r="P99" s="21">
        <v>14.905200000000001</v>
      </c>
      <c r="Q99" s="116">
        <f t="shared" si="2"/>
        <v>44733</v>
      </c>
      <c r="R99" s="140">
        <v>44861</v>
      </c>
      <c r="S99" s="141">
        <f t="shared" si="3"/>
        <v>128</v>
      </c>
      <c r="T99" s="21"/>
      <c r="U99" s="108">
        <v>0</v>
      </c>
      <c r="V99" s="9" t="s">
        <v>34</v>
      </c>
      <c r="W99" s="9">
        <v>6</v>
      </c>
      <c r="X99" s="121" t="s">
        <v>79</v>
      </c>
      <c r="Y99" s="140">
        <v>44937</v>
      </c>
      <c r="Z99" s="21">
        <v>8.77</v>
      </c>
      <c r="AA99" s="23">
        <v>1</v>
      </c>
      <c r="AB99" s="9" t="s">
        <v>156</v>
      </c>
      <c r="AC99" s="9" t="s">
        <v>185</v>
      </c>
      <c r="AD99" s="9" t="s">
        <v>164</v>
      </c>
      <c r="AE99" s="9" t="s">
        <v>210</v>
      </c>
      <c r="AF99" s="9">
        <v>14</v>
      </c>
      <c r="AG99" s="138" t="s">
        <v>603</v>
      </c>
      <c r="AH99" s="138" t="s">
        <v>1697</v>
      </c>
      <c r="AI99" s="9" t="s">
        <v>1792</v>
      </c>
    </row>
    <row r="100" spans="1:35">
      <c r="A100" s="138" t="s">
        <v>604</v>
      </c>
      <c r="B100" s="139">
        <v>44733</v>
      </c>
      <c r="C100" s="138" t="s">
        <v>487</v>
      </c>
      <c r="D100" s="138"/>
      <c r="E100" s="9">
        <v>3</v>
      </c>
      <c r="F100" s="138"/>
      <c r="G100" s="9" t="s">
        <v>12</v>
      </c>
      <c r="H100" s="9" t="s">
        <v>230</v>
      </c>
      <c r="J100" s="9" t="s">
        <v>254</v>
      </c>
      <c r="L100" s="9" t="s">
        <v>493</v>
      </c>
      <c r="M100" s="9" t="s">
        <v>493</v>
      </c>
      <c r="N100" s="9" t="s">
        <v>493</v>
      </c>
      <c r="O100" s="9" t="s">
        <v>493</v>
      </c>
      <c r="P100" s="21">
        <v>12.041499999999999</v>
      </c>
      <c r="Q100" s="116">
        <f t="shared" si="2"/>
        <v>44733</v>
      </c>
      <c r="R100" s="140">
        <v>44860</v>
      </c>
      <c r="S100" s="141">
        <f t="shared" si="3"/>
        <v>127</v>
      </c>
      <c r="T100" s="21"/>
      <c r="U100" s="108">
        <v>9.4E-2</v>
      </c>
      <c r="V100" s="9" t="s">
        <v>34</v>
      </c>
      <c r="W100" s="9">
        <v>6</v>
      </c>
      <c r="X100" s="121" t="s">
        <v>80</v>
      </c>
      <c r="Y100" s="140">
        <v>44937</v>
      </c>
      <c r="Z100" s="21">
        <v>10.59</v>
      </c>
      <c r="AA100" s="23">
        <v>1</v>
      </c>
      <c r="AB100" s="32" t="s">
        <v>159</v>
      </c>
      <c r="AC100" s="32" t="s">
        <v>188</v>
      </c>
      <c r="AD100" s="9" t="s">
        <v>164</v>
      </c>
      <c r="AE100" s="9" t="s">
        <v>210</v>
      </c>
      <c r="AF100" s="9">
        <v>50</v>
      </c>
      <c r="AG100" s="138" t="s">
        <v>604</v>
      </c>
      <c r="AH100" s="138" t="s">
        <v>1697</v>
      </c>
      <c r="AI100" s="9" t="s">
        <v>1789</v>
      </c>
    </row>
    <row r="101" spans="1:35">
      <c r="A101" s="138" t="s">
        <v>605</v>
      </c>
      <c r="B101" s="139">
        <v>44733</v>
      </c>
      <c r="C101" s="138" t="s">
        <v>487</v>
      </c>
      <c r="D101" s="138"/>
      <c r="E101" s="9">
        <v>4</v>
      </c>
      <c r="F101" s="138"/>
      <c r="G101" s="9" t="s">
        <v>14</v>
      </c>
      <c r="H101" s="9" t="s">
        <v>230</v>
      </c>
      <c r="J101" s="9" t="s">
        <v>40</v>
      </c>
      <c r="L101" s="9" t="s">
        <v>493</v>
      </c>
      <c r="M101" s="9" t="s">
        <v>493</v>
      </c>
      <c r="N101" s="9" t="s">
        <v>493</v>
      </c>
      <c r="O101" s="9" t="s">
        <v>493</v>
      </c>
      <c r="P101" s="21">
        <v>12.6798</v>
      </c>
      <c r="Q101" s="116">
        <f t="shared" si="2"/>
        <v>44733</v>
      </c>
      <c r="R101" s="140">
        <v>44861</v>
      </c>
      <c r="S101" s="141">
        <f t="shared" si="3"/>
        <v>128</v>
      </c>
      <c r="T101" s="21">
        <v>7.0999999999999994E-2</v>
      </c>
      <c r="U101" s="108">
        <v>0.224</v>
      </c>
      <c r="V101" s="9" t="s">
        <v>34</v>
      </c>
      <c r="W101" s="9">
        <v>7</v>
      </c>
      <c r="X101" s="121" t="s">
        <v>56</v>
      </c>
      <c r="Y101" s="140">
        <v>44944</v>
      </c>
      <c r="Z101" s="21">
        <v>5.07</v>
      </c>
      <c r="AA101" s="23">
        <v>4</v>
      </c>
      <c r="AB101" s="32" t="s">
        <v>206</v>
      </c>
      <c r="AC101" s="32" t="s">
        <v>207</v>
      </c>
      <c r="AD101" s="9" t="s">
        <v>180</v>
      </c>
      <c r="AE101" s="9" t="s">
        <v>228</v>
      </c>
      <c r="AF101" s="9">
        <v>381</v>
      </c>
      <c r="AG101" s="138" t="s">
        <v>605</v>
      </c>
      <c r="AH101" s="138" t="s">
        <v>1697</v>
      </c>
      <c r="AI101" s="9" t="s">
        <v>1789</v>
      </c>
    </row>
    <row r="102" spans="1:35">
      <c r="A102" s="138" t="s">
        <v>606</v>
      </c>
      <c r="B102" s="139">
        <v>44733</v>
      </c>
      <c r="C102" s="138" t="s">
        <v>487</v>
      </c>
      <c r="D102" s="138"/>
      <c r="E102" s="9">
        <v>5</v>
      </c>
      <c r="F102" s="138"/>
      <c r="G102" s="9" t="s">
        <v>15</v>
      </c>
      <c r="H102" s="9" t="s">
        <v>230</v>
      </c>
      <c r="J102" s="9" t="s">
        <v>253</v>
      </c>
      <c r="L102" s="9" t="s">
        <v>493</v>
      </c>
      <c r="M102" s="9" t="s">
        <v>493</v>
      </c>
      <c r="N102" s="9" t="s">
        <v>493</v>
      </c>
      <c r="O102" s="9" t="s">
        <v>493</v>
      </c>
      <c r="P102" s="21">
        <v>12.8727</v>
      </c>
      <c r="Q102" s="116">
        <f t="shared" si="2"/>
        <v>44733</v>
      </c>
      <c r="R102" s="140">
        <v>44861</v>
      </c>
      <c r="S102" s="141">
        <f t="shared" si="3"/>
        <v>128</v>
      </c>
      <c r="T102" s="21">
        <v>0.5</v>
      </c>
      <c r="V102" s="9" t="s">
        <v>32</v>
      </c>
      <c r="W102" s="9">
        <v>1</v>
      </c>
      <c r="X102" s="121" t="s">
        <v>86</v>
      </c>
      <c r="Y102" s="140">
        <v>44907</v>
      </c>
      <c r="Z102" s="21">
        <v>1.3</v>
      </c>
      <c r="AA102" s="23">
        <v>3</v>
      </c>
      <c r="AB102" s="32" t="s">
        <v>42</v>
      </c>
      <c r="AC102" s="32" t="s">
        <v>193</v>
      </c>
      <c r="AD102" s="9" t="s">
        <v>166</v>
      </c>
      <c r="AE102" s="9" t="s">
        <v>212</v>
      </c>
      <c r="AF102" s="9">
        <v>100</v>
      </c>
      <c r="AG102" s="138" t="s">
        <v>606</v>
      </c>
      <c r="AH102" s="138" t="s">
        <v>1697</v>
      </c>
      <c r="AI102" s="9" t="s">
        <v>1790</v>
      </c>
    </row>
    <row r="103" spans="1:35">
      <c r="A103" s="138" t="s">
        <v>607</v>
      </c>
      <c r="B103" s="139">
        <v>44733</v>
      </c>
      <c r="C103" s="138" t="s">
        <v>487</v>
      </c>
      <c r="D103" s="138"/>
      <c r="E103" s="9">
        <v>6</v>
      </c>
      <c r="F103" s="138"/>
      <c r="G103" s="9" t="s">
        <v>16</v>
      </c>
      <c r="H103" s="9" t="s">
        <v>3</v>
      </c>
      <c r="J103" s="9" t="s">
        <v>254</v>
      </c>
      <c r="L103" s="9" t="s">
        <v>493</v>
      </c>
      <c r="M103" s="9" t="s">
        <v>493</v>
      </c>
      <c r="N103" s="9" t="s">
        <v>493</v>
      </c>
      <c r="O103" s="9" t="s">
        <v>493</v>
      </c>
      <c r="P103" s="21">
        <v>13.1624</v>
      </c>
      <c r="Q103" s="116">
        <f t="shared" si="2"/>
        <v>44733</v>
      </c>
      <c r="R103" s="140">
        <v>44865</v>
      </c>
      <c r="S103" s="141">
        <f t="shared" si="3"/>
        <v>132</v>
      </c>
      <c r="T103" s="21"/>
      <c r="U103" s="108">
        <v>0.184</v>
      </c>
      <c r="V103" s="9" t="s">
        <v>34</v>
      </c>
      <c r="W103" s="9">
        <v>7</v>
      </c>
      <c r="X103" s="121" t="s">
        <v>44</v>
      </c>
      <c r="Y103" s="140">
        <v>44944</v>
      </c>
      <c r="Z103" s="21">
        <v>1.51</v>
      </c>
      <c r="AA103" s="23">
        <v>4</v>
      </c>
      <c r="AB103" s="32" t="s">
        <v>194</v>
      </c>
      <c r="AC103" s="32" t="s">
        <v>195</v>
      </c>
      <c r="AD103" s="9" t="s">
        <v>180</v>
      </c>
      <c r="AE103" s="9" t="s">
        <v>228</v>
      </c>
      <c r="AF103" s="9">
        <v>309</v>
      </c>
      <c r="AG103" s="138" t="s">
        <v>607</v>
      </c>
      <c r="AH103" s="138" t="s">
        <v>1697</v>
      </c>
      <c r="AI103" s="9" t="s">
        <v>1789</v>
      </c>
    </row>
    <row r="104" spans="1:35">
      <c r="A104" s="138" t="s">
        <v>608</v>
      </c>
      <c r="B104" s="139">
        <v>44733</v>
      </c>
      <c r="C104" s="138" t="s">
        <v>487</v>
      </c>
      <c r="D104" s="138"/>
      <c r="E104" s="9">
        <v>7</v>
      </c>
      <c r="F104" s="138"/>
      <c r="G104" s="9" t="s">
        <v>14</v>
      </c>
      <c r="H104" s="9" t="s">
        <v>230</v>
      </c>
      <c r="J104" s="9" t="s">
        <v>40</v>
      </c>
      <c r="L104" s="9" t="s">
        <v>493</v>
      </c>
      <c r="M104" s="9" t="s">
        <v>493</v>
      </c>
      <c r="N104" s="9" t="s">
        <v>493</v>
      </c>
      <c r="O104" s="9" t="s">
        <v>493</v>
      </c>
      <c r="P104" s="21">
        <v>13.1584</v>
      </c>
      <c r="Q104" s="116">
        <f t="shared" si="2"/>
        <v>44733</v>
      </c>
      <c r="R104" s="140">
        <v>44861</v>
      </c>
      <c r="S104" s="141">
        <f t="shared" si="3"/>
        <v>128</v>
      </c>
      <c r="T104" s="21">
        <v>0.10100000000000001</v>
      </c>
      <c r="U104" s="108">
        <v>0.28999999999999998</v>
      </c>
      <c r="V104" s="9" t="s">
        <v>33</v>
      </c>
      <c r="W104" s="9">
        <v>3</v>
      </c>
      <c r="X104" s="121" t="s">
        <v>80</v>
      </c>
      <c r="Y104" s="140">
        <v>44938</v>
      </c>
      <c r="Z104" s="21">
        <v>9.0500000000000007</v>
      </c>
      <c r="AA104" s="23">
        <v>1</v>
      </c>
      <c r="AB104" s="9" t="s">
        <v>157</v>
      </c>
      <c r="AC104" s="9" t="s">
        <v>186</v>
      </c>
      <c r="AD104" s="9" t="s">
        <v>167</v>
      </c>
      <c r="AE104" s="9" t="s">
        <v>215</v>
      </c>
      <c r="AF104" s="9">
        <v>36</v>
      </c>
      <c r="AG104" s="138" t="s">
        <v>608</v>
      </c>
      <c r="AH104" s="138" t="s">
        <v>1697</v>
      </c>
      <c r="AI104" s="9" t="s">
        <v>18</v>
      </c>
    </row>
    <row r="105" spans="1:35">
      <c r="A105" s="138" t="s">
        <v>609</v>
      </c>
      <c r="B105" s="139">
        <v>44733</v>
      </c>
      <c r="C105" s="138" t="s">
        <v>487</v>
      </c>
      <c r="D105" s="138"/>
      <c r="E105" s="9">
        <v>8</v>
      </c>
      <c r="F105" s="138"/>
      <c r="G105" s="9" t="s">
        <v>15</v>
      </c>
      <c r="H105" s="9" t="s">
        <v>230</v>
      </c>
      <c r="J105" s="9" t="s">
        <v>253</v>
      </c>
      <c r="L105" s="9" t="s">
        <v>493</v>
      </c>
      <c r="M105" s="9" t="s">
        <v>493</v>
      </c>
      <c r="N105" s="9" t="s">
        <v>493</v>
      </c>
      <c r="O105" s="9" t="s">
        <v>493</v>
      </c>
      <c r="P105" s="21">
        <v>12.124599999999999</v>
      </c>
      <c r="Q105" s="116">
        <f t="shared" si="2"/>
        <v>44733</v>
      </c>
      <c r="R105" s="140">
        <v>44865</v>
      </c>
      <c r="S105" s="141">
        <f t="shared" si="3"/>
        <v>132</v>
      </c>
      <c r="T105" s="21">
        <v>0.18099999999999999</v>
      </c>
      <c r="U105" s="108">
        <v>0.49199999999999999</v>
      </c>
      <c r="V105" s="9" t="s">
        <v>32</v>
      </c>
      <c r="W105" s="9">
        <v>1</v>
      </c>
      <c r="X105" s="121" t="s">
        <v>110</v>
      </c>
      <c r="Y105" s="140">
        <v>44907</v>
      </c>
      <c r="Z105" s="21">
        <v>1.1696869851729819</v>
      </c>
      <c r="AA105" s="23">
        <v>3</v>
      </c>
      <c r="AB105" s="32" t="s">
        <v>204</v>
      </c>
      <c r="AC105" s="32" t="s">
        <v>205</v>
      </c>
      <c r="AD105" s="9" t="s">
        <v>168</v>
      </c>
      <c r="AE105" s="9" t="s">
        <v>216</v>
      </c>
      <c r="AF105" s="9">
        <v>174</v>
      </c>
      <c r="AG105" s="138" t="s">
        <v>609</v>
      </c>
      <c r="AH105" s="138" t="s">
        <v>1697</v>
      </c>
      <c r="AI105" s="9" t="s">
        <v>1789</v>
      </c>
    </row>
    <row r="106" spans="1:35">
      <c r="A106" s="138" t="s">
        <v>610</v>
      </c>
      <c r="B106" s="139">
        <v>44733</v>
      </c>
      <c r="C106" s="138" t="s">
        <v>487</v>
      </c>
      <c r="D106" s="138"/>
      <c r="E106" s="9">
        <v>9</v>
      </c>
      <c r="F106" s="138"/>
      <c r="G106" s="9" t="s">
        <v>12</v>
      </c>
      <c r="H106" s="9" t="s">
        <v>230</v>
      </c>
      <c r="J106" s="9" t="s">
        <v>254</v>
      </c>
      <c r="L106" s="9" t="s">
        <v>493</v>
      </c>
      <c r="M106" s="9" t="s">
        <v>493</v>
      </c>
      <c r="N106" s="9" t="s">
        <v>493</v>
      </c>
      <c r="O106" s="9" t="s">
        <v>493</v>
      </c>
      <c r="P106" s="21">
        <v>14.1905</v>
      </c>
      <c r="Q106" s="116">
        <f t="shared" si="2"/>
        <v>44733</v>
      </c>
      <c r="R106" s="140">
        <v>44886</v>
      </c>
      <c r="S106" s="141">
        <f t="shared" si="3"/>
        <v>153</v>
      </c>
      <c r="T106" s="21"/>
      <c r="U106" s="108">
        <v>7.0999999999999994E-2</v>
      </c>
      <c r="V106" s="9" t="s">
        <v>34</v>
      </c>
      <c r="W106" s="9">
        <v>5</v>
      </c>
      <c r="X106" s="121" t="s">
        <v>56</v>
      </c>
      <c r="Y106" s="140">
        <v>44902</v>
      </c>
      <c r="Z106" s="21">
        <v>2.64</v>
      </c>
      <c r="AA106" s="23">
        <v>4</v>
      </c>
      <c r="AB106" s="32" t="s">
        <v>206</v>
      </c>
      <c r="AC106" s="32" t="s">
        <v>207</v>
      </c>
      <c r="AD106" s="9" t="s">
        <v>173</v>
      </c>
      <c r="AE106" s="9" t="s">
        <v>221</v>
      </c>
      <c r="AF106" s="9">
        <v>373</v>
      </c>
      <c r="AG106" s="138" t="s">
        <v>610</v>
      </c>
      <c r="AH106" s="138" t="s">
        <v>1697</v>
      </c>
      <c r="AI106" s="9" t="s">
        <v>1789</v>
      </c>
    </row>
    <row r="107" spans="1:35">
      <c r="A107" s="138" t="s">
        <v>611</v>
      </c>
      <c r="B107" s="139">
        <v>44733</v>
      </c>
      <c r="C107" s="138" t="s">
        <v>487</v>
      </c>
      <c r="D107" s="138"/>
      <c r="E107" s="9">
        <v>10</v>
      </c>
      <c r="F107" s="138"/>
      <c r="G107" s="9" t="s">
        <v>11</v>
      </c>
      <c r="H107" s="9" t="s">
        <v>3</v>
      </c>
      <c r="J107" s="9" t="s">
        <v>40</v>
      </c>
      <c r="L107" s="9" t="s">
        <v>493</v>
      </c>
      <c r="M107" s="9" t="s">
        <v>493</v>
      </c>
      <c r="N107" s="9" t="s">
        <v>493</v>
      </c>
      <c r="O107" s="9" t="s">
        <v>493</v>
      </c>
      <c r="P107" s="21">
        <v>12.920999999999999</v>
      </c>
      <c r="Q107" s="116">
        <f t="shared" si="2"/>
        <v>44733</v>
      </c>
      <c r="R107" s="140">
        <v>44861</v>
      </c>
      <c r="S107" s="141">
        <f t="shared" si="3"/>
        <v>128</v>
      </c>
      <c r="T107" s="21"/>
      <c r="U107" s="108">
        <v>7.9000000000000001E-2</v>
      </c>
      <c r="V107" s="9" t="s">
        <v>34</v>
      </c>
      <c r="W107" s="9">
        <v>5</v>
      </c>
      <c r="X107" s="121" t="s">
        <v>79</v>
      </c>
      <c r="Y107" s="140">
        <v>44902</v>
      </c>
      <c r="Z107" s="21">
        <v>0.72</v>
      </c>
      <c r="AA107" s="23">
        <v>4</v>
      </c>
      <c r="AB107" s="32" t="s">
        <v>42</v>
      </c>
      <c r="AC107" s="32" t="s">
        <v>193</v>
      </c>
      <c r="AD107" s="9" t="s">
        <v>174</v>
      </c>
      <c r="AE107" s="9" t="s">
        <v>222</v>
      </c>
      <c r="AF107" s="9">
        <v>290</v>
      </c>
      <c r="AG107" s="138" t="s">
        <v>611</v>
      </c>
      <c r="AH107" s="138" t="s">
        <v>1697</v>
      </c>
      <c r="AI107" s="9" t="s">
        <v>1789</v>
      </c>
    </row>
    <row r="108" spans="1:35">
      <c r="A108" s="138" t="s">
        <v>612</v>
      </c>
      <c r="B108" s="139">
        <v>44733</v>
      </c>
      <c r="C108" s="138" t="s">
        <v>487</v>
      </c>
      <c r="D108" s="138"/>
      <c r="E108" s="9">
        <v>11</v>
      </c>
      <c r="F108" s="138"/>
      <c r="G108" s="9" t="s">
        <v>9</v>
      </c>
      <c r="H108" s="9" t="s">
        <v>3</v>
      </c>
      <c r="J108" s="9" t="s">
        <v>253</v>
      </c>
      <c r="L108" s="9" t="s">
        <v>493</v>
      </c>
      <c r="M108" s="9" t="s">
        <v>493</v>
      </c>
      <c r="N108" s="9" t="s">
        <v>493</v>
      </c>
      <c r="O108" s="9" t="s">
        <v>493</v>
      </c>
      <c r="P108" s="21">
        <v>13.130800000000001</v>
      </c>
      <c r="Q108" s="116">
        <f t="shared" si="2"/>
        <v>44733</v>
      </c>
      <c r="R108" s="140">
        <v>44886</v>
      </c>
      <c r="S108" s="141">
        <f t="shared" si="3"/>
        <v>153</v>
      </c>
      <c r="T108" s="21"/>
      <c r="U108" s="108">
        <v>0.61699999999999999</v>
      </c>
      <c r="V108" s="9" t="s">
        <v>32</v>
      </c>
      <c r="W108" s="9">
        <v>1</v>
      </c>
      <c r="X108" s="121" t="s">
        <v>115</v>
      </c>
      <c r="Y108" s="140">
        <v>44907</v>
      </c>
      <c r="Z108" s="21">
        <v>0.69</v>
      </c>
      <c r="AA108" s="23">
        <v>3</v>
      </c>
      <c r="AB108" s="32" t="s">
        <v>196</v>
      </c>
      <c r="AC108" s="32" t="s">
        <v>197</v>
      </c>
      <c r="AD108" s="9" t="s">
        <v>170</v>
      </c>
      <c r="AE108" s="9" t="s">
        <v>218</v>
      </c>
      <c r="AF108" s="9">
        <v>129</v>
      </c>
      <c r="AG108" s="138" t="s">
        <v>612</v>
      </c>
      <c r="AH108" s="138" t="s">
        <v>1697</v>
      </c>
      <c r="AI108" s="9" t="s">
        <v>1789</v>
      </c>
    </row>
    <row r="109" spans="1:35">
      <c r="A109" s="138" t="s">
        <v>613</v>
      </c>
      <c r="B109" s="139">
        <v>44733</v>
      </c>
      <c r="C109" s="138" t="s">
        <v>487</v>
      </c>
      <c r="D109" s="138"/>
      <c r="E109" s="9">
        <v>12</v>
      </c>
      <c r="F109" s="138"/>
      <c r="G109" s="9" t="s">
        <v>16</v>
      </c>
      <c r="H109" s="9" t="s">
        <v>3</v>
      </c>
      <c r="J109" s="9" t="s">
        <v>254</v>
      </c>
      <c r="L109" s="9" t="s">
        <v>493</v>
      </c>
      <c r="M109" s="9" t="s">
        <v>493</v>
      </c>
      <c r="N109" s="9" t="s">
        <v>493</v>
      </c>
      <c r="O109" s="9" t="s">
        <v>493</v>
      </c>
      <c r="P109" s="21">
        <v>14.729100000000001</v>
      </c>
      <c r="Q109" s="116">
        <f t="shared" si="2"/>
        <v>44733</v>
      </c>
      <c r="R109" s="140">
        <v>44861</v>
      </c>
      <c r="S109" s="141">
        <f t="shared" si="3"/>
        <v>128</v>
      </c>
      <c r="T109" s="21">
        <v>0.29599999999999999</v>
      </c>
      <c r="V109" s="9" t="s">
        <v>32</v>
      </c>
      <c r="W109" s="9">
        <v>1</v>
      </c>
      <c r="X109" s="121" t="s">
        <v>130</v>
      </c>
      <c r="Y109" s="140">
        <v>44907</v>
      </c>
      <c r="Z109" s="21">
        <v>1.61</v>
      </c>
      <c r="AA109" s="23">
        <v>3</v>
      </c>
      <c r="AB109" s="32" t="s">
        <v>198</v>
      </c>
      <c r="AC109" s="32" t="s">
        <v>199</v>
      </c>
      <c r="AD109" s="9" t="s">
        <v>171</v>
      </c>
      <c r="AE109" s="9" t="s">
        <v>219</v>
      </c>
      <c r="AF109" s="9">
        <v>142</v>
      </c>
      <c r="AG109" s="138" t="s">
        <v>613</v>
      </c>
      <c r="AH109" s="138" t="s">
        <v>1697</v>
      </c>
      <c r="AI109" s="9" t="s">
        <v>1790</v>
      </c>
    </row>
    <row r="110" spans="1:35">
      <c r="A110" s="138" t="s">
        <v>614</v>
      </c>
      <c r="B110" s="139">
        <v>44733</v>
      </c>
      <c r="C110" s="138" t="s">
        <v>487</v>
      </c>
      <c r="D110" s="138"/>
      <c r="E110" s="9">
        <v>13</v>
      </c>
      <c r="F110" s="138"/>
      <c r="G110" s="9" t="s">
        <v>11</v>
      </c>
      <c r="H110" s="9" t="s">
        <v>3</v>
      </c>
      <c r="J110" s="9" t="s">
        <v>40</v>
      </c>
      <c r="L110" s="9" t="s">
        <v>493</v>
      </c>
      <c r="M110" s="9" t="s">
        <v>493</v>
      </c>
      <c r="N110" s="9" t="s">
        <v>493</v>
      </c>
      <c r="O110" s="9" t="s">
        <v>493</v>
      </c>
      <c r="P110" s="21">
        <v>13.1755</v>
      </c>
      <c r="Q110" s="116">
        <f t="shared" si="2"/>
        <v>44733</v>
      </c>
      <c r="R110" s="140">
        <v>44890</v>
      </c>
      <c r="S110" s="141">
        <f t="shared" si="3"/>
        <v>157</v>
      </c>
      <c r="T110" s="21"/>
      <c r="U110" s="108">
        <v>0</v>
      </c>
      <c r="V110" s="9" t="s">
        <v>34</v>
      </c>
      <c r="W110" s="9">
        <v>6</v>
      </c>
      <c r="X110" s="121" t="s">
        <v>146</v>
      </c>
      <c r="Y110" s="140">
        <v>44937</v>
      </c>
      <c r="Z110" s="21">
        <v>2.6</v>
      </c>
      <c r="AA110" s="23">
        <v>1</v>
      </c>
      <c r="AB110" s="32" t="s">
        <v>162</v>
      </c>
      <c r="AC110" s="32" t="s">
        <v>190</v>
      </c>
      <c r="AD110" s="9" t="s">
        <v>165</v>
      </c>
      <c r="AE110" s="9" t="s">
        <v>211</v>
      </c>
      <c r="AF110" s="9">
        <v>75</v>
      </c>
      <c r="AG110" s="138" t="s">
        <v>614</v>
      </c>
      <c r="AH110" s="138" t="s">
        <v>1697</v>
      </c>
      <c r="AI110" s="9" t="s">
        <v>1792</v>
      </c>
    </row>
    <row r="111" spans="1:35">
      <c r="A111" s="138" t="s">
        <v>615</v>
      </c>
      <c r="B111" s="139">
        <v>44733</v>
      </c>
      <c r="C111" s="138" t="s">
        <v>487</v>
      </c>
      <c r="D111" s="138"/>
      <c r="E111" s="9">
        <v>14</v>
      </c>
      <c r="F111" s="138"/>
      <c r="G111" s="9" t="s">
        <v>16</v>
      </c>
      <c r="H111" s="9" t="s">
        <v>3</v>
      </c>
      <c r="J111" s="9" t="s">
        <v>254</v>
      </c>
      <c r="L111" s="9" t="s">
        <v>493</v>
      </c>
      <c r="M111" s="9" t="s">
        <v>493</v>
      </c>
      <c r="N111" s="9" t="s">
        <v>493</v>
      </c>
      <c r="O111" s="9" t="s">
        <v>493</v>
      </c>
      <c r="P111" s="21">
        <v>11.935700000000001</v>
      </c>
      <c r="Q111" s="116">
        <f t="shared" si="2"/>
        <v>44733</v>
      </c>
      <c r="R111" s="140">
        <v>44890</v>
      </c>
      <c r="S111" s="141">
        <f t="shared" si="3"/>
        <v>157</v>
      </c>
      <c r="T111" s="21"/>
      <c r="U111" s="108">
        <v>0.38500000000000001</v>
      </c>
      <c r="V111" s="9" t="s">
        <v>32</v>
      </c>
      <c r="W111" s="9">
        <v>1</v>
      </c>
      <c r="X111" s="121" t="s">
        <v>135</v>
      </c>
      <c r="Y111" s="140">
        <v>44907</v>
      </c>
      <c r="Z111" s="21">
        <v>1.41</v>
      </c>
      <c r="AA111" s="23">
        <v>3</v>
      </c>
      <c r="AB111" s="32" t="s">
        <v>42</v>
      </c>
      <c r="AC111" s="32" t="s">
        <v>193</v>
      </c>
      <c r="AD111" s="9" t="s">
        <v>167</v>
      </c>
      <c r="AE111" s="9" t="s">
        <v>215</v>
      </c>
      <c r="AF111" s="9">
        <v>108</v>
      </c>
      <c r="AG111" s="138" t="s">
        <v>615</v>
      </c>
      <c r="AH111" s="138" t="s">
        <v>1697</v>
      </c>
      <c r="AI111" s="9" t="s">
        <v>1789</v>
      </c>
    </row>
    <row r="112" spans="1:35">
      <c r="A112" s="138" t="s">
        <v>616</v>
      </c>
      <c r="B112" s="139">
        <v>44733</v>
      </c>
      <c r="C112" s="138" t="s">
        <v>487</v>
      </c>
      <c r="D112" s="138"/>
      <c r="E112" s="9">
        <v>15</v>
      </c>
      <c r="F112" s="138"/>
      <c r="G112" s="9" t="s">
        <v>9</v>
      </c>
      <c r="H112" s="9" t="s">
        <v>3</v>
      </c>
      <c r="J112" s="9" t="s">
        <v>253</v>
      </c>
      <c r="L112" s="9" t="s">
        <v>493</v>
      </c>
      <c r="M112" s="9" t="s">
        <v>493</v>
      </c>
      <c r="N112" s="9" t="s">
        <v>493</v>
      </c>
      <c r="O112" s="9" t="s">
        <v>493</v>
      </c>
      <c r="P112" s="21">
        <v>11.6639</v>
      </c>
      <c r="Q112" s="116">
        <f t="shared" si="2"/>
        <v>44733</v>
      </c>
      <c r="R112" s="140">
        <v>44890</v>
      </c>
      <c r="S112" s="141">
        <f t="shared" si="3"/>
        <v>157</v>
      </c>
      <c r="T112" s="21"/>
      <c r="U112" s="108">
        <v>0</v>
      </c>
      <c r="V112" s="9" t="s">
        <v>34</v>
      </c>
      <c r="W112" s="9">
        <v>6</v>
      </c>
      <c r="X112" s="121" t="s">
        <v>91</v>
      </c>
      <c r="Y112" s="140">
        <v>44937</v>
      </c>
      <c r="Z112" s="21">
        <v>0.67</v>
      </c>
      <c r="AA112" s="23">
        <v>1</v>
      </c>
      <c r="AB112" s="9" t="s">
        <v>156</v>
      </c>
      <c r="AC112" s="9" t="s">
        <v>185</v>
      </c>
      <c r="AD112" s="9" t="s">
        <v>166</v>
      </c>
      <c r="AE112" s="9" t="s">
        <v>212</v>
      </c>
      <c r="AF112" s="9">
        <v>16</v>
      </c>
      <c r="AG112" s="138" t="s">
        <v>616</v>
      </c>
      <c r="AH112" s="138" t="s">
        <v>1697</v>
      </c>
      <c r="AI112" s="9" t="s">
        <v>1792</v>
      </c>
    </row>
    <row r="113" spans="1:35">
      <c r="A113" s="138" t="s">
        <v>617</v>
      </c>
      <c r="B113" s="139">
        <v>44733</v>
      </c>
      <c r="C113" s="138" t="s">
        <v>487</v>
      </c>
      <c r="D113" s="138"/>
      <c r="E113" s="9">
        <v>16</v>
      </c>
      <c r="F113" s="138"/>
      <c r="G113" s="9" t="s">
        <v>15</v>
      </c>
      <c r="H113" s="9" t="s">
        <v>230</v>
      </c>
      <c r="J113" s="9" t="s">
        <v>253</v>
      </c>
      <c r="L113" s="9" t="s">
        <v>493</v>
      </c>
      <c r="M113" s="9" t="s">
        <v>493</v>
      </c>
      <c r="N113" s="9" t="s">
        <v>493</v>
      </c>
      <c r="O113" s="9" t="s">
        <v>493</v>
      </c>
      <c r="P113" s="21">
        <v>11.526</v>
      </c>
      <c r="Q113" s="116">
        <f t="shared" si="2"/>
        <v>44733</v>
      </c>
      <c r="R113" s="140">
        <v>44890</v>
      </c>
      <c r="S113" s="141">
        <f t="shared" si="3"/>
        <v>157</v>
      </c>
      <c r="T113" s="21"/>
      <c r="U113" s="108">
        <v>0</v>
      </c>
      <c r="V113" s="9" t="s">
        <v>34</v>
      </c>
      <c r="W113" s="9">
        <v>6</v>
      </c>
      <c r="X113" s="121" t="s">
        <v>86</v>
      </c>
      <c r="Y113" s="140">
        <v>44937</v>
      </c>
      <c r="Z113" s="21">
        <v>0</v>
      </c>
      <c r="AA113" s="23">
        <v>1</v>
      </c>
      <c r="AB113" s="32" t="s">
        <v>158</v>
      </c>
      <c r="AC113" s="32" t="s">
        <v>187</v>
      </c>
      <c r="AD113" s="9" t="s">
        <v>166</v>
      </c>
      <c r="AE113" s="9" t="s">
        <v>212</v>
      </c>
      <c r="AF113" s="9">
        <v>40</v>
      </c>
      <c r="AG113" s="138" t="s">
        <v>617</v>
      </c>
      <c r="AH113" s="138" t="s">
        <v>1697</v>
      </c>
      <c r="AI113" s="9" t="s">
        <v>20</v>
      </c>
    </row>
    <row r="114" spans="1:35">
      <c r="A114" s="138" t="s">
        <v>618</v>
      </c>
      <c r="B114" s="139">
        <v>44733</v>
      </c>
      <c r="C114" s="138" t="s">
        <v>487</v>
      </c>
      <c r="D114" s="138"/>
      <c r="E114" s="9">
        <v>17</v>
      </c>
      <c r="F114" s="138"/>
      <c r="G114" s="9" t="s">
        <v>14</v>
      </c>
      <c r="H114" s="9" t="s">
        <v>230</v>
      </c>
      <c r="J114" s="9" t="s">
        <v>40</v>
      </c>
      <c r="L114" s="9" t="s">
        <v>493</v>
      </c>
      <c r="M114" s="9" t="s">
        <v>493</v>
      </c>
      <c r="N114" s="9" t="s">
        <v>493</v>
      </c>
      <c r="O114" s="9" t="s">
        <v>493</v>
      </c>
      <c r="P114" s="21">
        <v>13.215</v>
      </c>
      <c r="Q114" s="116">
        <f t="shared" si="2"/>
        <v>44733</v>
      </c>
      <c r="R114" s="140">
        <v>44893</v>
      </c>
      <c r="S114" s="141">
        <f t="shared" si="3"/>
        <v>160</v>
      </c>
      <c r="T114" s="21"/>
      <c r="U114" s="108">
        <v>0</v>
      </c>
      <c r="V114" s="9" t="s">
        <v>34</v>
      </c>
      <c r="W114" s="9">
        <v>6</v>
      </c>
      <c r="X114" s="121" t="s">
        <v>87</v>
      </c>
      <c r="Y114" s="140">
        <v>44937</v>
      </c>
      <c r="Z114" s="21">
        <v>0.84</v>
      </c>
      <c r="AA114" s="23">
        <v>1</v>
      </c>
      <c r="AB114" s="32" t="s">
        <v>159</v>
      </c>
      <c r="AC114" s="32" t="s">
        <v>188</v>
      </c>
      <c r="AD114" s="9" t="s">
        <v>166</v>
      </c>
      <c r="AE114" s="9" t="s">
        <v>212</v>
      </c>
      <c r="AF114" s="9">
        <v>52</v>
      </c>
      <c r="AG114" s="138" t="s">
        <v>618</v>
      </c>
      <c r="AH114" s="138" t="s">
        <v>1697</v>
      </c>
      <c r="AI114" s="9" t="s">
        <v>1792</v>
      </c>
    </row>
    <row r="115" spans="1:35">
      <c r="A115" s="138" t="s">
        <v>619</v>
      </c>
      <c r="B115" s="139">
        <v>44733</v>
      </c>
      <c r="C115" s="138" t="s">
        <v>487</v>
      </c>
      <c r="D115" s="138"/>
      <c r="E115" s="9">
        <v>18</v>
      </c>
      <c r="F115" s="138"/>
      <c r="G115" s="9" t="s">
        <v>12</v>
      </c>
      <c r="H115" s="9" t="s">
        <v>230</v>
      </c>
      <c r="J115" s="9" t="s">
        <v>254</v>
      </c>
      <c r="L115" s="9" t="s">
        <v>493</v>
      </c>
      <c r="M115" s="9" t="s">
        <v>493</v>
      </c>
      <c r="N115" s="9" t="s">
        <v>493</v>
      </c>
      <c r="O115" s="9" t="s">
        <v>493</v>
      </c>
      <c r="P115" s="21">
        <v>14.5815</v>
      </c>
      <c r="Q115" s="116">
        <f t="shared" si="2"/>
        <v>44733</v>
      </c>
      <c r="R115" s="140">
        <v>44893</v>
      </c>
      <c r="S115" s="141">
        <f t="shared" si="3"/>
        <v>160</v>
      </c>
      <c r="T115" s="21"/>
      <c r="U115" s="108">
        <v>0.121</v>
      </c>
      <c r="V115" s="9" t="s">
        <v>34</v>
      </c>
      <c r="W115" s="9">
        <v>5</v>
      </c>
      <c r="X115" s="121" t="s">
        <v>81</v>
      </c>
      <c r="Y115" s="140">
        <v>44902</v>
      </c>
      <c r="Z115" s="21">
        <v>1.62</v>
      </c>
      <c r="AA115" s="23">
        <v>4</v>
      </c>
      <c r="AB115" s="32" t="s">
        <v>42</v>
      </c>
      <c r="AC115" s="32" t="s">
        <v>193</v>
      </c>
      <c r="AD115" s="9" t="s">
        <v>175</v>
      </c>
      <c r="AE115" s="9" t="s">
        <v>223</v>
      </c>
      <c r="AF115" s="9">
        <v>291</v>
      </c>
      <c r="AG115" s="138" t="s">
        <v>619</v>
      </c>
      <c r="AH115" s="138" t="s">
        <v>1697</v>
      </c>
      <c r="AI115" s="9" t="s">
        <v>1790</v>
      </c>
    </row>
    <row r="116" spans="1:35">
      <c r="A116" s="138" t="s">
        <v>621</v>
      </c>
      <c r="B116" s="139">
        <v>44733</v>
      </c>
      <c r="C116" s="138" t="s">
        <v>487</v>
      </c>
      <c r="D116" s="138"/>
      <c r="E116" s="9">
        <v>19</v>
      </c>
      <c r="F116" s="138"/>
      <c r="G116" s="9" t="s">
        <v>9</v>
      </c>
      <c r="H116" s="9" t="s">
        <v>3</v>
      </c>
      <c r="J116" s="9" t="s">
        <v>253</v>
      </c>
      <c r="L116" s="9" t="s">
        <v>493</v>
      </c>
      <c r="M116" s="9" t="s">
        <v>493</v>
      </c>
      <c r="N116" s="9" t="s">
        <v>493</v>
      </c>
      <c r="O116" s="9" t="s">
        <v>493</v>
      </c>
      <c r="P116" s="21">
        <v>11.243600000000001</v>
      </c>
      <c r="Q116" s="116">
        <f t="shared" si="2"/>
        <v>44733</v>
      </c>
      <c r="R116" s="140">
        <v>44893</v>
      </c>
      <c r="S116" s="141">
        <f t="shared" si="3"/>
        <v>160</v>
      </c>
      <c r="T116" s="21"/>
      <c r="U116" s="108">
        <v>0.11799999999999999</v>
      </c>
      <c r="V116" s="9" t="s">
        <v>34</v>
      </c>
      <c r="W116" s="9">
        <v>5</v>
      </c>
      <c r="X116" s="121" t="s">
        <v>83</v>
      </c>
      <c r="Y116" s="140">
        <v>44902</v>
      </c>
      <c r="Z116" s="21">
        <v>3.4</v>
      </c>
      <c r="AA116" s="23">
        <v>4</v>
      </c>
      <c r="AB116" s="32" t="s">
        <v>196</v>
      </c>
      <c r="AC116" s="32" t="s">
        <v>197</v>
      </c>
      <c r="AD116" s="9" t="s">
        <v>175</v>
      </c>
      <c r="AE116" s="9" t="s">
        <v>223</v>
      </c>
      <c r="AF116" s="9">
        <v>315</v>
      </c>
      <c r="AG116" s="138" t="s">
        <v>621</v>
      </c>
      <c r="AH116" s="138" t="s">
        <v>1697</v>
      </c>
      <c r="AI116" s="9" t="s">
        <v>1789</v>
      </c>
    </row>
    <row r="117" spans="1:35">
      <c r="A117" s="138" t="s">
        <v>620</v>
      </c>
      <c r="B117" s="139">
        <v>44733</v>
      </c>
      <c r="C117" s="138" t="s">
        <v>487</v>
      </c>
      <c r="D117" s="138"/>
      <c r="E117" s="9">
        <v>20</v>
      </c>
      <c r="F117" s="138"/>
      <c r="G117" s="9" t="s">
        <v>11</v>
      </c>
      <c r="H117" s="9" t="s">
        <v>3</v>
      </c>
      <c r="J117" s="9" t="s">
        <v>40</v>
      </c>
      <c r="L117" s="9" t="s">
        <v>493</v>
      </c>
      <c r="M117" s="9" t="s">
        <v>493</v>
      </c>
      <c r="N117" s="9" t="s">
        <v>493</v>
      </c>
      <c r="O117" s="9" t="s">
        <v>493</v>
      </c>
      <c r="P117" s="21">
        <v>12.185600000000001</v>
      </c>
      <c r="Q117" s="116">
        <f t="shared" si="2"/>
        <v>44733</v>
      </c>
      <c r="R117" s="140">
        <v>44894</v>
      </c>
      <c r="S117" s="141">
        <f t="shared" si="3"/>
        <v>161</v>
      </c>
      <c r="T117" s="21"/>
      <c r="U117" s="108">
        <v>0</v>
      </c>
      <c r="V117" s="9" t="s">
        <v>34</v>
      </c>
      <c r="W117" s="9">
        <v>6</v>
      </c>
      <c r="X117" s="121" t="s">
        <v>88</v>
      </c>
      <c r="Y117" s="140">
        <v>44937</v>
      </c>
      <c r="Z117" s="21">
        <v>0</v>
      </c>
      <c r="AA117" s="23">
        <v>1</v>
      </c>
      <c r="AB117" s="9" t="s">
        <v>156</v>
      </c>
      <c r="AC117" s="9" t="s">
        <v>185</v>
      </c>
      <c r="AD117" s="9" t="s">
        <v>43</v>
      </c>
      <c r="AE117" s="9" t="s">
        <v>213</v>
      </c>
      <c r="AF117" s="9">
        <v>17</v>
      </c>
      <c r="AG117" s="138" t="s">
        <v>620</v>
      </c>
      <c r="AH117" s="138" t="s">
        <v>1697</v>
      </c>
      <c r="AI117" s="9" t="s">
        <v>20</v>
      </c>
    </row>
    <row r="118" spans="1:35">
      <c r="A118" s="138" t="s">
        <v>622</v>
      </c>
      <c r="B118" s="139">
        <v>44733</v>
      </c>
      <c r="C118" s="138" t="s">
        <v>487</v>
      </c>
      <c r="D118" s="138"/>
      <c r="E118" s="9">
        <v>21</v>
      </c>
      <c r="F118" s="138"/>
      <c r="G118" s="9" t="s">
        <v>14</v>
      </c>
      <c r="H118" s="9" t="s">
        <v>230</v>
      </c>
      <c r="J118" s="9" t="s">
        <v>40</v>
      </c>
      <c r="L118" s="9" t="s">
        <v>493</v>
      </c>
      <c r="M118" s="9" t="s">
        <v>493</v>
      </c>
      <c r="N118" s="9" t="s">
        <v>493</v>
      </c>
      <c r="O118" s="9" t="s">
        <v>493</v>
      </c>
      <c r="P118" s="21">
        <v>13.487</v>
      </c>
      <c r="Q118" s="116">
        <f t="shared" si="2"/>
        <v>44733</v>
      </c>
      <c r="R118" s="140">
        <v>44893</v>
      </c>
      <c r="S118" s="141">
        <f t="shared" si="3"/>
        <v>160</v>
      </c>
      <c r="T118" s="21"/>
      <c r="U118" s="108">
        <v>0.29899999999999999</v>
      </c>
      <c r="V118" s="9" t="s">
        <v>32</v>
      </c>
      <c r="W118" s="9">
        <v>2</v>
      </c>
      <c r="X118" s="121" t="s">
        <v>106</v>
      </c>
      <c r="Y118" s="140">
        <v>44908</v>
      </c>
      <c r="Z118" s="21">
        <v>4.4465343575860921</v>
      </c>
      <c r="AA118" s="23">
        <v>2</v>
      </c>
      <c r="AB118" s="32" t="s">
        <v>156</v>
      </c>
      <c r="AC118" s="32" t="s">
        <v>185</v>
      </c>
      <c r="AD118" s="9" t="s">
        <v>177</v>
      </c>
      <c r="AE118" s="9" t="s">
        <v>225</v>
      </c>
      <c r="AF118" s="9">
        <v>210</v>
      </c>
      <c r="AG118" s="138" t="s">
        <v>622</v>
      </c>
      <c r="AH118" s="138" t="s">
        <v>1697</v>
      </c>
      <c r="AI118" s="9" t="s">
        <v>1789</v>
      </c>
    </row>
    <row r="119" spans="1:35">
      <c r="A119" s="138" t="s">
        <v>623</v>
      </c>
      <c r="B119" s="139">
        <v>44733</v>
      </c>
      <c r="C119" s="138" t="s">
        <v>487</v>
      </c>
      <c r="D119" s="138"/>
      <c r="E119" s="9">
        <v>22</v>
      </c>
      <c r="F119" s="138"/>
      <c r="G119" s="9" t="s">
        <v>12</v>
      </c>
      <c r="H119" s="9" t="s">
        <v>230</v>
      </c>
      <c r="J119" s="9" t="s">
        <v>254</v>
      </c>
      <c r="L119" s="9" t="s">
        <v>493</v>
      </c>
      <c r="M119" s="9" t="s">
        <v>493</v>
      </c>
      <c r="N119" s="9" t="s">
        <v>493</v>
      </c>
      <c r="O119" s="9" t="s">
        <v>493</v>
      </c>
      <c r="P119" s="21">
        <v>12.7012</v>
      </c>
      <c r="Q119" s="116">
        <f t="shared" si="2"/>
        <v>44733</v>
      </c>
      <c r="R119" s="140">
        <v>44894</v>
      </c>
      <c r="S119" s="141">
        <f t="shared" si="3"/>
        <v>161</v>
      </c>
      <c r="T119" s="21">
        <v>9.2999999999999999E-2</v>
      </c>
      <c r="U119" s="108">
        <v>0.60899999999999999</v>
      </c>
      <c r="V119" s="9" t="s">
        <v>32</v>
      </c>
      <c r="W119" s="9">
        <v>2</v>
      </c>
      <c r="X119" s="121" t="s">
        <v>103</v>
      </c>
      <c r="Y119" s="140">
        <v>44908</v>
      </c>
      <c r="Z119" s="21">
        <v>0.76</v>
      </c>
      <c r="AA119" s="23">
        <v>2</v>
      </c>
      <c r="AB119" s="32" t="s">
        <v>155</v>
      </c>
      <c r="AC119" s="32" t="s">
        <v>184</v>
      </c>
      <c r="AD119" s="9" t="s">
        <v>178</v>
      </c>
      <c r="AE119" s="9" t="s">
        <v>226</v>
      </c>
      <c r="AF119" s="9">
        <v>199</v>
      </c>
      <c r="AG119" s="138" t="s">
        <v>623</v>
      </c>
      <c r="AH119" s="138" t="s">
        <v>1697</v>
      </c>
      <c r="AI119" s="9" t="s">
        <v>1789</v>
      </c>
    </row>
    <row r="120" spans="1:35">
      <c r="A120" s="138" t="s">
        <v>624</v>
      </c>
      <c r="B120" s="139">
        <v>44733</v>
      </c>
      <c r="C120" s="138" t="s">
        <v>487</v>
      </c>
      <c r="D120" s="138"/>
      <c r="E120" s="9">
        <v>23</v>
      </c>
      <c r="F120" s="138"/>
      <c r="G120" s="9" t="s">
        <v>15</v>
      </c>
      <c r="H120" s="9" t="s">
        <v>230</v>
      </c>
      <c r="J120" s="9" t="s">
        <v>253</v>
      </c>
      <c r="L120" s="9" t="s">
        <v>493</v>
      </c>
      <c r="M120" s="9" t="s">
        <v>493</v>
      </c>
      <c r="N120" s="9" t="s">
        <v>493</v>
      </c>
      <c r="O120" s="9" t="s">
        <v>493</v>
      </c>
      <c r="P120" s="21">
        <v>11.9171</v>
      </c>
      <c r="Q120" s="116">
        <f t="shared" si="2"/>
        <v>44733</v>
      </c>
      <c r="R120" s="140">
        <v>44894</v>
      </c>
      <c r="S120" s="141">
        <f t="shared" si="3"/>
        <v>161</v>
      </c>
      <c r="T120" s="21"/>
      <c r="U120" s="108">
        <v>6.6000000000000003E-2</v>
      </c>
      <c r="V120" s="9" t="s">
        <v>34</v>
      </c>
      <c r="W120" s="9">
        <v>6</v>
      </c>
      <c r="X120" s="121" t="s">
        <v>44</v>
      </c>
      <c r="Y120" s="140">
        <v>44937</v>
      </c>
      <c r="Z120" s="21">
        <v>0.75</v>
      </c>
      <c r="AA120" s="23">
        <v>1</v>
      </c>
      <c r="AB120" s="32" t="s">
        <v>42</v>
      </c>
      <c r="AC120" s="32" t="s">
        <v>190</v>
      </c>
      <c r="AD120" s="9" t="s">
        <v>43</v>
      </c>
      <c r="AE120" s="9" t="s">
        <v>213</v>
      </c>
      <c r="AF120" s="9">
        <v>77</v>
      </c>
      <c r="AG120" s="138" t="s">
        <v>624</v>
      </c>
      <c r="AH120" s="138" t="s">
        <v>1697</v>
      </c>
      <c r="AI120" s="9" t="s">
        <v>1789</v>
      </c>
    </row>
    <row r="121" spans="1:35">
      <c r="A121" s="138" t="s">
        <v>625</v>
      </c>
      <c r="B121" s="139">
        <v>44733</v>
      </c>
      <c r="C121" s="138" t="s">
        <v>487</v>
      </c>
      <c r="D121" s="138"/>
      <c r="E121" s="9">
        <v>24</v>
      </c>
      <c r="F121" s="138"/>
      <c r="G121" s="9" t="s">
        <v>16</v>
      </c>
      <c r="H121" s="9" t="s">
        <v>3</v>
      </c>
      <c r="J121" s="9" t="s">
        <v>254</v>
      </c>
      <c r="L121" s="9" t="s">
        <v>493</v>
      </c>
      <c r="M121" s="9" t="s">
        <v>493</v>
      </c>
      <c r="N121" s="9" t="s">
        <v>493</v>
      </c>
      <c r="O121" s="9" t="s">
        <v>493</v>
      </c>
      <c r="P121" s="21">
        <v>10.827500000000001</v>
      </c>
      <c r="Q121" s="116">
        <f t="shared" si="2"/>
        <v>44733</v>
      </c>
      <c r="R121" s="140">
        <v>44894</v>
      </c>
      <c r="S121" s="141">
        <f t="shared" si="3"/>
        <v>161</v>
      </c>
      <c r="T121" s="21"/>
      <c r="U121" s="108">
        <v>7.1999999999999995E-2</v>
      </c>
      <c r="V121" s="9" t="s">
        <v>34</v>
      </c>
      <c r="W121" s="9">
        <v>5</v>
      </c>
      <c r="X121" s="121" t="s">
        <v>102</v>
      </c>
      <c r="Y121" s="140">
        <v>44902</v>
      </c>
      <c r="Z121" s="21">
        <v>1.82</v>
      </c>
      <c r="AA121" s="23">
        <v>4</v>
      </c>
      <c r="AB121" s="32" t="s">
        <v>198</v>
      </c>
      <c r="AC121" s="32" t="s">
        <v>199</v>
      </c>
      <c r="AD121" s="9" t="s">
        <v>176</v>
      </c>
      <c r="AE121" s="9" t="s">
        <v>224</v>
      </c>
      <c r="AF121" s="9">
        <v>328</v>
      </c>
      <c r="AG121" s="138" t="s">
        <v>625</v>
      </c>
      <c r="AH121" s="138" t="s">
        <v>1697</v>
      </c>
      <c r="AI121" s="9" t="s">
        <v>1789</v>
      </c>
    </row>
    <row r="122" spans="1:35">
      <c r="A122" s="138" t="s">
        <v>626</v>
      </c>
      <c r="B122" s="139">
        <v>44740</v>
      </c>
      <c r="C122" s="138" t="s">
        <v>487</v>
      </c>
      <c r="D122" s="138"/>
      <c r="E122" s="9">
        <v>1</v>
      </c>
      <c r="F122" s="138"/>
      <c r="G122" s="9" t="s">
        <v>9</v>
      </c>
      <c r="H122" s="9" t="s">
        <v>3</v>
      </c>
      <c r="J122" s="9" t="s">
        <v>253</v>
      </c>
      <c r="L122" s="9" t="s">
        <v>493</v>
      </c>
      <c r="M122" s="9" t="s">
        <v>493</v>
      </c>
      <c r="N122" s="9" t="s">
        <v>493</v>
      </c>
      <c r="O122" s="9" t="s">
        <v>493</v>
      </c>
      <c r="P122" s="21">
        <v>11.2492</v>
      </c>
      <c r="Q122" s="116">
        <f t="shared" si="2"/>
        <v>44740</v>
      </c>
      <c r="R122" s="140">
        <v>44860</v>
      </c>
      <c r="S122" s="141">
        <f t="shared" si="3"/>
        <v>120</v>
      </c>
      <c r="T122" s="21">
        <v>2.39</v>
      </c>
      <c r="V122" s="9" t="s">
        <v>32</v>
      </c>
      <c r="W122" s="9">
        <v>1</v>
      </c>
      <c r="X122" s="121" t="s">
        <v>46</v>
      </c>
      <c r="Y122" s="140">
        <v>44907</v>
      </c>
      <c r="Z122" s="21">
        <v>1.2581288476545565</v>
      </c>
      <c r="AA122" s="23">
        <v>3</v>
      </c>
      <c r="AB122" s="32" t="s">
        <v>196</v>
      </c>
      <c r="AC122" s="32" t="s">
        <v>197</v>
      </c>
      <c r="AD122" s="9" t="s">
        <v>163</v>
      </c>
      <c r="AE122" s="9" t="s">
        <v>209</v>
      </c>
      <c r="AF122" s="9">
        <v>121</v>
      </c>
      <c r="AG122" s="138" t="s">
        <v>626</v>
      </c>
      <c r="AH122" s="138" t="s">
        <v>1697</v>
      </c>
      <c r="AI122" s="9" t="s">
        <v>1790</v>
      </c>
    </row>
    <row r="123" spans="1:35">
      <c r="A123" s="138" t="s">
        <v>627</v>
      </c>
      <c r="B123" s="139">
        <v>44740</v>
      </c>
      <c r="C123" s="138" t="s">
        <v>487</v>
      </c>
      <c r="D123" s="138"/>
      <c r="E123" s="9">
        <v>2</v>
      </c>
      <c r="F123" s="138"/>
      <c r="G123" s="9" t="s">
        <v>11</v>
      </c>
      <c r="H123" s="9" t="s">
        <v>3</v>
      </c>
      <c r="J123" s="9" t="s">
        <v>40</v>
      </c>
      <c r="L123" s="9" t="s">
        <v>493</v>
      </c>
      <c r="M123" s="9" t="s">
        <v>493</v>
      </c>
      <c r="N123" s="9" t="s">
        <v>493</v>
      </c>
      <c r="O123" s="9" t="s">
        <v>493</v>
      </c>
      <c r="P123" s="21">
        <v>13.3415</v>
      </c>
      <c r="Q123" s="116">
        <f t="shared" si="2"/>
        <v>44740</v>
      </c>
      <c r="R123" s="140">
        <v>44861</v>
      </c>
      <c r="S123" s="141">
        <f t="shared" si="3"/>
        <v>121</v>
      </c>
      <c r="T123" s="21">
        <v>1.21</v>
      </c>
      <c r="V123" s="9" t="s">
        <v>32</v>
      </c>
      <c r="W123" s="9">
        <v>1</v>
      </c>
      <c r="X123" s="121" t="s">
        <v>56</v>
      </c>
      <c r="Y123" s="140">
        <v>44907</v>
      </c>
      <c r="Z123" s="21">
        <v>3.22</v>
      </c>
      <c r="AA123" s="23">
        <v>3</v>
      </c>
      <c r="AB123" s="32" t="s">
        <v>206</v>
      </c>
      <c r="AC123" s="32" t="s">
        <v>207</v>
      </c>
      <c r="AD123" s="9" t="s">
        <v>163</v>
      </c>
      <c r="AE123" s="9" t="s">
        <v>209</v>
      </c>
      <c r="AF123" s="9">
        <v>181</v>
      </c>
      <c r="AG123" s="138" t="s">
        <v>627</v>
      </c>
      <c r="AH123" s="138" t="s">
        <v>1697</v>
      </c>
    </row>
    <row r="124" spans="1:35">
      <c r="A124" s="138" t="s">
        <v>628</v>
      </c>
      <c r="B124" s="139">
        <v>44740</v>
      </c>
      <c r="C124" s="138" t="s">
        <v>487</v>
      </c>
      <c r="D124" s="138"/>
      <c r="E124" s="9">
        <v>3</v>
      </c>
      <c r="F124" s="138"/>
      <c r="G124" s="9" t="s">
        <v>12</v>
      </c>
      <c r="H124" s="9" t="s">
        <v>230</v>
      </c>
      <c r="J124" s="9" t="s">
        <v>254</v>
      </c>
      <c r="L124" s="9" t="s">
        <v>493</v>
      </c>
      <c r="M124" s="9" t="s">
        <v>493</v>
      </c>
      <c r="N124" s="9" t="s">
        <v>493</v>
      </c>
      <c r="O124" s="9" t="s">
        <v>493</v>
      </c>
      <c r="P124" s="21">
        <v>11.4438</v>
      </c>
      <c r="Q124" s="116">
        <f t="shared" si="2"/>
        <v>44740</v>
      </c>
      <c r="R124" s="140">
        <v>44860</v>
      </c>
      <c r="S124" s="141">
        <f t="shared" si="3"/>
        <v>120</v>
      </c>
      <c r="T124" s="21">
        <v>0</v>
      </c>
      <c r="V124" s="9" t="s">
        <v>34</v>
      </c>
      <c r="W124" s="9">
        <v>6</v>
      </c>
      <c r="X124" s="121" t="s">
        <v>143</v>
      </c>
      <c r="Y124" s="140">
        <v>44937</v>
      </c>
      <c r="Z124" s="21">
        <v>5.93</v>
      </c>
      <c r="AA124" s="23">
        <v>1</v>
      </c>
      <c r="AB124" s="32" t="s">
        <v>160</v>
      </c>
      <c r="AC124" s="32" t="s">
        <v>189</v>
      </c>
      <c r="AD124" s="9" t="s">
        <v>164</v>
      </c>
      <c r="AE124" s="9" t="s">
        <v>210</v>
      </c>
      <c r="AF124" s="9">
        <v>62</v>
      </c>
      <c r="AG124" s="138" t="s">
        <v>628</v>
      </c>
      <c r="AH124" s="138" t="s">
        <v>1697</v>
      </c>
      <c r="AI124" s="9" t="s">
        <v>1790</v>
      </c>
    </row>
    <row r="125" spans="1:35">
      <c r="A125" s="138" t="s">
        <v>629</v>
      </c>
      <c r="B125" s="139">
        <v>44740</v>
      </c>
      <c r="C125" s="138" t="s">
        <v>487</v>
      </c>
      <c r="D125" s="138"/>
      <c r="E125" s="9">
        <v>4</v>
      </c>
      <c r="F125" s="138"/>
      <c r="G125" s="9" t="s">
        <v>14</v>
      </c>
      <c r="H125" s="9" t="s">
        <v>230</v>
      </c>
      <c r="J125" s="9" t="s">
        <v>40</v>
      </c>
      <c r="L125" s="9" t="s">
        <v>493</v>
      </c>
      <c r="M125" s="9" t="s">
        <v>493</v>
      </c>
      <c r="N125" s="9" t="s">
        <v>493</v>
      </c>
      <c r="O125" s="9" t="s">
        <v>493</v>
      </c>
      <c r="P125" s="21">
        <v>11.937799999999999</v>
      </c>
      <c r="Q125" s="116">
        <f t="shared" si="2"/>
        <v>44740</v>
      </c>
      <c r="R125" s="140">
        <v>44861</v>
      </c>
      <c r="S125" s="141">
        <f t="shared" si="3"/>
        <v>121</v>
      </c>
      <c r="T125" s="21"/>
      <c r="U125" s="108">
        <v>6.3E-2</v>
      </c>
      <c r="V125" s="9" t="s">
        <v>34</v>
      </c>
      <c r="W125" s="9">
        <v>6</v>
      </c>
      <c r="X125" s="121" t="s">
        <v>85</v>
      </c>
      <c r="Y125" s="140">
        <v>44937</v>
      </c>
      <c r="Z125" s="21">
        <v>55.45</v>
      </c>
      <c r="AA125" s="23">
        <v>1</v>
      </c>
      <c r="AB125" s="32" t="s">
        <v>162</v>
      </c>
      <c r="AC125" s="32" t="s">
        <v>192</v>
      </c>
      <c r="AD125" s="9" t="s">
        <v>164</v>
      </c>
      <c r="AE125" s="9" t="s">
        <v>210</v>
      </c>
      <c r="AF125" s="9">
        <v>86</v>
      </c>
      <c r="AG125" s="138" t="s">
        <v>629</v>
      </c>
      <c r="AH125" s="138" t="s">
        <v>1697</v>
      </c>
      <c r="AI125" s="9" t="s">
        <v>18</v>
      </c>
    </row>
    <row r="126" spans="1:35">
      <c r="A126" s="138" t="s">
        <v>630</v>
      </c>
      <c r="B126" s="139">
        <v>44740</v>
      </c>
      <c r="C126" s="138" t="s">
        <v>487</v>
      </c>
      <c r="D126" s="138"/>
      <c r="E126" s="9">
        <v>5</v>
      </c>
      <c r="F126" s="138"/>
      <c r="G126" s="9" t="s">
        <v>15</v>
      </c>
      <c r="H126" s="9" t="s">
        <v>230</v>
      </c>
      <c r="J126" s="9" t="s">
        <v>253</v>
      </c>
      <c r="L126" s="9" t="s">
        <v>493</v>
      </c>
      <c r="M126" s="9" t="s">
        <v>493</v>
      </c>
      <c r="N126" s="9" t="s">
        <v>493</v>
      </c>
      <c r="O126" s="9" t="s">
        <v>493</v>
      </c>
      <c r="P126" s="21">
        <v>11.6752</v>
      </c>
      <c r="Q126" s="116">
        <f t="shared" si="2"/>
        <v>44740</v>
      </c>
      <c r="R126" s="140">
        <v>44861</v>
      </c>
      <c r="S126" s="141">
        <f t="shared" si="3"/>
        <v>121</v>
      </c>
      <c r="T126" s="21">
        <v>6.3E-2</v>
      </c>
      <c r="U126" s="108">
        <v>0.216</v>
      </c>
      <c r="V126" s="9" t="s">
        <v>33</v>
      </c>
      <c r="W126" s="9">
        <v>3</v>
      </c>
      <c r="X126" s="121" t="s">
        <v>54</v>
      </c>
      <c r="Y126" s="140">
        <v>44938</v>
      </c>
      <c r="Z126" s="21">
        <v>18.899999999999999</v>
      </c>
      <c r="AA126" s="23">
        <v>1</v>
      </c>
      <c r="AB126" s="32" t="s">
        <v>51</v>
      </c>
      <c r="AC126" s="32" t="s">
        <v>190</v>
      </c>
      <c r="AD126" s="9" t="s">
        <v>69</v>
      </c>
      <c r="AE126" s="9" t="s">
        <v>214</v>
      </c>
      <c r="AF126" s="9">
        <v>83</v>
      </c>
      <c r="AG126" s="138" t="s">
        <v>630</v>
      </c>
      <c r="AH126" s="138" t="s">
        <v>1697</v>
      </c>
      <c r="AI126" s="9" t="s">
        <v>1789</v>
      </c>
    </row>
    <row r="127" spans="1:35">
      <c r="A127" s="138" t="s">
        <v>631</v>
      </c>
      <c r="B127" s="139">
        <v>44740</v>
      </c>
      <c r="C127" s="138" t="s">
        <v>487</v>
      </c>
      <c r="D127" s="138"/>
      <c r="E127" s="9">
        <v>6</v>
      </c>
      <c r="F127" s="138"/>
      <c r="G127" s="9" t="s">
        <v>16</v>
      </c>
      <c r="H127" s="9" t="s">
        <v>3</v>
      </c>
      <c r="J127" s="9" t="s">
        <v>254</v>
      </c>
      <c r="L127" s="9" t="s">
        <v>493</v>
      </c>
      <c r="M127" s="9" t="s">
        <v>493</v>
      </c>
      <c r="N127" s="9" t="s">
        <v>493</v>
      </c>
      <c r="O127" s="9" t="s">
        <v>493</v>
      </c>
      <c r="P127" s="21">
        <v>11.2902</v>
      </c>
      <c r="Q127" s="116">
        <f t="shared" si="2"/>
        <v>44740</v>
      </c>
      <c r="R127" s="140">
        <v>44865</v>
      </c>
      <c r="S127" s="141">
        <f t="shared" si="3"/>
        <v>125</v>
      </c>
      <c r="T127" s="21">
        <v>0.107</v>
      </c>
      <c r="U127" s="108">
        <v>0.314</v>
      </c>
      <c r="V127" s="9" t="s">
        <v>32</v>
      </c>
      <c r="W127" s="9">
        <v>1</v>
      </c>
      <c r="X127" s="121" t="s">
        <v>99</v>
      </c>
      <c r="Y127" s="140">
        <v>44907</v>
      </c>
      <c r="Z127" s="21">
        <v>1.3691147142981011</v>
      </c>
      <c r="AA127" s="23">
        <v>3</v>
      </c>
      <c r="AB127" s="32" t="s">
        <v>194</v>
      </c>
      <c r="AC127" s="32" t="s">
        <v>195</v>
      </c>
      <c r="AD127" s="9" t="s">
        <v>43</v>
      </c>
      <c r="AE127" s="9" t="s">
        <v>213</v>
      </c>
      <c r="AF127" s="9">
        <v>113</v>
      </c>
      <c r="AG127" s="138" t="s">
        <v>631</v>
      </c>
      <c r="AH127" s="138" t="s">
        <v>1697</v>
      </c>
      <c r="AI127" s="9" t="s">
        <v>1793</v>
      </c>
    </row>
    <row r="128" spans="1:35">
      <c r="A128" s="138" t="s">
        <v>632</v>
      </c>
      <c r="B128" s="139">
        <v>44740</v>
      </c>
      <c r="C128" s="138" t="s">
        <v>487</v>
      </c>
      <c r="D128" s="138"/>
      <c r="E128" s="9">
        <v>7</v>
      </c>
      <c r="F128" s="138"/>
      <c r="G128" s="9" t="s">
        <v>14</v>
      </c>
      <c r="H128" s="9" t="s">
        <v>230</v>
      </c>
      <c r="J128" s="9" t="s">
        <v>40</v>
      </c>
      <c r="L128" s="9" t="s">
        <v>493</v>
      </c>
      <c r="M128" s="9" t="s">
        <v>493</v>
      </c>
      <c r="N128" s="9" t="s">
        <v>493</v>
      </c>
      <c r="O128" s="9" t="s">
        <v>493</v>
      </c>
      <c r="P128" s="21">
        <v>11.144299999999999</v>
      </c>
      <c r="Q128" s="116">
        <f t="shared" si="2"/>
        <v>44740</v>
      </c>
      <c r="R128" s="140">
        <v>44861</v>
      </c>
      <c r="S128" s="141">
        <f t="shared" si="3"/>
        <v>121</v>
      </c>
      <c r="T128" s="21"/>
      <c r="U128" s="108">
        <v>0</v>
      </c>
      <c r="V128" s="9" t="s">
        <v>34</v>
      </c>
      <c r="W128" s="9">
        <v>6</v>
      </c>
      <c r="X128" s="121" t="s">
        <v>82</v>
      </c>
      <c r="Y128" s="140">
        <v>44937</v>
      </c>
      <c r="Z128" s="21">
        <v>2</v>
      </c>
      <c r="AA128" s="23">
        <v>1</v>
      </c>
      <c r="AB128" s="32" t="s">
        <v>159</v>
      </c>
      <c r="AC128" s="32" t="s">
        <v>188</v>
      </c>
      <c r="AD128" s="9" t="s">
        <v>165</v>
      </c>
      <c r="AE128" s="9" t="s">
        <v>211</v>
      </c>
      <c r="AF128" s="9">
        <v>51</v>
      </c>
      <c r="AG128" s="138" t="s">
        <v>632</v>
      </c>
      <c r="AH128" s="138" t="s">
        <v>1697</v>
      </c>
      <c r="AI128" s="9" t="s">
        <v>1792</v>
      </c>
    </row>
    <row r="129" spans="1:35">
      <c r="A129" s="138" t="s">
        <v>633</v>
      </c>
      <c r="B129" s="139">
        <v>44740</v>
      </c>
      <c r="C129" s="138" t="s">
        <v>487</v>
      </c>
      <c r="D129" s="138"/>
      <c r="E129" s="9">
        <v>8</v>
      </c>
      <c r="F129" s="138"/>
      <c r="G129" s="9" t="s">
        <v>15</v>
      </c>
      <c r="H129" s="9" t="s">
        <v>230</v>
      </c>
      <c r="J129" s="9" t="s">
        <v>253</v>
      </c>
      <c r="L129" s="9" t="s">
        <v>493</v>
      </c>
      <c r="M129" s="9" t="s">
        <v>493</v>
      </c>
      <c r="N129" s="9" t="s">
        <v>493</v>
      </c>
      <c r="O129" s="9" t="s">
        <v>493</v>
      </c>
      <c r="P129" s="21">
        <v>10.464499999999999</v>
      </c>
      <c r="Q129" s="116">
        <f t="shared" si="2"/>
        <v>44740</v>
      </c>
      <c r="R129" s="140">
        <v>44865</v>
      </c>
      <c r="S129" s="141">
        <f t="shared" si="3"/>
        <v>125</v>
      </c>
      <c r="T129" s="21">
        <v>0.05</v>
      </c>
      <c r="U129" s="108">
        <v>0.16800000000000001</v>
      </c>
      <c r="V129" s="9" t="s">
        <v>34</v>
      </c>
      <c r="W129" s="9">
        <v>5</v>
      </c>
      <c r="X129" s="121" t="s">
        <v>52</v>
      </c>
      <c r="Y129" s="140">
        <v>44902</v>
      </c>
      <c r="Z129" s="21">
        <v>5.5</v>
      </c>
      <c r="AA129" s="23">
        <v>4</v>
      </c>
      <c r="AB129" s="32" t="s">
        <v>202</v>
      </c>
      <c r="AC129" s="32" t="s">
        <v>203</v>
      </c>
      <c r="AD129" s="9" t="s">
        <v>173</v>
      </c>
      <c r="AE129" s="9" t="s">
        <v>221</v>
      </c>
      <c r="AF129" s="9">
        <v>349</v>
      </c>
      <c r="AG129" s="138" t="s">
        <v>633</v>
      </c>
      <c r="AH129" s="138" t="s">
        <v>1697</v>
      </c>
      <c r="AI129" s="9" t="s">
        <v>1789</v>
      </c>
    </row>
    <row r="130" spans="1:35">
      <c r="A130" s="138" t="s">
        <v>634</v>
      </c>
      <c r="B130" s="139">
        <v>44740</v>
      </c>
      <c r="C130" s="138" t="s">
        <v>487</v>
      </c>
      <c r="D130" s="138"/>
      <c r="E130" s="9">
        <v>9</v>
      </c>
      <c r="F130" s="138"/>
      <c r="G130" s="9" t="s">
        <v>12</v>
      </c>
      <c r="H130" s="9" t="s">
        <v>230</v>
      </c>
      <c r="J130" s="9" t="s">
        <v>254</v>
      </c>
      <c r="L130" s="9" t="s">
        <v>493</v>
      </c>
      <c r="M130" s="9" t="s">
        <v>493</v>
      </c>
      <c r="N130" s="9" t="s">
        <v>493</v>
      </c>
      <c r="O130" s="9" t="s">
        <v>493</v>
      </c>
      <c r="P130" s="21">
        <v>11.425000000000001</v>
      </c>
      <c r="Q130" s="116">
        <f t="shared" si="2"/>
        <v>44740</v>
      </c>
      <c r="R130" s="140">
        <v>44886</v>
      </c>
      <c r="S130" s="141">
        <f t="shared" si="3"/>
        <v>146</v>
      </c>
      <c r="T130" s="21">
        <v>0.629</v>
      </c>
      <c r="V130" s="9" t="s">
        <v>32</v>
      </c>
      <c r="W130" s="9">
        <v>1</v>
      </c>
      <c r="X130" s="121" t="s">
        <v>116</v>
      </c>
      <c r="Y130" s="140">
        <v>44907</v>
      </c>
      <c r="Z130" s="21">
        <v>1.9283794329315875</v>
      </c>
      <c r="AA130" s="23">
        <v>3</v>
      </c>
      <c r="AB130" s="32" t="s">
        <v>202</v>
      </c>
      <c r="AC130" s="32" t="s">
        <v>203</v>
      </c>
      <c r="AD130" s="9" t="s">
        <v>169</v>
      </c>
      <c r="AE130" s="9" t="s">
        <v>217</v>
      </c>
      <c r="AF130" s="9">
        <v>163</v>
      </c>
      <c r="AG130" s="138" t="s">
        <v>634</v>
      </c>
      <c r="AH130" s="138" t="s">
        <v>1697</v>
      </c>
      <c r="AI130" s="9" t="s">
        <v>1790</v>
      </c>
    </row>
    <row r="131" spans="1:35">
      <c r="A131" s="138" t="s">
        <v>635</v>
      </c>
      <c r="B131" s="139">
        <v>44740</v>
      </c>
      <c r="C131" s="138" t="s">
        <v>487</v>
      </c>
      <c r="D131" s="138"/>
      <c r="E131" s="9">
        <v>10</v>
      </c>
      <c r="F131" s="138"/>
      <c r="G131" s="9" t="s">
        <v>11</v>
      </c>
      <c r="H131" s="9" t="s">
        <v>3</v>
      </c>
      <c r="J131" s="9" t="s">
        <v>40</v>
      </c>
      <c r="L131" s="9" t="s">
        <v>493</v>
      </c>
      <c r="M131" s="9" t="s">
        <v>493</v>
      </c>
      <c r="N131" s="9" t="s">
        <v>493</v>
      </c>
      <c r="O131" s="9" t="s">
        <v>493</v>
      </c>
      <c r="P131" s="21">
        <v>10.417</v>
      </c>
      <c r="Q131" s="116">
        <f t="shared" ref="Q131:Q194" si="4">B131</f>
        <v>44740</v>
      </c>
      <c r="R131" s="140">
        <v>44861</v>
      </c>
      <c r="S131" s="141">
        <f t="shared" ref="S131:S194" si="5">R131-Q131</f>
        <v>121</v>
      </c>
      <c r="T131" s="21"/>
      <c r="U131" s="108">
        <v>5.3999999999999999E-2</v>
      </c>
      <c r="V131" s="9" t="s">
        <v>34</v>
      </c>
      <c r="W131" s="9">
        <v>5</v>
      </c>
      <c r="X131" s="121" t="s">
        <v>78</v>
      </c>
      <c r="Y131" s="140">
        <v>44902</v>
      </c>
      <c r="Z131" s="21">
        <v>0.53</v>
      </c>
      <c r="AA131" s="23">
        <v>4</v>
      </c>
      <c r="AB131" s="32" t="s">
        <v>194</v>
      </c>
      <c r="AC131" s="32" t="s">
        <v>195</v>
      </c>
      <c r="AD131" s="9" t="s">
        <v>174</v>
      </c>
      <c r="AE131" s="9" t="s">
        <v>222</v>
      </c>
      <c r="AF131" s="9">
        <v>302</v>
      </c>
      <c r="AG131" s="138" t="s">
        <v>635</v>
      </c>
      <c r="AH131" s="138" t="s">
        <v>1697</v>
      </c>
      <c r="AI131" s="9" t="s">
        <v>1789</v>
      </c>
    </row>
    <row r="132" spans="1:35">
      <c r="A132" s="138" t="s">
        <v>636</v>
      </c>
      <c r="B132" s="139">
        <v>44740</v>
      </c>
      <c r="C132" s="138" t="s">
        <v>487</v>
      </c>
      <c r="D132" s="138"/>
      <c r="E132" s="9">
        <v>11</v>
      </c>
      <c r="F132" s="138"/>
      <c r="G132" s="9" t="s">
        <v>9</v>
      </c>
      <c r="H132" s="9" t="s">
        <v>3</v>
      </c>
      <c r="J132" s="9" t="s">
        <v>253</v>
      </c>
      <c r="L132" s="9" t="s">
        <v>493</v>
      </c>
      <c r="M132" s="9" t="s">
        <v>493</v>
      </c>
      <c r="N132" s="9" t="s">
        <v>493</v>
      </c>
      <c r="O132" s="9" t="s">
        <v>493</v>
      </c>
      <c r="P132" s="21">
        <v>9.5310000000000006</v>
      </c>
      <c r="Q132" s="116">
        <f t="shared" si="4"/>
        <v>44740</v>
      </c>
      <c r="R132" s="140">
        <v>44886</v>
      </c>
      <c r="S132" s="141">
        <f t="shared" si="5"/>
        <v>146</v>
      </c>
      <c r="T132" s="21"/>
      <c r="U132" s="108">
        <v>0.93200000000000005</v>
      </c>
      <c r="V132" s="9" t="s">
        <v>32</v>
      </c>
      <c r="W132" s="9">
        <v>1</v>
      </c>
      <c r="X132" s="121" t="s">
        <v>123</v>
      </c>
      <c r="Y132" s="140">
        <v>44907</v>
      </c>
      <c r="Z132" s="21">
        <v>0.83</v>
      </c>
      <c r="AA132" s="23">
        <v>3</v>
      </c>
      <c r="AB132" s="32" t="s">
        <v>198</v>
      </c>
      <c r="AC132" s="32" t="s">
        <v>199</v>
      </c>
      <c r="AD132" s="9" t="s">
        <v>170</v>
      </c>
      <c r="AE132" s="9" t="s">
        <v>218</v>
      </c>
      <c r="AF132" s="9">
        <v>141</v>
      </c>
      <c r="AG132" s="138" t="s">
        <v>636</v>
      </c>
      <c r="AH132" s="138" t="s">
        <v>1697</v>
      </c>
      <c r="AI132" s="9" t="s">
        <v>1789</v>
      </c>
    </row>
    <row r="133" spans="1:35">
      <c r="A133" s="138" t="s">
        <v>637</v>
      </c>
      <c r="B133" s="139">
        <v>44740</v>
      </c>
      <c r="C133" s="138" t="s">
        <v>487</v>
      </c>
      <c r="D133" s="138"/>
      <c r="E133" s="9">
        <v>12</v>
      </c>
      <c r="F133" s="138"/>
      <c r="G133" s="9" t="s">
        <v>16</v>
      </c>
      <c r="H133" s="9" t="s">
        <v>3</v>
      </c>
      <c r="J133" s="9" t="s">
        <v>254</v>
      </c>
      <c r="L133" s="9" t="s">
        <v>493</v>
      </c>
      <c r="M133" s="9" t="s">
        <v>493</v>
      </c>
      <c r="N133" s="9" t="s">
        <v>493</v>
      </c>
      <c r="O133" s="9" t="s">
        <v>493</v>
      </c>
      <c r="P133" s="21">
        <v>11.726699999999999</v>
      </c>
      <c r="Q133" s="116">
        <f t="shared" si="4"/>
        <v>44740</v>
      </c>
      <c r="R133" s="140">
        <v>44861</v>
      </c>
      <c r="S133" s="141">
        <f t="shared" si="5"/>
        <v>121</v>
      </c>
      <c r="T133" s="21"/>
      <c r="U133" s="108">
        <v>0.16500000000000001</v>
      </c>
      <c r="V133" s="9" t="s">
        <v>34</v>
      </c>
      <c r="W133" s="9">
        <v>5</v>
      </c>
      <c r="X133" s="121" t="s">
        <v>143</v>
      </c>
      <c r="Y133" s="140">
        <v>44902</v>
      </c>
      <c r="Z133" s="21">
        <v>6.11</v>
      </c>
      <c r="AA133" s="23">
        <v>4</v>
      </c>
      <c r="AB133" s="32" t="s">
        <v>198</v>
      </c>
      <c r="AC133" s="32" t="s">
        <v>199</v>
      </c>
      <c r="AD133" s="9" t="s">
        <v>174</v>
      </c>
      <c r="AE133" s="9" t="s">
        <v>222</v>
      </c>
      <c r="AF133" s="9">
        <v>326</v>
      </c>
      <c r="AG133" s="138" t="s">
        <v>637</v>
      </c>
      <c r="AH133" s="138" t="s">
        <v>1697</v>
      </c>
      <c r="AI133" s="9" t="s">
        <v>1789</v>
      </c>
    </row>
    <row r="134" spans="1:35">
      <c r="A134" s="138" t="s">
        <v>638</v>
      </c>
      <c r="B134" s="139">
        <v>44740</v>
      </c>
      <c r="C134" s="138" t="s">
        <v>487</v>
      </c>
      <c r="D134" s="138"/>
      <c r="E134" s="9">
        <v>13</v>
      </c>
      <c r="F134" s="138"/>
      <c r="G134" s="9" t="s">
        <v>11</v>
      </c>
      <c r="H134" s="9" t="s">
        <v>3</v>
      </c>
      <c r="J134" s="9" t="s">
        <v>40</v>
      </c>
      <c r="L134" s="9" t="s">
        <v>493</v>
      </c>
      <c r="M134" s="9" t="s">
        <v>493</v>
      </c>
      <c r="N134" s="9" t="s">
        <v>493</v>
      </c>
      <c r="O134" s="9" t="s">
        <v>493</v>
      </c>
      <c r="P134" s="21">
        <v>10.7438</v>
      </c>
      <c r="Q134" s="116">
        <f t="shared" si="4"/>
        <v>44740</v>
      </c>
      <c r="R134" s="140">
        <v>44890</v>
      </c>
      <c r="S134" s="141">
        <f t="shared" si="5"/>
        <v>150</v>
      </c>
      <c r="T134" s="21"/>
      <c r="U134" s="108">
        <v>0.32500000000000001</v>
      </c>
      <c r="V134" s="9" t="s">
        <v>32</v>
      </c>
      <c r="W134" s="9">
        <v>1</v>
      </c>
      <c r="X134" s="121" t="s">
        <v>70</v>
      </c>
      <c r="Y134" s="140">
        <v>44907</v>
      </c>
      <c r="Z134" s="21">
        <v>0.75088875401023147</v>
      </c>
      <c r="AA134" s="23">
        <v>3</v>
      </c>
      <c r="AB134" s="32" t="s">
        <v>194</v>
      </c>
      <c r="AC134" s="32" t="s">
        <v>195</v>
      </c>
      <c r="AD134" s="9" t="s">
        <v>69</v>
      </c>
      <c r="AE134" s="9" t="s">
        <v>214</v>
      </c>
      <c r="AF134" s="9">
        <v>119</v>
      </c>
      <c r="AG134" s="138" t="s">
        <v>638</v>
      </c>
      <c r="AH134" s="138" t="s">
        <v>1697</v>
      </c>
      <c r="AI134" s="9" t="s">
        <v>1789</v>
      </c>
    </row>
    <row r="135" spans="1:35">
      <c r="A135" s="138" t="s">
        <v>639</v>
      </c>
      <c r="B135" s="139">
        <v>44740</v>
      </c>
      <c r="C135" s="138" t="s">
        <v>487</v>
      </c>
      <c r="D135" s="138"/>
      <c r="E135" s="9">
        <v>14</v>
      </c>
      <c r="F135" s="138"/>
      <c r="G135" s="9" t="s">
        <v>16</v>
      </c>
      <c r="H135" s="9" t="s">
        <v>3</v>
      </c>
      <c r="J135" s="9" t="s">
        <v>254</v>
      </c>
      <c r="L135" s="9" t="s">
        <v>493</v>
      </c>
      <c r="M135" s="9" t="s">
        <v>493</v>
      </c>
      <c r="N135" s="9" t="s">
        <v>493</v>
      </c>
      <c r="O135" s="9" t="s">
        <v>493</v>
      </c>
      <c r="P135" s="21">
        <v>11.9595</v>
      </c>
      <c r="Q135" s="116">
        <f t="shared" si="4"/>
        <v>44740</v>
      </c>
      <c r="R135" s="140">
        <v>44890</v>
      </c>
      <c r="S135" s="141">
        <f t="shared" si="5"/>
        <v>150</v>
      </c>
      <c r="T135" s="21">
        <v>0.36199999999999999</v>
      </c>
      <c r="V135" s="9" t="s">
        <v>32</v>
      </c>
      <c r="W135" s="9">
        <v>1</v>
      </c>
      <c r="X135" s="121" t="s">
        <v>128</v>
      </c>
      <c r="Y135" s="140">
        <v>44907</v>
      </c>
      <c r="Z135" s="21">
        <v>7.75</v>
      </c>
      <c r="AA135" s="23">
        <v>3</v>
      </c>
      <c r="AB135" s="32" t="s">
        <v>194</v>
      </c>
      <c r="AC135" s="32" t="s">
        <v>195</v>
      </c>
      <c r="AD135" s="9" t="s">
        <v>167</v>
      </c>
      <c r="AE135" s="9" t="s">
        <v>215</v>
      </c>
      <c r="AF135" s="9">
        <v>120</v>
      </c>
      <c r="AG135" s="138" t="s">
        <v>639</v>
      </c>
      <c r="AH135" s="138" t="s">
        <v>1697</v>
      </c>
      <c r="AI135" s="9" t="s">
        <v>1790</v>
      </c>
    </row>
    <row r="136" spans="1:35">
      <c r="A136" s="138" t="s">
        <v>640</v>
      </c>
      <c r="B136" s="139">
        <v>44740</v>
      </c>
      <c r="C136" s="138" t="s">
        <v>487</v>
      </c>
      <c r="D136" s="138"/>
      <c r="E136" s="9">
        <v>15</v>
      </c>
      <c r="F136" s="138"/>
      <c r="G136" s="9" t="s">
        <v>9</v>
      </c>
      <c r="H136" s="9" t="s">
        <v>3</v>
      </c>
      <c r="J136" s="9" t="s">
        <v>253</v>
      </c>
      <c r="L136" s="9" t="s">
        <v>493</v>
      </c>
      <c r="M136" s="9" t="s">
        <v>493</v>
      </c>
      <c r="N136" s="9" t="s">
        <v>493</v>
      </c>
      <c r="O136" s="9" t="s">
        <v>493</v>
      </c>
      <c r="P136" s="21">
        <v>10.469900000000001</v>
      </c>
      <c r="Q136" s="116">
        <f t="shared" si="4"/>
        <v>44740</v>
      </c>
      <c r="R136" s="140">
        <v>44890</v>
      </c>
      <c r="S136" s="141">
        <f t="shared" si="5"/>
        <v>150</v>
      </c>
      <c r="T136" s="21">
        <v>0.56200000000000006</v>
      </c>
      <c r="V136" s="9" t="s">
        <v>32</v>
      </c>
      <c r="W136" s="9">
        <v>2</v>
      </c>
      <c r="X136" s="121" t="s">
        <v>46</v>
      </c>
      <c r="Y136" s="140">
        <v>44908</v>
      </c>
      <c r="Z136" s="21">
        <v>5.7</v>
      </c>
      <c r="AA136" s="23">
        <v>2</v>
      </c>
      <c r="AB136" s="32" t="s">
        <v>157</v>
      </c>
      <c r="AC136" s="32" t="s">
        <v>186</v>
      </c>
      <c r="AD136" s="9" t="s">
        <v>173</v>
      </c>
      <c r="AE136" s="9" t="s">
        <v>221</v>
      </c>
      <c r="AF136" s="9">
        <v>217</v>
      </c>
      <c r="AG136" s="138" t="s">
        <v>640</v>
      </c>
      <c r="AH136" s="138" t="s">
        <v>1697</v>
      </c>
      <c r="AI136" s="9" t="s">
        <v>1790</v>
      </c>
    </row>
    <row r="137" spans="1:35">
      <c r="A137" s="138" t="s">
        <v>641</v>
      </c>
      <c r="B137" s="139">
        <v>44740</v>
      </c>
      <c r="C137" s="138" t="s">
        <v>487</v>
      </c>
      <c r="D137" s="138"/>
      <c r="E137" s="9">
        <v>16</v>
      </c>
      <c r="F137" s="138"/>
      <c r="G137" s="9" t="s">
        <v>15</v>
      </c>
      <c r="H137" s="9" t="s">
        <v>230</v>
      </c>
      <c r="J137" s="9" t="s">
        <v>253</v>
      </c>
      <c r="L137" s="9" t="s">
        <v>493</v>
      </c>
      <c r="M137" s="9" t="s">
        <v>493</v>
      </c>
      <c r="N137" s="9" t="s">
        <v>493</v>
      </c>
      <c r="O137" s="9" t="s">
        <v>493</v>
      </c>
      <c r="P137" s="21">
        <v>10.960100000000001</v>
      </c>
      <c r="Q137" s="116">
        <f t="shared" si="4"/>
        <v>44740</v>
      </c>
      <c r="R137" s="140">
        <v>44890</v>
      </c>
      <c r="S137" s="141">
        <f t="shared" si="5"/>
        <v>150</v>
      </c>
      <c r="T137" s="21">
        <v>0.20599999999999999</v>
      </c>
      <c r="V137" s="9" t="s">
        <v>32</v>
      </c>
      <c r="W137" s="9">
        <v>2</v>
      </c>
      <c r="X137" s="121" t="s">
        <v>78</v>
      </c>
      <c r="Y137" s="140">
        <v>44908</v>
      </c>
      <c r="Z137" s="21">
        <v>19.103661645015556</v>
      </c>
      <c r="AA137" s="23">
        <v>2</v>
      </c>
      <c r="AB137" s="32" t="s">
        <v>156</v>
      </c>
      <c r="AC137" s="32" t="s">
        <v>185</v>
      </c>
      <c r="AD137" s="9" t="s">
        <v>174</v>
      </c>
      <c r="AE137" s="9" t="s">
        <v>222</v>
      </c>
      <c r="AF137" s="9">
        <v>206</v>
      </c>
      <c r="AG137" s="138" t="s">
        <v>641</v>
      </c>
      <c r="AH137" s="138" t="s">
        <v>1697</v>
      </c>
    </row>
    <row r="138" spans="1:35">
      <c r="A138" s="138" t="s">
        <v>642</v>
      </c>
      <c r="B138" s="139">
        <v>44740</v>
      </c>
      <c r="C138" s="138" t="s">
        <v>487</v>
      </c>
      <c r="D138" s="138"/>
      <c r="E138" s="9">
        <v>17</v>
      </c>
      <c r="F138" s="138"/>
      <c r="G138" s="9" t="s">
        <v>14</v>
      </c>
      <c r="H138" s="9" t="s">
        <v>230</v>
      </c>
      <c r="J138" s="9" t="s">
        <v>40</v>
      </c>
      <c r="L138" s="9" t="s">
        <v>493</v>
      </c>
      <c r="M138" s="9" t="s">
        <v>493</v>
      </c>
      <c r="N138" s="9" t="s">
        <v>493</v>
      </c>
      <c r="O138" s="9" t="s">
        <v>493</v>
      </c>
      <c r="P138" s="21">
        <v>11.483499999999999</v>
      </c>
      <c r="Q138" s="116">
        <f t="shared" si="4"/>
        <v>44740</v>
      </c>
      <c r="R138" s="140">
        <v>44893</v>
      </c>
      <c r="S138" s="141">
        <f t="shared" si="5"/>
        <v>153</v>
      </c>
      <c r="T138" s="21"/>
      <c r="U138" s="108">
        <v>0</v>
      </c>
      <c r="V138" s="9" t="s">
        <v>34</v>
      </c>
      <c r="W138" s="9">
        <v>6</v>
      </c>
      <c r="X138" s="121" t="s">
        <v>94</v>
      </c>
      <c r="Y138" s="140">
        <v>44937</v>
      </c>
      <c r="Z138" s="21">
        <v>0.11</v>
      </c>
      <c r="AA138" s="23">
        <v>1</v>
      </c>
      <c r="AB138" s="32" t="s">
        <v>160</v>
      </c>
      <c r="AC138" s="32" t="s">
        <v>189</v>
      </c>
      <c r="AD138" s="9" t="s">
        <v>166</v>
      </c>
      <c r="AE138" s="9" t="s">
        <v>212</v>
      </c>
      <c r="AF138" s="9">
        <v>64</v>
      </c>
      <c r="AG138" s="138" t="s">
        <v>642</v>
      </c>
      <c r="AH138" s="138" t="s">
        <v>1697</v>
      </c>
      <c r="AI138" s="9" t="s">
        <v>1792</v>
      </c>
    </row>
    <row r="139" spans="1:35">
      <c r="A139" s="138" t="s">
        <v>643</v>
      </c>
      <c r="B139" s="139">
        <v>44740</v>
      </c>
      <c r="C139" s="138" t="s">
        <v>487</v>
      </c>
      <c r="D139" s="138"/>
      <c r="E139" s="9">
        <v>18</v>
      </c>
      <c r="F139" s="138"/>
      <c r="G139" s="9" t="s">
        <v>12</v>
      </c>
      <c r="H139" s="9" t="s">
        <v>230</v>
      </c>
      <c r="J139" s="9" t="s">
        <v>254</v>
      </c>
      <c r="L139" s="9" t="s">
        <v>493</v>
      </c>
      <c r="M139" s="9" t="s">
        <v>493</v>
      </c>
      <c r="N139" s="9" t="s">
        <v>493</v>
      </c>
      <c r="O139" s="9" t="s">
        <v>493</v>
      </c>
      <c r="P139" s="21">
        <v>10.369</v>
      </c>
      <c r="Q139" s="116">
        <f t="shared" si="4"/>
        <v>44740</v>
      </c>
      <c r="R139" s="140">
        <v>44893</v>
      </c>
      <c r="S139" s="141">
        <f t="shared" si="5"/>
        <v>153</v>
      </c>
      <c r="T139" s="21"/>
      <c r="U139" s="108">
        <v>0.11700000000000001</v>
      </c>
      <c r="V139" s="9" t="s">
        <v>34</v>
      </c>
      <c r="W139" s="9">
        <v>5</v>
      </c>
      <c r="X139" s="121" t="s">
        <v>82</v>
      </c>
      <c r="Y139" s="140">
        <v>44902</v>
      </c>
      <c r="Z139" s="21">
        <v>0.46100000000000002</v>
      </c>
      <c r="AA139" s="23">
        <v>4</v>
      </c>
      <c r="AB139" s="32" t="s">
        <v>194</v>
      </c>
      <c r="AC139" s="32" t="s">
        <v>195</v>
      </c>
      <c r="AD139" s="9" t="s">
        <v>175</v>
      </c>
      <c r="AE139" s="9" t="s">
        <v>223</v>
      </c>
      <c r="AF139" s="9">
        <v>303</v>
      </c>
      <c r="AG139" s="138" t="s">
        <v>643</v>
      </c>
      <c r="AH139" s="138" t="s">
        <v>1697</v>
      </c>
      <c r="AI139" s="9" t="s">
        <v>1789</v>
      </c>
    </row>
    <row r="140" spans="1:35">
      <c r="A140" s="138" t="s">
        <v>644</v>
      </c>
      <c r="B140" s="139">
        <v>44740</v>
      </c>
      <c r="C140" s="138" t="s">
        <v>487</v>
      </c>
      <c r="D140" s="138"/>
      <c r="E140" s="9">
        <v>19</v>
      </c>
      <c r="F140" s="138"/>
      <c r="G140" s="9" t="s">
        <v>9</v>
      </c>
      <c r="H140" s="9" t="s">
        <v>3</v>
      </c>
      <c r="J140" s="9" t="s">
        <v>253</v>
      </c>
      <c r="L140" s="9" t="s">
        <v>493</v>
      </c>
      <c r="M140" s="9" t="s">
        <v>493</v>
      </c>
      <c r="N140" s="9" t="s">
        <v>493</v>
      </c>
      <c r="O140" s="9" t="s">
        <v>493</v>
      </c>
      <c r="P140" s="21">
        <v>9.7121999999999993</v>
      </c>
      <c r="Q140" s="116">
        <f t="shared" si="4"/>
        <v>44740</v>
      </c>
      <c r="R140" s="140">
        <v>44893</v>
      </c>
      <c r="S140" s="141">
        <f t="shared" si="5"/>
        <v>153</v>
      </c>
      <c r="T140" s="21">
        <v>0.51400000000000001</v>
      </c>
      <c r="V140" s="9" t="s">
        <v>32</v>
      </c>
      <c r="W140" s="9">
        <v>2</v>
      </c>
      <c r="X140" s="121" t="s">
        <v>88</v>
      </c>
      <c r="Y140" s="140">
        <v>44908</v>
      </c>
      <c r="Z140" s="21">
        <v>4.2725051417722852</v>
      </c>
      <c r="AA140" s="23">
        <v>2</v>
      </c>
      <c r="AB140" s="32" t="s">
        <v>159</v>
      </c>
      <c r="AC140" s="32" t="s">
        <v>188</v>
      </c>
      <c r="AD140" s="9" t="s">
        <v>176</v>
      </c>
      <c r="AE140" s="9" t="s">
        <v>224</v>
      </c>
      <c r="AF140" s="9">
        <v>244</v>
      </c>
      <c r="AG140" s="138" t="s">
        <v>644</v>
      </c>
      <c r="AH140" s="138" t="s">
        <v>1697</v>
      </c>
    </row>
    <row r="141" spans="1:35">
      <c r="A141" s="138" t="s">
        <v>645</v>
      </c>
      <c r="B141" s="139">
        <v>44740</v>
      </c>
      <c r="C141" s="138" t="s">
        <v>487</v>
      </c>
      <c r="D141" s="138"/>
      <c r="E141" s="9">
        <v>20</v>
      </c>
      <c r="F141" s="138"/>
      <c r="G141" s="9" t="s">
        <v>11</v>
      </c>
      <c r="H141" s="9" t="s">
        <v>3</v>
      </c>
      <c r="J141" s="9" t="s">
        <v>40</v>
      </c>
      <c r="L141" s="9" t="s">
        <v>493</v>
      </c>
      <c r="M141" s="9" t="s">
        <v>493</v>
      </c>
      <c r="N141" s="9" t="s">
        <v>493</v>
      </c>
      <c r="O141" s="9" t="s">
        <v>493</v>
      </c>
      <c r="P141" s="21">
        <v>10.126799999999999</v>
      </c>
      <c r="Q141" s="116">
        <f t="shared" si="4"/>
        <v>44740</v>
      </c>
      <c r="R141" s="140">
        <v>44894</v>
      </c>
      <c r="S141" s="141">
        <f t="shared" si="5"/>
        <v>154</v>
      </c>
      <c r="T141" s="21">
        <v>0.14899999999999999</v>
      </c>
      <c r="U141" s="108">
        <v>0.91</v>
      </c>
      <c r="V141" s="9" t="s">
        <v>34</v>
      </c>
      <c r="W141" s="9">
        <v>6</v>
      </c>
      <c r="X141" s="121" t="s">
        <v>100</v>
      </c>
      <c r="Y141" s="140">
        <v>44937</v>
      </c>
      <c r="Z141" s="21">
        <v>32.83</v>
      </c>
      <c r="AA141" s="23">
        <v>1</v>
      </c>
      <c r="AB141" s="9" t="s">
        <v>157</v>
      </c>
      <c r="AC141" s="9" t="s">
        <v>186</v>
      </c>
      <c r="AD141" s="9" t="s">
        <v>43</v>
      </c>
      <c r="AE141" s="9" t="s">
        <v>213</v>
      </c>
      <c r="AF141" s="9">
        <v>29</v>
      </c>
      <c r="AG141" s="138" t="s">
        <v>645</v>
      </c>
      <c r="AH141" s="138" t="s">
        <v>1697</v>
      </c>
      <c r="AI141" s="9" t="s">
        <v>1789</v>
      </c>
    </row>
    <row r="142" spans="1:35">
      <c r="A142" s="138" t="s">
        <v>646</v>
      </c>
      <c r="B142" s="139">
        <v>44740</v>
      </c>
      <c r="C142" s="138" t="s">
        <v>487</v>
      </c>
      <c r="D142" s="138"/>
      <c r="E142" s="9">
        <v>21</v>
      </c>
      <c r="F142" s="138"/>
      <c r="G142" s="9" t="s">
        <v>14</v>
      </c>
      <c r="H142" s="9" t="s">
        <v>230</v>
      </c>
      <c r="J142" s="9" t="s">
        <v>40</v>
      </c>
      <c r="L142" s="9" t="s">
        <v>493</v>
      </c>
      <c r="M142" s="9" t="s">
        <v>493</v>
      </c>
      <c r="N142" s="9" t="s">
        <v>493</v>
      </c>
      <c r="O142" s="9" t="s">
        <v>493</v>
      </c>
      <c r="P142" s="21">
        <v>12.071199999999999</v>
      </c>
      <c r="Q142" s="116">
        <f t="shared" si="4"/>
        <v>44740</v>
      </c>
      <c r="R142" s="140">
        <v>44893</v>
      </c>
      <c r="S142" s="141">
        <f t="shared" si="5"/>
        <v>153</v>
      </c>
      <c r="T142" s="21">
        <v>0.57999999999999996</v>
      </c>
      <c r="V142" s="9" t="s">
        <v>32</v>
      </c>
      <c r="W142" s="9">
        <v>2</v>
      </c>
      <c r="X142" s="121" t="s">
        <v>124</v>
      </c>
      <c r="Y142" s="140">
        <v>44908</v>
      </c>
      <c r="Z142" s="21">
        <v>7.54</v>
      </c>
      <c r="AA142" s="23">
        <v>2</v>
      </c>
      <c r="AB142" s="32" t="s">
        <v>159</v>
      </c>
      <c r="AC142" s="32" t="s">
        <v>188</v>
      </c>
      <c r="AD142" s="9" t="s">
        <v>180</v>
      </c>
      <c r="AE142" s="9" t="s">
        <v>228</v>
      </c>
      <c r="AF142" s="9">
        <v>249</v>
      </c>
      <c r="AG142" s="138" t="s">
        <v>646</v>
      </c>
      <c r="AH142" s="138" t="s">
        <v>1697</v>
      </c>
    </row>
    <row r="143" spans="1:35">
      <c r="A143" s="138" t="s">
        <v>647</v>
      </c>
      <c r="B143" s="139">
        <v>44740</v>
      </c>
      <c r="C143" s="138" t="s">
        <v>487</v>
      </c>
      <c r="D143" s="138"/>
      <c r="E143" s="9">
        <v>22</v>
      </c>
      <c r="F143" s="138"/>
      <c r="G143" s="9" t="s">
        <v>12</v>
      </c>
      <c r="H143" s="9" t="s">
        <v>230</v>
      </c>
      <c r="J143" s="9" t="s">
        <v>254</v>
      </c>
      <c r="L143" s="9" t="s">
        <v>493</v>
      </c>
      <c r="M143" s="9" t="s">
        <v>493</v>
      </c>
      <c r="N143" s="9" t="s">
        <v>493</v>
      </c>
      <c r="O143" s="9" t="s">
        <v>493</v>
      </c>
      <c r="P143" s="21">
        <v>14.2692</v>
      </c>
      <c r="Q143" s="116">
        <f t="shared" si="4"/>
        <v>44740</v>
      </c>
      <c r="R143" s="140">
        <v>44894</v>
      </c>
      <c r="S143" s="141">
        <f t="shared" si="5"/>
        <v>154</v>
      </c>
      <c r="T143" s="21"/>
      <c r="U143" s="108">
        <v>0.11700000000000001</v>
      </c>
      <c r="V143" s="9" t="s">
        <v>34</v>
      </c>
      <c r="W143" s="9">
        <v>5</v>
      </c>
      <c r="X143" s="121" t="s">
        <v>91</v>
      </c>
      <c r="Y143" s="140">
        <v>44902</v>
      </c>
      <c r="Z143" s="21">
        <v>1.7</v>
      </c>
      <c r="AA143" s="23">
        <v>4</v>
      </c>
      <c r="AB143" s="32" t="s">
        <v>204</v>
      </c>
      <c r="AC143" s="32" t="s">
        <v>205</v>
      </c>
      <c r="AD143" s="9" t="s">
        <v>175</v>
      </c>
      <c r="AE143" s="9" t="s">
        <v>223</v>
      </c>
      <c r="AF143" s="9">
        <v>363</v>
      </c>
      <c r="AG143" s="138" t="s">
        <v>647</v>
      </c>
      <c r="AH143" s="138" t="s">
        <v>1697</v>
      </c>
      <c r="AI143" s="9" t="s">
        <v>1789</v>
      </c>
    </row>
    <row r="144" spans="1:35">
      <c r="A144" s="138" t="s">
        <v>648</v>
      </c>
      <c r="B144" s="139">
        <v>44740</v>
      </c>
      <c r="C144" s="138" t="s">
        <v>487</v>
      </c>
      <c r="D144" s="138"/>
      <c r="E144" s="9">
        <v>23</v>
      </c>
      <c r="F144" s="138"/>
      <c r="G144" s="9" t="s">
        <v>15</v>
      </c>
      <c r="H144" s="9" t="s">
        <v>230</v>
      </c>
      <c r="J144" s="9" t="s">
        <v>253</v>
      </c>
      <c r="L144" s="9" t="s">
        <v>493</v>
      </c>
      <c r="M144" s="9" t="s">
        <v>493</v>
      </c>
      <c r="N144" s="9" t="s">
        <v>493</v>
      </c>
      <c r="O144" s="9" t="s">
        <v>493</v>
      </c>
      <c r="P144" s="21">
        <v>11.166499999999999</v>
      </c>
      <c r="Q144" s="116">
        <f t="shared" si="4"/>
        <v>44740</v>
      </c>
      <c r="R144" s="140">
        <v>44894</v>
      </c>
      <c r="S144" s="141">
        <f t="shared" si="5"/>
        <v>154</v>
      </c>
      <c r="T144" s="21">
        <v>0.19800000000000001</v>
      </c>
      <c r="U144" s="108">
        <v>0.94699999999999995</v>
      </c>
      <c r="V144" s="9" t="s">
        <v>32</v>
      </c>
      <c r="W144" s="9">
        <v>2</v>
      </c>
      <c r="X144" s="121" t="s">
        <v>142</v>
      </c>
      <c r="Y144" s="140">
        <v>44908</v>
      </c>
      <c r="Z144" s="21">
        <v>6.26</v>
      </c>
      <c r="AA144" s="23">
        <v>4</v>
      </c>
      <c r="AB144" s="32" t="s">
        <v>42</v>
      </c>
      <c r="AC144" s="32" t="s">
        <v>193</v>
      </c>
      <c r="AD144" s="9" t="s">
        <v>176</v>
      </c>
      <c r="AE144" s="9" t="s">
        <v>224</v>
      </c>
      <c r="AF144" s="9">
        <v>292</v>
      </c>
      <c r="AG144" s="138" t="s">
        <v>648</v>
      </c>
      <c r="AH144" s="138" t="s">
        <v>1697</v>
      </c>
      <c r="AI144" s="9" t="s">
        <v>1789</v>
      </c>
    </row>
    <row r="145" spans="1:35">
      <c r="A145" s="138" t="s">
        <v>649</v>
      </c>
      <c r="B145" s="139">
        <v>44740</v>
      </c>
      <c r="C145" s="138" t="s">
        <v>487</v>
      </c>
      <c r="D145" s="138"/>
      <c r="E145" s="9">
        <v>24</v>
      </c>
      <c r="F145" s="138"/>
      <c r="G145" s="9" t="s">
        <v>16</v>
      </c>
      <c r="H145" s="9" t="s">
        <v>3</v>
      </c>
      <c r="J145" s="9" t="s">
        <v>254</v>
      </c>
      <c r="L145" s="9" t="s">
        <v>493</v>
      </c>
      <c r="M145" s="9" t="s">
        <v>493</v>
      </c>
      <c r="N145" s="9" t="s">
        <v>493</v>
      </c>
      <c r="O145" s="9" t="s">
        <v>493</v>
      </c>
      <c r="P145" s="21">
        <v>10.835000000000001</v>
      </c>
      <c r="Q145" s="116">
        <f t="shared" si="4"/>
        <v>44740</v>
      </c>
      <c r="R145" s="140">
        <v>44894</v>
      </c>
      <c r="S145" s="141">
        <f t="shared" si="5"/>
        <v>154</v>
      </c>
      <c r="T145" s="21">
        <v>0.24099999999999999</v>
      </c>
      <c r="V145" s="9" t="s">
        <v>32</v>
      </c>
      <c r="W145" s="9">
        <v>2</v>
      </c>
      <c r="X145" s="121" t="s">
        <v>121</v>
      </c>
      <c r="Y145" s="140">
        <v>44908</v>
      </c>
      <c r="Z145" s="21">
        <v>6.2</v>
      </c>
      <c r="AA145" s="23">
        <v>2</v>
      </c>
      <c r="AB145" s="32" t="s">
        <v>160</v>
      </c>
      <c r="AC145" s="32" t="s">
        <v>189</v>
      </c>
      <c r="AD145" s="9" t="s">
        <v>179</v>
      </c>
      <c r="AE145" s="9" t="s">
        <v>227</v>
      </c>
      <c r="AF145" s="9">
        <v>260</v>
      </c>
      <c r="AG145" s="138" t="s">
        <v>649</v>
      </c>
      <c r="AH145" s="138" t="s">
        <v>1697</v>
      </c>
      <c r="AI145" s="9" t="s">
        <v>1790</v>
      </c>
    </row>
    <row r="146" spans="1:35">
      <c r="A146" s="138" t="s">
        <v>650</v>
      </c>
      <c r="B146" s="139">
        <v>44746</v>
      </c>
      <c r="C146" s="138" t="s">
        <v>487</v>
      </c>
      <c r="D146" s="138"/>
      <c r="E146" s="9">
        <v>1</v>
      </c>
      <c r="F146" s="138"/>
      <c r="G146" s="9" t="s">
        <v>9</v>
      </c>
      <c r="H146" s="9" t="s">
        <v>3</v>
      </c>
      <c r="J146" s="9" t="s">
        <v>253</v>
      </c>
      <c r="L146" s="9" t="s">
        <v>493</v>
      </c>
      <c r="M146" s="9" t="s">
        <v>493</v>
      </c>
      <c r="N146" s="9" t="s">
        <v>493</v>
      </c>
      <c r="O146" s="9" t="s">
        <v>493</v>
      </c>
      <c r="P146" s="21">
        <v>12.436400000000001</v>
      </c>
      <c r="Q146" s="116">
        <f t="shared" si="4"/>
        <v>44746</v>
      </c>
      <c r="R146" s="140">
        <v>44860</v>
      </c>
      <c r="S146" s="141">
        <f t="shared" si="5"/>
        <v>114</v>
      </c>
      <c r="T146" s="21">
        <v>13.6</v>
      </c>
      <c r="V146" s="9" t="s">
        <v>32</v>
      </c>
      <c r="W146" s="9">
        <v>1</v>
      </c>
      <c r="X146" s="121" t="s">
        <v>48</v>
      </c>
      <c r="Y146" s="140">
        <v>44907</v>
      </c>
      <c r="Z146" s="21">
        <v>2.0567068412381859</v>
      </c>
      <c r="AA146" s="23">
        <v>3</v>
      </c>
      <c r="AB146" s="32" t="s">
        <v>198</v>
      </c>
      <c r="AC146" s="32" t="s">
        <v>199</v>
      </c>
      <c r="AD146" s="9" t="s">
        <v>163</v>
      </c>
      <c r="AE146" s="9" t="s">
        <v>209</v>
      </c>
      <c r="AF146" s="9">
        <v>133</v>
      </c>
      <c r="AG146" s="138" t="s">
        <v>650</v>
      </c>
      <c r="AH146" s="138" t="s">
        <v>1697</v>
      </c>
    </row>
    <row r="147" spans="1:35">
      <c r="A147" s="138" t="s">
        <v>651</v>
      </c>
      <c r="B147" s="139">
        <v>44746</v>
      </c>
      <c r="C147" s="138" t="s">
        <v>487</v>
      </c>
      <c r="D147" s="138"/>
      <c r="E147" s="9">
        <v>2</v>
      </c>
      <c r="F147" s="138"/>
      <c r="G147" s="9" t="s">
        <v>11</v>
      </c>
      <c r="H147" s="9" t="s">
        <v>3</v>
      </c>
      <c r="J147" s="9" t="s">
        <v>40</v>
      </c>
      <c r="L147" s="9" t="s">
        <v>493</v>
      </c>
      <c r="M147" s="9" t="s">
        <v>493</v>
      </c>
      <c r="N147" s="9" t="s">
        <v>493</v>
      </c>
      <c r="O147" s="9" t="s">
        <v>493</v>
      </c>
      <c r="P147" s="21">
        <v>13.9336</v>
      </c>
      <c r="Q147" s="116">
        <f t="shared" si="4"/>
        <v>44746</v>
      </c>
      <c r="R147" s="140">
        <v>44861</v>
      </c>
      <c r="S147" s="141">
        <f t="shared" si="5"/>
        <v>115</v>
      </c>
      <c r="T147" s="21">
        <v>9.34</v>
      </c>
      <c r="V147" s="9" t="s">
        <v>32</v>
      </c>
      <c r="W147" s="9">
        <v>1</v>
      </c>
      <c r="X147" s="121" t="s">
        <v>79</v>
      </c>
      <c r="Y147" s="140">
        <v>44907</v>
      </c>
      <c r="Z147" s="21">
        <v>1.2321165351599757</v>
      </c>
      <c r="AA147" s="23">
        <v>3</v>
      </c>
      <c r="AB147" s="32" t="s">
        <v>42</v>
      </c>
      <c r="AC147" s="32" t="s">
        <v>193</v>
      </c>
      <c r="AD147" s="9" t="s">
        <v>164</v>
      </c>
      <c r="AE147" s="9" t="s">
        <v>210</v>
      </c>
      <c r="AF147" s="9">
        <v>98</v>
      </c>
      <c r="AG147" s="138" t="s">
        <v>651</v>
      </c>
      <c r="AH147" s="138" t="s">
        <v>1697</v>
      </c>
      <c r="AI147" s="9" t="s">
        <v>1790</v>
      </c>
    </row>
    <row r="148" spans="1:35">
      <c r="A148" s="138" t="s">
        <v>652</v>
      </c>
      <c r="B148" s="139">
        <v>44746</v>
      </c>
      <c r="C148" s="138" t="s">
        <v>487</v>
      </c>
      <c r="D148" s="138"/>
      <c r="E148" s="9">
        <v>3</v>
      </c>
      <c r="F148" s="138"/>
      <c r="G148" s="9" t="s">
        <v>12</v>
      </c>
      <c r="H148" s="9" t="s">
        <v>230</v>
      </c>
      <c r="J148" s="9" t="s">
        <v>254</v>
      </c>
      <c r="L148" s="9" t="s">
        <v>493</v>
      </c>
      <c r="M148" s="9" t="s">
        <v>493</v>
      </c>
      <c r="N148" s="9" t="s">
        <v>493</v>
      </c>
      <c r="O148" s="9" t="s">
        <v>493</v>
      </c>
      <c r="P148" s="21">
        <v>12.9116</v>
      </c>
      <c r="Q148" s="116">
        <f t="shared" si="4"/>
        <v>44746</v>
      </c>
      <c r="R148" s="140">
        <v>44860</v>
      </c>
      <c r="S148" s="141">
        <f t="shared" si="5"/>
        <v>114</v>
      </c>
      <c r="T148" s="21">
        <v>16.7</v>
      </c>
      <c r="V148" s="9" t="s">
        <v>32</v>
      </c>
      <c r="W148" s="9">
        <v>1</v>
      </c>
      <c r="X148" s="121" t="s">
        <v>84</v>
      </c>
      <c r="Y148" s="140">
        <v>44907</v>
      </c>
      <c r="Z148" s="21">
        <v>1.8893609641897164</v>
      </c>
      <c r="AA148" s="23">
        <v>3</v>
      </c>
      <c r="AB148" s="32" t="s">
        <v>204</v>
      </c>
      <c r="AC148" s="32" t="s">
        <v>205</v>
      </c>
      <c r="AD148" s="9" t="s">
        <v>164</v>
      </c>
      <c r="AE148" s="9" t="s">
        <v>210</v>
      </c>
      <c r="AF148" s="9">
        <v>170</v>
      </c>
      <c r="AG148" s="138" t="s">
        <v>652</v>
      </c>
      <c r="AH148" s="138" t="s">
        <v>1697</v>
      </c>
      <c r="AI148" s="9" t="s">
        <v>1790</v>
      </c>
    </row>
    <row r="149" spans="1:35">
      <c r="A149" s="138" t="s">
        <v>653</v>
      </c>
      <c r="B149" s="139">
        <v>44746</v>
      </c>
      <c r="C149" s="138" t="s">
        <v>487</v>
      </c>
      <c r="D149" s="138"/>
      <c r="E149" s="9">
        <v>4</v>
      </c>
      <c r="F149" s="138"/>
      <c r="G149" s="9" t="s">
        <v>14</v>
      </c>
      <c r="H149" s="9" t="s">
        <v>230</v>
      </c>
      <c r="J149" s="9" t="s">
        <v>40</v>
      </c>
      <c r="L149" s="9" t="s">
        <v>493</v>
      </c>
      <c r="M149" s="9" t="s">
        <v>493</v>
      </c>
      <c r="N149" s="9" t="s">
        <v>493</v>
      </c>
      <c r="O149" s="9" t="s">
        <v>493</v>
      </c>
      <c r="P149" s="21">
        <v>13.4499</v>
      </c>
      <c r="Q149" s="116">
        <f t="shared" si="4"/>
        <v>44746</v>
      </c>
      <c r="R149" s="140">
        <v>44861</v>
      </c>
      <c r="S149" s="141">
        <f t="shared" si="5"/>
        <v>115</v>
      </c>
      <c r="T149" s="21">
        <v>45.6</v>
      </c>
      <c r="V149" s="9" t="s">
        <v>32</v>
      </c>
      <c r="W149" s="9">
        <v>1</v>
      </c>
      <c r="X149" s="121" t="s">
        <v>89</v>
      </c>
      <c r="Y149" s="140">
        <v>44907</v>
      </c>
      <c r="Z149" s="21">
        <v>3.6235151304951012</v>
      </c>
      <c r="AA149" s="23">
        <v>3</v>
      </c>
      <c r="AB149" s="32" t="s">
        <v>200</v>
      </c>
      <c r="AC149" s="32" t="s">
        <v>201</v>
      </c>
      <c r="AD149" s="9" t="s">
        <v>165</v>
      </c>
      <c r="AE149" s="9" t="s">
        <v>211</v>
      </c>
      <c r="AF149" s="9">
        <v>147</v>
      </c>
      <c r="AG149" s="138" t="s">
        <v>653</v>
      </c>
      <c r="AH149" s="138" t="s">
        <v>1697</v>
      </c>
    </row>
    <row r="150" spans="1:35">
      <c r="A150" s="138" t="s">
        <v>654</v>
      </c>
      <c r="B150" s="139">
        <v>44746</v>
      </c>
      <c r="C150" s="138" t="s">
        <v>487</v>
      </c>
      <c r="D150" s="138"/>
      <c r="E150" s="9">
        <v>5</v>
      </c>
      <c r="F150" s="138"/>
      <c r="G150" s="9" t="s">
        <v>15</v>
      </c>
      <c r="H150" s="9" t="s">
        <v>230</v>
      </c>
      <c r="J150" s="9" t="s">
        <v>253</v>
      </c>
      <c r="L150" s="9" t="s">
        <v>493</v>
      </c>
      <c r="M150" s="9" t="s">
        <v>493</v>
      </c>
      <c r="N150" s="9" t="s">
        <v>493</v>
      </c>
      <c r="O150" s="9" t="s">
        <v>493</v>
      </c>
      <c r="P150" s="21">
        <v>12.716799999999999</v>
      </c>
      <c r="Q150" s="116">
        <f t="shared" si="4"/>
        <v>44746</v>
      </c>
      <c r="R150" s="140">
        <v>44861</v>
      </c>
      <c r="S150" s="141">
        <f t="shared" si="5"/>
        <v>115</v>
      </c>
      <c r="T150" s="21">
        <v>11.5</v>
      </c>
      <c r="V150" s="9" t="s">
        <v>32</v>
      </c>
      <c r="W150" s="9">
        <v>1</v>
      </c>
      <c r="X150" s="121" t="s">
        <v>94</v>
      </c>
      <c r="Y150" s="140">
        <v>44907</v>
      </c>
      <c r="Z150" s="21">
        <v>1.21</v>
      </c>
      <c r="AA150" s="23">
        <v>3</v>
      </c>
      <c r="AB150" s="32" t="s">
        <v>196</v>
      </c>
      <c r="AC150" s="32" t="s">
        <v>197</v>
      </c>
      <c r="AD150" s="9" t="s">
        <v>166</v>
      </c>
      <c r="AE150" s="9" t="s">
        <v>212</v>
      </c>
      <c r="AF150" s="9">
        <v>124</v>
      </c>
      <c r="AG150" s="138" t="s">
        <v>654</v>
      </c>
      <c r="AH150" s="138" t="s">
        <v>1697</v>
      </c>
    </row>
    <row r="151" spans="1:35">
      <c r="A151" s="138" t="s">
        <v>655</v>
      </c>
      <c r="B151" s="139">
        <v>44746</v>
      </c>
      <c r="C151" s="138" t="s">
        <v>487</v>
      </c>
      <c r="D151" s="138"/>
      <c r="E151" s="9">
        <v>6</v>
      </c>
      <c r="F151" s="138"/>
      <c r="G151" s="9" t="s">
        <v>16</v>
      </c>
      <c r="H151" s="9" t="s">
        <v>3</v>
      </c>
      <c r="J151" s="9" t="s">
        <v>254</v>
      </c>
      <c r="L151" s="9" t="s">
        <v>493</v>
      </c>
      <c r="M151" s="9" t="s">
        <v>493</v>
      </c>
      <c r="N151" s="9" t="s">
        <v>493</v>
      </c>
      <c r="O151" s="9" t="s">
        <v>493</v>
      </c>
      <c r="P151" s="21">
        <v>13.0137</v>
      </c>
      <c r="Q151" s="116">
        <f t="shared" si="4"/>
        <v>44746</v>
      </c>
      <c r="R151" s="140">
        <v>44865</v>
      </c>
      <c r="S151" s="141">
        <f t="shared" si="5"/>
        <v>119</v>
      </c>
      <c r="T151" s="21">
        <v>8.4</v>
      </c>
      <c r="V151" s="9" t="s">
        <v>32</v>
      </c>
      <c r="W151" s="9">
        <v>1</v>
      </c>
      <c r="X151" s="121" t="s">
        <v>100</v>
      </c>
      <c r="Y151" s="140">
        <v>44907</v>
      </c>
      <c r="Z151" s="21">
        <v>4.1732420012139082</v>
      </c>
      <c r="AA151" s="23">
        <v>3</v>
      </c>
      <c r="AB151" s="32" t="s">
        <v>196</v>
      </c>
      <c r="AC151" s="32" t="s">
        <v>197</v>
      </c>
      <c r="AD151" s="9" t="s">
        <v>43</v>
      </c>
      <c r="AE151" s="9" t="s">
        <v>213</v>
      </c>
      <c r="AF151" s="9">
        <v>125</v>
      </c>
      <c r="AG151" s="138" t="s">
        <v>655</v>
      </c>
      <c r="AH151" s="138" t="s">
        <v>1697</v>
      </c>
      <c r="AI151" s="9" t="s">
        <v>1790</v>
      </c>
    </row>
    <row r="152" spans="1:35">
      <c r="A152" s="138" t="s">
        <v>656</v>
      </c>
      <c r="B152" s="139">
        <v>44746</v>
      </c>
      <c r="C152" s="138" t="s">
        <v>487</v>
      </c>
      <c r="D152" s="138"/>
      <c r="E152" s="9">
        <v>7</v>
      </c>
      <c r="F152" s="138"/>
      <c r="G152" s="9" t="s">
        <v>14</v>
      </c>
      <c r="H152" s="9" t="s">
        <v>230</v>
      </c>
      <c r="J152" s="9" t="s">
        <v>40</v>
      </c>
      <c r="L152" s="9" t="s">
        <v>493</v>
      </c>
      <c r="M152" s="9" t="s">
        <v>493</v>
      </c>
      <c r="N152" s="9" t="s">
        <v>493</v>
      </c>
      <c r="O152" s="9" t="s">
        <v>493</v>
      </c>
      <c r="P152" s="21">
        <v>12.9778</v>
      </c>
      <c r="Q152" s="116">
        <f t="shared" si="4"/>
        <v>44746</v>
      </c>
      <c r="R152" s="140">
        <v>44861</v>
      </c>
      <c r="S152" s="141">
        <f t="shared" si="5"/>
        <v>115</v>
      </c>
      <c r="T152" s="21">
        <v>19.600000000000001</v>
      </c>
      <c r="V152" s="9" t="s">
        <v>32</v>
      </c>
      <c r="W152" s="9">
        <v>1</v>
      </c>
      <c r="X152" s="121" t="s">
        <v>95</v>
      </c>
      <c r="Y152" s="140">
        <v>44907</v>
      </c>
      <c r="Z152" s="21">
        <v>2.8812971473163964</v>
      </c>
      <c r="AA152" s="23">
        <v>3</v>
      </c>
      <c r="AB152" s="32" t="s">
        <v>42</v>
      </c>
      <c r="AC152" s="32" t="s">
        <v>193</v>
      </c>
      <c r="AD152" s="9" t="s">
        <v>168</v>
      </c>
      <c r="AE152" s="9" t="s">
        <v>216</v>
      </c>
      <c r="AF152" s="9">
        <v>102</v>
      </c>
      <c r="AG152" s="138" t="s">
        <v>656</v>
      </c>
      <c r="AH152" s="138" t="s">
        <v>1697</v>
      </c>
      <c r="AI152" s="9" t="s">
        <v>1790</v>
      </c>
    </row>
    <row r="153" spans="1:35">
      <c r="A153" s="138" t="s">
        <v>657</v>
      </c>
      <c r="B153" s="139">
        <v>44746</v>
      </c>
      <c r="C153" s="138" t="s">
        <v>487</v>
      </c>
      <c r="D153" s="138"/>
      <c r="E153" s="9">
        <v>8</v>
      </c>
      <c r="F153" s="138"/>
      <c r="G153" s="9" t="s">
        <v>15</v>
      </c>
      <c r="H153" s="9" t="s">
        <v>230</v>
      </c>
      <c r="J153" s="9" t="s">
        <v>253</v>
      </c>
      <c r="L153" s="9" t="s">
        <v>493</v>
      </c>
      <c r="M153" s="9" t="s">
        <v>493</v>
      </c>
      <c r="N153" s="9" t="s">
        <v>493</v>
      </c>
      <c r="O153" s="9" t="s">
        <v>493</v>
      </c>
      <c r="P153" s="21">
        <v>12.31</v>
      </c>
      <c r="Q153" s="116">
        <f t="shared" si="4"/>
        <v>44746</v>
      </c>
      <c r="R153" s="140">
        <v>44865</v>
      </c>
      <c r="S153" s="141">
        <f t="shared" si="5"/>
        <v>119</v>
      </c>
      <c r="T153" s="21">
        <v>11.8</v>
      </c>
      <c r="V153" s="9" t="s">
        <v>32</v>
      </c>
      <c r="W153" s="9">
        <v>2</v>
      </c>
      <c r="X153" s="121" t="s">
        <v>114</v>
      </c>
      <c r="Y153" s="140">
        <v>44908</v>
      </c>
      <c r="Z153" s="21">
        <v>21.68</v>
      </c>
      <c r="AA153" s="23">
        <v>2</v>
      </c>
      <c r="AB153" s="32" t="s">
        <v>156</v>
      </c>
      <c r="AC153" s="32" t="s">
        <v>185</v>
      </c>
      <c r="AD153" s="9" t="s">
        <v>180</v>
      </c>
      <c r="AE153" s="9" t="s">
        <v>228</v>
      </c>
      <c r="AF153" s="9">
        <v>213</v>
      </c>
      <c r="AG153" s="138" t="s">
        <v>657</v>
      </c>
      <c r="AH153" s="138" t="s">
        <v>1697</v>
      </c>
    </row>
    <row r="154" spans="1:35">
      <c r="A154" s="138" t="s">
        <v>658</v>
      </c>
      <c r="B154" s="139">
        <v>44746</v>
      </c>
      <c r="C154" s="138" t="s">
        <v>487</v>
      </c>
      <c r="D154" s="138"/>
      <c r="E154" s="9">
        <v>9</v>
      </c>
      <c r="F154" s="138"/>
      <c r="G154" s="9" t="s">
        <v>12</v>
      </c>
      <c r="H154" s="9" t="s">
        <v>230</v>
      </c>
      <c r="J154" s="9" t="s">
        <v>254</v>
      </c>
      <c r="L154" s="9" t="s">
        <v>493</v>
      </c>
      <c r="M154" s="9" t="s">
        <v>493</v>
      </c>
      <c r="N154" s="9" t="s">
        <v>493</v>
      </c>
      <c r="O154" s="9" t="s">
        <v>493</v>
      </c>
      <c r="P154" s="21">
        <v>12.4062</v>
      </c>
      <c r="Q154" s="116">
        <f t="shared" si="4"/>
        <v>44746</v>
      </c>
      <c r="R154" s="140">
        <v>44886</v>
      </c>
      <c r="S154" s="141">
        <f t="shared" si="5"/>
        <v>140</v>
      </c>
      <c r="T154" s="21">
        <v>7.49</v>
      </c>
      <c r="V154" s="9" t="s">
        <v>32</v>
      </c>
      <c r="W154" s="9">
        <v>1</v>
      </c>
      <c r="X154" s="121" t="s">
        <v>117</v>
      </c>
      <c r="Y154" s="140">
        <v>44907</v>
      </c>
      <c r="Z154" s="21">
        <v>4.552154686551634</v>
      </c>
      <c r="AA154" s="23">
        <v>3</v>
      </c>
      <c r="AB154" s="32" t="s">
        <v>204</v>
      </c>
      <c r="AC154" s="32" t="s">
        <v>205</v>
      </c>
      <c r="AD154" s="9" t="s">
        <v>169</v>
      </c>
      <c r="AE154" s="9" t="s">
        <v>217</v>
      </c>
      <c r="AF154" s="9">
        <v>175</v>
      </c>
      <c r="AG154" s="138" t="s">
        <v>658</v>
      </c>
      <c r="AH154" s="138" t="s">
        <v>1697</v>
      </c>
      <c r="AI154" s="9" t="s">
        <v>1790</v>
      </c>
    </row>
    <row r="155" spans="1:35">
      <c r="A155" s="138" t="s">
        <v>659</v>
      </c>
      <c r="B155" s="139">
        <v>44746</v>
      </c>
      <c r="C155" s="138" t="s">
        <v>487</v>
      </c>
      <c r="D155" s="138"/>
      <c r="E155" s="9">
        <v>10</v>
      </c>
      <c r="F155" s="138"/>
      <c r="G155" s="9" t="s">
        <v>11</v>
      </c>
      <c r="H155" s="9" t="s">
        <v>3</v>
      </c>
      <c r="J155" s="9" t="s">
        <v>40</v>
      </c>
      <c r="L155" s="9" t="s">
        <v>493</v>
      </c>
      <c r="M155" s="9" t="s">
        <v>493</v>
      </c>
      <c r="N155" s="9" t="s">
        <v>493</v>
      </c>
      <c r="O155" s="9" t="s">
        <v>493</v>
      </c>
      <c r="P155" s="21">
        <v>11.5768</v>
      </c>
      <c r="Q155" s="116">
        <f t="shared" si="4"/>
        <v>44746</v>
      </c>
      <c r="R155" s="140">
        <v>44861</v>
      </c>
      <c r="S155" s="141">
        <f t="shared" si="5"/>
        <v>115</v>
      </c>
      <c r="T155" s="21">
        <v>5.47</v>
      </c>
      <c r="V155" s="9" t="s">
        <v>32</v>
      </c>
      <c r="W155" s="9">
        <v>1</v>
      </c>
      <c r="X155" s="121" t="s">
        <v>120</v>
      </c>
      <c r="Y155" s="140">
        <v>44907</v>
      </c>
      <c r="Z155" s="21">
        <v>2.9931500910430939</v>
      </c>
      <c r="AA155" s="23">
        <v>3</v>
      </c>
      <c r="AB155" s="32" t="s">
        <v>200</v>
      </c>
      <c r="AC155" s="32" t="s">
        <v>201</v>
      </c>
      <c r="AD155" s="9" t="s">
        <v>172</v>
      </c>
      <c r="AE155" s="9" t="s">
        <v>220</v>
      </c>
      <c r="AF155" s="9">
        <v>152</v>
      </c>
      <c r="AG155" s="138" t="s">
        <v>659</v>
      </c>
      <c r="AH155" s="138" t="s">
        <v>1697</v>
      </c>
      <c r="AI155" s="9" t="s">
        <v>1790</v>
      </c>
    </row>
    <row r="156" spans="1:35">
      <c r="A156" s="138" t="s">
        <v>660</v>
      </c>
      <c r="B156" s="139">
        <v>44746</v>
      </c>
      <c r="C156" s="138" t="s">
        <v>487</v>
      </c>
      <c r="D156" s="138"/>
      <c r="E156" s="9">
        <v>11</v>
      </c>
      <c r="F156" s="138"/>
      <c r="G156" s="9" t="s">
        <v>9</v>
      </c>
      <c r="H156" s="9" t="s">
        <v>3</v>
      </c>
      <c r="J156" s="9" t="s">
        <v>253</v>
      </c>
      <c r="L156" s="9" t="s">
        <v>493</v>
      </c>
      <c r="M156" s="9" t="s">
        <v>493</v>
      </c>
      <c r="N156" s="9" t="s">
        <v>493</v>
      </c>
      <c r="O156" s="9" t="s">
        <v>493</v>
      </c>
      <c r="P156" s="21">
        <v>12.589700000000001</v>
      </c>
      <c r="Q156" s="116">
        <f t="shared" si="4"/>
        <v>44746</v>
      </c>
      <c r="R156" s="140">
        <v>44886</v>
      </c>
      <c r="S156" s="141">
        <f t="shared" si="5"/>
        <v>140</v>
      </c>
      <c r="T156" s="21">
        <v>3</v>
      </c>
      <c r="V156" s="9" t="s">
        <v>32</v>
      </c>
      <c r="W156" s="9">
        <v>1</v>
      </c>
      <c r="X156" s="121" t="s">
        <v>124</v>
      </c>
      <c r="Y156" s="140">
        <v>44907</v>
      </c>
      <c r="Z156" s="21">
        <v>2.4500000000000002</v>
      </c>
      <c r="AA156" s="23">
        <v>3</v>
      </c>
      <c r="AB156" s="32" t="s">
        <v>200</v>
      </c>
      <c r="AC156" s="32" t="s">
        <v>201</v>
      </c>
      <c r="AD156" s="9" t="s">
        <v>170</v>
      </c>
      <c r="AE156" s="9" t="s">
        <v>218</v>
      </c>
      <c r="AF156" s="9">
        <v>153</v>
      </c>
      <c r="AG156" s="138" t="s">
        <v>660</v>
      </c>
      <c r="AH156" s="138" t="s">
        <v>1697</v>
      </c>
      <c r="AI156" s="9" t="s">
        <v>1790</v>
      </c>
    </row>
    <row r="157" spans="1:35">
      <c r="A157" s="138" t="s">
        <v>661</v>
      </c>
      <c r="B157" s="139">
        <v>44746</v>
      </c>
      <c r="C157" s="138" t="s">
        <v>487</v>
      </c>
      <c r="D157" s="138"/>
      <c r="E157" s="9">
        <v>12</v>
      </c>
      <c r="F157" s="138"/>
      <c r="G157" s="9" t="s">
        <v>16</v>
      </c>
      <c r="H157" s="9" t="s">
        <v>3</v>
      </c>
      <c r="J157" s="9" t="s">
        <v>254</v>
      </c>
      <c r="L157" s="9" t="s">
        <v>493</v>
      </c>
      <c r="M157" s="9" t="s">
        <v>493</v>
      </c>
      <c r="N157" s="9" t="s">
        <v>493</v>
      </c>
      <c r="O157" s="9" t="s">
        <v>493</v>
      </c>
      <c r="P157" s="21">
        <v>13.649900000000001</v>
      </c>
      <c r="Q157" s="116">
        <f t="shared" si="4"/>
        <v>44746</v>
      </c>
      <c r="R157" s="140">
        <v>44861</v>
      </c>
      <c r="S157" s="141">
        <f t="shared" si="5"/>
        <v>115</v>
      </c>
      <c r="T157" s="21">
        <v>0.74</v>
      </c>
      <c r="V157" s="9" t="s">
        <v>32</v>
      </c>
      <c r="W157" s="9">
        <v>1</v>
      </c>
      <c r="X157" s="121" t="s">
        <v>131</v>
      </c>
      <c r="Y157" s="140">
        <v>44907</v>
      </c>
      <c r="Z157" s="21">
        <v>4.8755744385675888</v>
      </c>
      <c r="AA157" s="23">
        <v>3</v>
      </c>
      <c r="AB157" s="32" t="s">
        <v>200</v>
      </c>
      <c r="AC157" s="32" t="s">
        <v>201</v>
      </c>
      <c r="AD157" s="9" t="s">
        <v>171</v>
      </c>
      <c r="AE157" s="9" t="s">
        <v>219</v>
      </c>
      <c r="AF157" s="9">
        <v>154</v>
      </c>
      <c r="AG157" s="138" t="s">
        <v>661</v>
      </c>
      <c r="AH157" s="138" t="s">
        <v>1697</v>
      </c>
    </row>
    <row r="158" spans="1:35">
      <c r="A158" s="138" t="s">
        <v>662</v>
      </c>
      <c r="B158" s="139">
        <v>44746</v>
      </c>
      <c r="C158" s="138" t="s">
        <v>487</v>
      </c>
      <c r="D158" s="138"/>
      <c r="E158" s="9">
        <v>13</v>
      </c>
      <c r="F158" s="138"/>
      <c r="G158" s="9" t="s">
        <v>11</v>
      </c>
      <c r="H158" s="9" t="s">
        <v>3</v>
      </c>
      <c r="J158" s="9" t="s">
        <v>40</v>
      </c>
      <c r="L158" s="9" t="s">
        <v>493</v>
      </c>
      <c r="M158" s="9" t="s">
        <v>493</v>
      </c>
      <c r="N158" s="9" t="s">
        <v>493</v>
      </c>
      <c r="O158" s="9" t="s">
        <v>493</v>
      </c>
      <c r="P158" s="21">
        <v>12.9434</v>
      </c>
      <c r="Q158" s="116">
        <f t="shared" si="4"/>
        <v>44746</v>
      </c>
      <c r="R158" s="140">
        <v>44890</v>
      </c>
      <c r="S158" s="141">
        <f t="shared" si="5"/>
        <v>144</v>
      </c>
      <c r="T158" s="21">
        <v>0.82499999999999996</v>
      </c>
      <c r="V158" s="9" t="s">
        <v>32</v>
      </c>
      <c r="W158" s="9">
        <v>1</v>
      </c>
      <c r="X158" s="121" t="s">
        <v>71</v>
      </c>
      <c r="Y158" s="140">
        <v>44907</v>
      </c>
      <c r="Z158" s="21">
        <v>2.3012225786872453</v>
      </c>
      <c r="AA158" s="23">
        <v>3</v>
      </c>
      <c r="AB158" s="32" t="s">
        <v>196</v>
      </c>
      <c r="AC158" s="32" t="s">
        <v>197</v>
      </c>
      <c r="AD158" s="9" t="s">
        <v>69</v>
      </c>
      <c r="AE158" s="9" t="s">
        <v>214</v>
      </c>
      <c r="AF158" s="9">
        <v>131</v>
      </c>
      <c r="AG158" s="138" t="s">
        <v>662</v>
      </c>
      <c r="AH158" s="138" t="s">
        <v>1697</v>
      </c>
      <c r="AI158" s="9" t="s">
        <v>1790</v>
      </c>
    </row>
    <row r="159" spans="1:35">
      <c r="A159" s="138" t="s">
        <v>663</v>
      </c>
      <c r="B159" s="139">
        <v>44746</v>
      </c>
      <c r="C159" s="138" t="s">
        <v>487</v>
      </c>
      <c r="D159" s="138"/>
      <c r="E159" s="9">
        <v>14</v>
      </c>
      <c r="F159" s="138"/>
      <c r="G159" s="9" t="s">
        <v>16</v>
      </c>
      <c r="H159" s="9" t="s">
        <v>3</v>
      </c>
      <c r="J159" s="9" t="s">
        <v>254</v>
      </c>
      <c r="L159" s="9" t="s">
        <v>493</v>
      </c>
      <c r="M159" s="9" t="s">
        <v>493</v>
      </c>
      <c r="N159" s="9" t="s">
        <v>493</v>
      </c>
      <c r="O159" s="9" t="s">
        <v>493</v>
      </c>
      <c r="P159" s="21">
        <v>13.630599999999999</v>
      </c>
      <c r="Q159" s="116">
        <f t="shared" si="4"/>
        <v>44746</v>
      </c>
      <c r="R159" s="140">
        <v>44890</v>
      </c>
      <c r="S159" s="141">
        <f t="shared" si="5"/>
        <v>144</v>
      </c>
      <c r="T159" s="21">
        <v>5.21</v>
      </c>
      <c r="V159" s="9" t="s">
        <v>32</v>
      </c>
      <c r="W159" s="9">
        <v>1</v>
      </c>
      <c r="X159" s="121" t="s">
        <v>136</v>
      </c>
      <c r="Y159" s="140">
        <v>44907</v>
      </c>
      <c r="Z159" s="21">
        <v>4.18</v>
      </c>
      <c r="AA159" s="23">
        <v>3</v>
      </c>
      <c r="AB159" s="32" t="s">
        <v>196</v>
      </c>
      <c r="AC159" s="32" t="s">
        <v>197</v>
      </c>
      <c r="AD159" s="9" t="s">
        <v>167</v>
      </c>
      <c r="AE159" s="9" t="s">
        <v>215</v>
      </c>
      <c r="AF159" s="9">
        <v>132</v>
      </c>
      <c r="AG159" s="138" t="s">
        <v>663</v>
      </c>
      <c r="AH159" s="138" t="s">
        <v>1697</v>
      </c>
      <c r="AI159" s="9" t="s">
        <v>1790</v>
      </c>
    </row>
    <row r="160" spans="1:35">
      <c r="A160" s="138" t="s">
        <v>664</v>
      </c>
      <c r="B160" s="139">
        <v>44746</v>
      </c>
      <c r="C160" s="138" t="s">
        <v>487</v>
      </c>
      <c r="D160" s="138"/>
      <c r="E160" s="9">
        <v>15</v>
      </c>
      <c r="F160" s="138"/>
      <c r="G160" s="9" t="s">
        <v>9</v>
      </c>
      <c r="H160" s="9" t="s">
        <v>3</v>
      </c>
      <c r="J160" s="9" t="s">
        <v>253</v>
      </c>
      <c r="L160" s="9" t="s">
        <v>493</v>
      </c>
      <c r="M160" s="9" t="s">
        <v>493</v>
      </c>
      <c r="N160" s="9" t="s">
        <v>493</v>
      </c>
      <c r="O160" s="9" t="s">
        <v>493</v>
      </c>
      <c r="P160" s="21">
        <v>12.42</v>
      </c>
      <c r="Q160" s="116">
        <f t="shared" si="4"/>
        <v>44746</v>
      </c>
      <c r="R160" s="140">
        <v>44890</v>
      </c>
      <c r="S160" s="141">
        <f t="shared" si="5"/>
        <v>144</v>
      </c>
      <c r="T160" s="21">
        <v>1.72</v>
      </c>
      <c r="V160" s="9" t="s">
        <v>32</v>
      </c>
      <c r="W160" s="9">
        <v>2</v>
      </c>
      <c r="X160" s="121" t="s">
        <v>48</v>
      </c>
      <c r="Y160" s="140">
        <v>44908</v>
      </c>
      <c r="Z160" s="21">
        <v>6.84</v>
      </c>
      <c r="AA160" s="23">
        <v>2</v>
      </c>
      <c r="AB160" s="32" t="s">
        <v>158</v>
      </c>
      <c r="AC160" s="32" t="s">
        <v>187</v>
      </c>
      <c r="AD160" s="9" t="s">
        <v>173</v>
      </c>
      <c r="AE160" s="9" t="s">
        <v>221</v>
      </c>
      <c r="AF160" s="9">
        <v>229</v>
      </c>
      <c r="AG160" s="138" t="s">
        <v>664</v>
      </c>
      <c r="AH160" s="138" t="s">
        <v>1697</v>
      </c>
      <c r="AI160" s="9" t="s">
        <v>1790</v>
      </c>
    </row>
    <row r="161" spans="1:35">
      <c r="A161" s="138" t="s">
        <v>665</v>
      </c>
      <c r="B161" s="139">
        <v>44746</v>
      </c>
      <c r="C161" s="138" t="s">
        <v>487</v>
      </c>
      <c r="D161" s="138"/>
      <c r="E161" s="9">
        <v>16</v>
      </c>
      <c r="F161" s="138"/>
      <c r="G161" s="9" t="s">
        <v>15</v>
      </c>
      <c r="H161" s="9" t="s">
        <v>230</v>
      </c>
      <c r="J161" s="9" t="s">
        <v>253</v>
      </c>
      <c r="L161" s="9" t="s">
        <v>493</v>
      </c>
      <c r="M161" s="9" t="s">
        <v>493</v>
      </c>
      <c r="N161" s="9" t="s">
        <v>493</v>
      </c>
      <c r="O161" s="9" t="s">
        <v>493</v>
      </c>
      <c r="P161" s="21">
        <v>12.292999999999999</v>
      </c>
      <c r="Q161" s="116">
        <f t="shared" si="4"/>
        <v>44746</v>
      </c>
      <c r="R161" s="140">
        <v>44890</v>
      </c>
      <c r="S161" s="141">
        <f t="shared" si="5"/>
        <v>144</v>
      </c>
      <c r="T161" s="21">
        <v>4.72</v>
      </c>
      <c r="V161" s="9" t="s">
        <v>32</v>
      </c>
      <c r="W161" s="9">
        <v>2</v>
      </c>
      <c r="X161" s="121" t="s">
        <v>80</v>
      </c>
      <c r="Y161" s="140">
        <v>44908</v>
      </c>
      <c r="Z161" s="21">
        <v>20.460737954189884</v>
      </c>
      <c r="AA161" s="23">
        <v>2</v>
      </c>
      <c r="AB161" s="32" t="s">
        <v>157</v>
      </c>
      <c r="AC161" s="32" t="s">
        <v>186</v>
      </c>
      <c r="AD161" s="9" t="s">
        <v>174</v>
      </c>
      <c r="AE161" s="9" t="s">
        <v>222</v>
      </c>
      <c r="AF161" s="9">
        <v>218</v>
      </c>
      <c r="AG161" s="138" t="s">
        <v>665</v>
      </c>
      <c r="AH161" s="138" t="s">
        <v>1697</v>
      </c>
    </row>
    <row r="162" spans="1:35">
      <c r="A162" s="138" t="s">
        <v>666</v>
      </c>
      <c r="B162" s="139">
        <v>44746</v>
      </c>
      <c r="C162" s="138" t="s">
        <v>487</v>
      </c>
      <c r="D162" s="138"/>
      <c r="E162" s="9">
        <v>17</v>
      </c>
      <c r="F162" s="138"/>
      <c r="G162" s="9" t="s">
        <v>14</v>
      </c>
      <c r="H162" s="9" t="s">
        <v>230</v>
      </c>
      <c r="J162" s="9" t="s">
        <v>40</v>
      </c>
      <c r="L162" s="9" t="s">
        <v>493</v>
      </c>
      <c r="M162" s="9" t="s">
        <v>493</v>
      </c>
      <c r="N162" s="9" t="s">
        <v>493</v>
      </c>
      <c r="O162" s="9" t="s">
        <v>493</v>
      </c>
      <c r="P162" s="21">
        <v>11.5108</v>
      </c>
      <c r="Q162" s="116">
        <f t="shared" si="4"/>
        <v>44746</v>
      </c>
      <c r="R162" s="140">
        <v>44893</v>
      </c>
      <c r="S162" s="141">
        <f t="shared" si="5"/>
        <v>147</v>
      </c>
      <c r="T162" s="21">
        <v>3.2</v>
      </c>
      <c r="V162" s="9" t="s">
        <v>32</v>
      </c>
      <c r="W162" s="9">
        <v>2</v>
      </c>
      <c r="X162" s="121" t="s">
        <v>81</v>
      </c>
      <c r="Y162" s="140">
        <v>44908</v>
      </c>
      <c r="Z162" s="21">
        <v>16.227784906920739</v>
      </c>
      <c r="AA162" s="23">
        <v>2</v>
      </c>
      <c r="AB162" s="32" t="s">
        <v>155</v>
      </c>
      <c r="AC162" s="32" t="s">
        <v>184</v>
      </c>
      <c r="AD162" s="9" t="s">
        <v>175</v>
      </c>
      <c r="AE162" s="9" t="s">
        <v>223</v>
      </c>
      <c r="AF162" s="9">
        <v>195</v>
      </c>
      <c r="AG162" s="138" t="s">
        <v>666</v>
      </c>
      <c r="AH162" s="138" t="s">
        <v>1697</v>
      </c>
      <c r="AI162" s="9" t="s">
        <v>1790</v>
      </c>
    </row>
    <row r="163" spans="1:35">
      <c r="A163" s="138" t="s">
        <v>667</v>
      </c>
      <c r="B163" s="139">
        <v>44746</v>
      </c>
      <c r="C163" s="138" t="s">
        <v>487</v>
      </c>
      <c r="D163" s="138"/>
      <c r="E163" s="9">
        <v>18</v>
      </c>
      <c r="F163" s="138"/>
      <c r="G163" s="9" t="s">
        <v>12</v>
      </c>
      <c r="H163" s="9" t="s">
        <v>230</v>
      </c>
      <c r="J163" s="9" t="s">
        <v>254</v>
      </c>
      <c r="L163" s="9" t="s">
        <v>493</v>
      </c>
      <c r="M163" s="9" t="s">
        <v>493</v>
      </c>
      <c r="N163" s="9" t="s">
        <v>493</v>
      </c>
      <c r="O163" s="9" t="s">
        <v>493</v>
      </c>
      <c r="P163" s="21">
        <v>12.6816</v>
      </c>
      <c r="Q163" s="116">
        <f t="shared" si="4"/>
        <v>44746</v>
      </c>
      <c r="R163" s="140">
        <v>44893</v>
      </c>
      <c r="S163" s="141">
        <f t="shared" si="5"/>
        <v>147</v>
      </c>
      <c r="T163" s="21">
        <v>1.47</v>
      </c>
      <c r="V163" s="9" t="s">
        <v>32</v>
      </c>
      <c r="W163" s="9">
        <v>2</v>
      </c>
      <c r="X163" s="121" t="s">
        <v>91</v>
      </c>
      <c r="Y163" s="140">
        <v>44908</v>
      </c>
      <c r="Z163" s="21">
        <v>7.2371543586408142</v>
      </c>
      <c r="AA163" s="23">
        <v>2</v>
      </c>
      <c r="AB163" s="32" t="s">
        <v>162</v>
      </c>
      <c r="AC163" s="32" t="s">
        <v>190</v>
      </c>
      <c r="AD163" s="9" t="s">
        <v>175</v>
      </c>
      <c r="AE163" s="9" t="s">
        <v>223</v>
      </c>
      <c r="AF163" s="9">
        <v>267</v>
      </c>
      <c r="AG163" s="138" t="s">
        <v>667</v>
      </c>
      <c r="AH163" s="138" t="s">
        <v>1697</v>
      </c>
    </row>
    <row r="164" spans="1:35">
      <c r="A164" s="138" t="s">
        <v>668</v>
      </c>
      <c r="B164" s="139">
        <v>44746</v>
      </c>
      <c r="C164" s="138" t="s">
        <v>487</v>
      </c>
      <c r="D164" s="138"/>
      <c r="E164" s="9">
        <v>19</v>
      </c>
      <c r="F164" s="138"/>
      <c r="G164" s="9" t="s">
        <v>9</v>
      </c>
      <c r="H164" s="9" t="s">
        <v>3</v>
      </c>
      <c r="J164" s="9" t="s">
        <v>253</v>
      </c>
      <c r="L164" s="9" t="s">
        <v>493</v>
      </c>
      <c r="M164" s="9" t="s">
        <v>493</v>
      </c>
      <c r="N164" s="9" t="s">
        <v>493</v>
      </c>
      <c r="O164" s="9" t="s">
        <v>493</v>
      </c>
      <c r="P164" s="21">
        <v>9.9705999999999992</v>
      </c>
      <c r="Q164" s="116">
        <f t="shared" si="4"/>
        <v>44746</v>
      </c>
      <c r="R164" s="140">
        <v>44893</v>
      </c>
      <c r="S164" s="141">
        <f t="shared" si="5"/>
        <v>147</v>
      </c>
      <c r="T164" s="21">
        <v>0.45600000000000002</v>
      </c>
      <c r="V164" s="9" t="s">
        <v>32</v>
      </c>
      <c r="W164" s="9">
        <v>2</v>
      </c>
      <c r="X164" s="121" t="s">
        <v>148</v>
      </c>
      <c r="Y164" s="140">
        <v>44908</v>
      </c>
      <c r="Z164" s="21">
        <v>8.0721430203737228</v>
      </c>
      <c r="AA164" s="23">
        <v>2</v>
      </c>
      <c r="AB164" s="32" t="s">
        <v>160</v>
      </c>
      <c r="AC164" s="32" t="s">
        <v>189</v>
      </c>
      <c r="AD164" s="9" t="s">
        <v>176</v>
      </c>
      <c r="AE164" s="9" t="s">
        <v>224</v>
      </c>
      <c r="AF164" s="9">
        <v>256</v>
      </c>
      <c r="AG164" s="138" t="s">
        <v>668</v>
      </c>
      <c r="AH164" s="138" t="s">
        <v>1697</v>
      </c>
      <c r="AI164" s="9" t="s">
        <v>1790</v>
      </c>
    </row>
    <row r="165" spans="1:35">
      <c r="A165" s="138" t="s">
        <v>669</v>
      </c>
      <c r="B165" s="139">
        <v>44746</v>
      </c>
      <c r="C165" s="138" t="s">
        <v>487</v>
      </c>
      <c r="D165" s="138"/>
      <c r="E165" s="9">
        <v>20</v>
      </c>
      <c r="F165" s="138"/>
      <c r="G165" s="9" t="s">
        <v>11</v>
      </c>
      <c r="H165" s="9" t="s">
        <v>3</v>
      </c>
      <c r="J165" s="9" t="s">
        <v>40</v>
      </c>
      <c r="L165" s="9" t="s">
        <v>493</v>
      </c>
      <c r="M165" s="9" t="s">
        <v>493</v>
      </c>
      <c r="N165" s="9" t="s">
        <v>493</v>
      </c>
      <c r="O165" s="9" t="s">
        <v>493</v>
      </c>
      <c r="P165" s="21">
        <v>12.6433</v>
      </c>
      <c r="Q165" s="116">
        <f t="shared" si="4"/>
        <v>44746</v>
      </c>
      <c r="R165" s="140">
        <v>44894</v>
      </c>
      <c r="S165" s="141">
        <f t="shared" si="5"/>
        <v>148</v>
      </c>
      <c r="T165" s="21">
        <v>1.59</v>
      </c>
      <c r="V165" s="9" t="s">
        <v>33</v>
      </c>
      <c r="W165" s="9">
        <v>4</v>
      </c>
      <c r="X165" s="121" t="s">
        <v>143</v>
      </c>
      <c r="Y165" s="140">
        <v>45308</v>
      </c>
      <c r="Z165" s="21">
        <v>27.8</v>
      </c>
      <c r="AA165" s="23">
        <v>4</v>
      </c>
      <c r="AB165" s="32" t="s">
        <v>198</v>
      </c>
      <c r="AC165" s="32" t="s">
        <v>199</v>
      </c>
      <c r="AD165" s="9" t="s">
        <v>177</v>
      </c>
      <c r="AE165" s="9" t="s">
        <v>225</v>
      </c>
      <c r="AF165" s="9">
        <v>330</v>
      </c>
      <c r="AG165" s="138" t="s">
        <v>669</v>
      </c>
      <c r="AH165" s="138" t="s">
        <v>1697</v>
      </c>
    </row>
    <row r="166" spans="1:35">
      <c r="A166" s="138" t="s">
        <v>670</v>
      </c>
      <c r="B166" s="139">
        <v>44746</v>
      </c>
      <c r="C166" s="138" t="s">
        <v>487</v>
      </c>
      <c r="D166" s="138"/>
      <c r="E166" s="9">
        <v>21</v>
      </c>
      <c r="F166" s="138"/>
      <c r="G166" s="9" t="s">
        <v>14</v>
      </c>
      <c r="H166" s="9" t="s">
        <v>230</v>
      </c>
      <c r="J166" s="9" t="s">
        <v>40</v>
      </c>
      <c r="L166" s="9" t="s">
        <v>493</v>
      </c>
      <c r="M166" s="9" t="s">
        <v>493</v>
      </c>
      <c r="N166" s="9" t="s">
        <v>493</v>
      </c>
      <c r="O166" s="9" t="s">
        <v>493</v>
      </c>
      <c r="P166" s="21">
        <v>11.9725</v>
      </c>
      <c r="Q166" s="116">
        <f t="shared" si="4"/>
        <v>44746</v>
      </c>
      <c r="R166" s="140">
        <v>44893</v>
      </c>
      <c r="S166" s="141">
        <f t="shared" si="5"/>
        <v>147</v>
      </c>
      <c r="T166" s="21"/>
      <c r="U166" s="108">
        <v>0.14299999999999999</v>
      </c>
      <c r="V166" s="9" t="s">
        <v>32</v>
      </c>
      <c r="W166" s="9">
        <v>2</v>
      </c>
      <c r="X166" s="121" t="s">
        <v>107</v>
      </c>
      <c r="Y166" s="140">
        <v>44908</v>
      </c>
      <c r="Z166" s="21">
        <v>7.91041890062756</v>
      </c>
      <c r="AA166" s="23">
        <v>2</v>
      </c>
      <c r="AB166" s="32" t="s">
        <v>157</v>
      </c>
      <c r="AC166" s="32" t="s">
        <v>186</v>
      </c>
      <c r="AD166" s="9" t="s">
        <v>177</v>
      </c>
      <c r="AE166" s="9" t="s">
        <v>225</v>
      </c>
      <c r="AF166" s="9">
        <v>222</v>
      </c>
      <c r="AG166" s="138" t="s">
        <v>670</v>
      </c>
      <c r="AH166" s="138" t="s">
        <v>1697</v>
      </c>
      <c r="AI166" s="9" t="s">
        <v>18</v>
      </c>
    </row>
    <row r="167" spans="1:35">
      <c r="A167" s="138" t="s">
        <v>671</v>
      </c>
      <c r="B167" s="139">
        <v>44746</v>
      </c>
      <c r="C167" s="138" t="s">
        <v>487</v>
      </c>
      <c r="D167" s="138"/>
      <c r="E167" s="9">
        <v>22</v>
      </c>
      <c r="F167" s="138"/>
      <c r="G167" s="9" t="s">
        <v>12</v>
      </c>
      <c r="H167" s="9" t="s">
        <v>230</v>
      </c>
      <c r="J167" s="9" t="s">
        <v>254</v>
      </c>
      <c r="L167" s="9" t="s">
        <v>493</v>
      </c>
      <c r="M167" s="9" t="s">
        <v>493</v>
      </c>
      <c r="N167" s="9" t="s">
        <v>493</v>
      </c>
      <c r="O167" s="9" t="s">
        <v>493</v>
      </c>
      <c r="P167" s="21">
        <v>9.9921000000000006</v>
      </c>
      <c r="Q167" s="116">
        <f t="shared" si="4"/>
        <v>44746</v>
      </c>
      <c r="R167" s="140">
        <v>44894</v>
      </c>
      <c r="S167" s="141">
        <f t="shared" si="5"/>
        <v>148</v>
      </c>
      <c r="T167" s="21">
        <v>4.82</v>
      </c>
      <c r="V167" s="9" t="s">
        <v>32</v>
      </c>
      <c r="W167" s="9">
        <v>2</v>
      </c>
      <c r="X167" s="121" t="s">
        <v>112</v>
      </c>
      <c r="Y167" s="140">
        <v>44908</v>
      </c>
      <c r="Z167" s="21">
        <v>9.64</v>
      </c>
      <c r="AA167" s="23">
        <v>2</v>
      </c>
      <c r="AB167" s="32" t="s">
        <v>156</v>
      </c>
      <c r="AC167" s="32" t="s">
        <v>185</v>
      </c>
      <c r="AD167" s="9" t="s">
        <v>178</v>
      </c>
      <c r="AE167" s="9" t="s">
        <v>226</v>
      </c>
      <c r="AF167" s="9">
        <v>211</v>
      </c>
      <c r="AG167" s="138" t="s">
        <v>671</v>
      </c>
      <c r="AH167" s="138" t="s">
        <v>1697</v>
      </c>
      <c r="AI167" s="9" t="s">
        <v>1790</v>
      </c>
    </row>
    <row r="168" spans="1:35">
      <c r="A168" s="138" t="s">
        <v>672</v>
      </c>
      <c r="B168" s="139">
        <v>44746</v>
      </c>
      <c r="C168" s="138" t="s">
        <v>487</v>
      </c>
      <c r="D168" s="138"/>
      <c r="E168" s="9">
        <v>23</v>
      </c>
      <c r="F168" s="138"/>
      <c r="G168" s="9" t="s">
        <v>15</v>
      </c>
      <c r="H168" s="9" t="s">
        <v>230</v>
      </c>
      <c r="J168" s="9" t="s">
        <v>253</v>
      </c>
      <c r="L168" s="9" t="s">
        <v>493</v>
      </c>
      <c r="M168" s="9" t="s">
        <v>493</v>
      </c>
      <c r="N168" s="9" t="s">
        <v>493</v>
      </c>
      <c r="O168" s="9" t="s">
        <v>493</v>
      </c>
      <c r="P168" s="21">
        <v>10.2925</v>
      </c>
      <c r="Q168" s="116">
        <f t="shared" si="4"/>
        <v>44746</v>
      </c>
      <c r="R168" s="140">
        <v>44894</v>
      </c>
      <c r="S168" s="141">
        <f t="shared" si="5"/>
        <v>148</v>
      </c>
      <c r="T168" s="21">
        <v>4.63</v>
      </c>
      <c r="V168" s="9" t="s">
        <v>32</v>
      </c>
      <c r="W168" s="9">
        <v>2</v>
      </c>
      <c r="X168" s="121" t="s">
        <v>108</v>
      </c>
      <c r="Y168" s="140">
        <v>44908</v>
      </c>
      <c r="Z168" s="21">
        <v>11.009545238806757</v>
      </c>
      <c r="AA168" s="23">
        <v>2</v>
      </c>
      <c r="AB168" s="32" t="s">
        <v>155</v>
      </c>
      <c r="AC168" s="32" t="s">
        <v>184</v>
      </c>
      <c r="AD168" s="9" t="s">
        <v>179</v>
      </c>
      <c r="AE168" s="9" t="s">
        <v>227</v>
      </c>
      <c r="AF168" s="9">
        <v>200</v>
      </c>
      <c r="AG168" s="138" t="s">
        <v>672</v>
      </c>
      <c r="AH168" s="138" t="s">
        <v>1697</v>
      </c>
      <c r="AI168" s="9" t="s">
        <v>1790</v>
      </c>
    </row>
    <row r="169" spans="1:35">
      <c r="A169" s="138" t="s">
        <v>673</v>
      </c>
      <c r="B169" s="139">
        <v>44746</v>
      </c>
      <c r="C169" s="138" t="s">
        <v>487</v>
      </c>
      <c r="D169" s="138"/>
      <c r="E169" s="9">
        <v>24</v>
      </c>
      <c r="F169" s="138"/>
      <c r="G169" s="9" t="s">
        <v>16</v>
      </c>
      <c r="H169" s="9" t="s">
        <v>3</v>
      </c>
      <c r="J169" s="9" t="s">
        <v>254</v>
      </c>
      <c r="L169" s="9" t="s">
        <v>493</v>
      </c>
      <c r="M169" s="9" t="s">
        <v>493</v>
      </c>
      <c r="N169" s="9" t="s">
        <v>493</v>
      </c>
      <c r="O169" s="9" t="s">
        <v>493</v>
      </c>
      <c r="P169" s="21">
        <v>9.1378000000000004</v>
      </c>
      <c r="Q169" s="116">
        <f t="shared" si="4"/>
        <v>44746</v>
      </c>
      <c r="R169" s="140">
        <v>44894</v>
      </c>
      <c r="S169" s="141">
        <f t="shared" si="5"/>
        <v>148</v>
      </c>
      <c r="T169" s="21">
        <v>0.57199999999999995</v>
      </c>
      <c r="V169" s="9" t="s">
        <v>32</v>
      </c>
      <c r="W169" s="9">
        <v>2</v>
      </c>
      <c r="X169" s="121" t="s">
        <v>122</v>
      </c>
      <c r="Y169" s="140">
        <v>44908</v>
      </c>
      <c r="Z169" s="21">
        <v>9.81</v>
      </c>
      <c r="AA169" s="23">
        <v>2</v>
      </c>
      <c r="AB169" s="32" t="s">
        <v>47</v>
      </c>
      <c r="AC169" s="32" t="s">
        <v>190</v>
      </c>
      <c r="AD169" s="9" t="s">
        <v>179</v>
      </c>
      <c r="AE169" s="9" t="s">
        <v>227</v>
      </c>
      <c r="AF169" s="9">
        <v>272</v>
      </c>
      <c r="AG169" s="138" t="s">
        <v>673</v>
      </c>
      <c r="AH169" s="138" t="s">
        <v>1697</v>
      </c>
    </row>
    <row r="170" spans="1:35">
      <c r="A170" s="138" t="s">
        <v>733</v>
      </c>
      <c r="B170" s="139">
        <v>44749</v>
      </c>
      <c r="C170" s="138" t="s">
        <v>487</v>
      </c>
      <c r="D170" s="138"/>
      <c r="E170" s="9">
        <v>1</v>
      </c>
      <c r="F170" s="138"/>
      <c r="G170" s="9" t="s">
        <v>9</v>
      </c>
      <c r="H170" s="9" t="s">
        <v>3</v>
      </c>
      <c r="J170" s="9" t="s">
        <v>253</v>
      </c>
      <c r="L170" s="9" t="s">
        <v>493</v>
      </c>
      <c r="M170" s="9" t="s">
        <v>493</v>
      </c>
      <c r="N170" s="9" t="s">
        <v>493</v>
      </c>
      <c r="O170" s="9" t="s">
        <v>493</v>
      </c>
      <c r="P170" s="21">
        <v>8.6648999999999994</v>
      </c>
      <c r="Q170" s="116">
        <f t="shared" si="4"/>
        <v>44749</v>
      </c>
      <c r="R170" s="140">
        <v>44860</v>
      </c>
      <c r="S170" s="141">
        <f t="shared" si="5"/>
        <v>111</v>
      </c>
      <c r="T170" s="21">
        <v>4</v>
      </c>
      <c r="V170" s="9" t="s">
        <v>32</v>
      </c>
      <c r="W170" s="9">
        <v>1</v>
      </c>
      <c r="X170" s="121" t="s">
        <v>50</v>
      </c>
      <c r="Y170" s="140">
        <v>44907</v>
      </c>
      <c r="Z170" s="21">
        <v>1.8954305037717853</v>
      </c>
      <c r="AA170" s="23">
        <v>3</v>
      </c>
      <c r="AB170" s="32" t="s">
        <v>200</v>
      </c>
      <c r="AC170" s="32" t="s">
        <v>201</v>
      </c>
      <c r="AD170" s="9" t="s">
        <v>163</v>
      </c>
      <c r="AE170" s="9" t="s">
        <v>209</v>
      </c>
      <c r="AF170" s="9">
        <v>145</v>
      </c>
      <c r="AG170" s="138" t="s">
        <v>674</v>
      </c>
      <c r="AH170" s="138" t="s">
        <v>1697</v>
      </c>
      <c r="AI170" s="9" t="s">
        <v>1790</v>
      </c>
    </row>
    <row r="171" spans="1:35">
      <c r="A171" s="138" t="s">
        <v>734</v>
      </c>
      <c r="B171" s="139">
        <v>44749</v>
      </c>
      <c r="C171" s="138" t="s">
        <v>487</v>
      </c>
      <c r="D171" s="138"/>
      <c r="E171" s="9">
        <v>2</v>
      </c>
      <c r="F171" s="138"/>
      <c r="G171" s="9" t="s">
        <v>11</v>
      </c>
      <c r="H171" s="9" t="s">
        <v>3</v>
      </c>
      <c r="J171" s="9" t="s">
        <v>40</v>
      </c>
      <c r="L171" s="9" t="s">
        <v>493</v>
      </c>
      <c r="M171" s="9" t="s">
        <v>493</v>
      </c>
      <c r="N171" s="9" t="s">
        <v>493</v>
      </c>
      <c r="O171" s="9" t="s">
        <v>493</v>
      </c>
      <c r="P171" s="21">
        <v>11.2073</v>
      </c>
      <c r="Q171" s="116">
        <f t="shared" si="4"/>
        <v>44749</v>
      </c>
      <c r="R171" s="140">
        <v>44861</v>
      </c>
      <c r="S171" s="141">
        <f t="shared" si="5"/>
        <v>112</v>
      </c>
      <c r="T171" s="21">
        <v>11.6</v>
      </c>
      <c r="V171" s="9" t="s">
        <v>32</v>
      </c>
      <c r="W171" s="9">
        <v>1</v>
      </c>
      <c r="X171" s="121" t="s">
        <v>78</v>
      </c>
      <c r="Y171" s="140">
        <v>44907</v>
      </c>
      <c r="Z171" s="21">
        <v>1.361311020549727</v>
      </c>
      <c r="AA171" s="23">
        <v>3</v>
      </c>
      <c r="AB171" s="32" t="s">
        <v>194</v>
      </c>
      <c r="AC171" s="32" t="s">
        <v>195</v>
      </c>
      <c r="AD171" s="9" t="s">
        <v>164</v>
      </c>
      <c r="AE171" s="9" t="s">
        <v>210</v>
      </c>
      <c r="AF171" s="9">
        <v>110</v>
      </c>
      <c r="AG171" s="138" t="s">
        <v>675</v>
      </c>
      <c r="AH171" s="138" t="s">
        <v>1697</v>
      </c>
      <c r="AI171" s="9" t="s">
        <v>1790</v>
      </c>
    </row>
    <row r="172" spans="1:35">
      <c r="A172" s="138" t="s">
        <v>735</v>
      </c>
      <c r="B172" s="139">
        <v>44749</v>
      </c>
      <c r="C172" s="138" t="s">
        <v>487</v>
      </c>
      <c r="D172" s="138"/>
      <c r="E172" s="9">
        <v>3</v>
      </c>
      <c r="F172" s="138"/>
      <c r="G172" s="9" t="s">
        <v>12</v>
      </c>
      <c r="H172" s="9" t="s">
        <v>230</v>
      </c>
      <c r="J172" s="9" t="s">
        <v>254</v>
      </c>
      <c r="L172" s="9" t="s">
        <v>493</v>
      </c>
      <c r="M172" s="9" t="s">
        <v>493</v>
      </c>
      <c r="N172" s="9" t="s">
        <v>493</v>
      </c>
      <c r="O172" s="9" t="s">
        <v>493</v>
      </c>
      <c r="P172" s="21">
        <v>10.408300000000001</v>
      </c>
      <c r="Q172" s="116">
        <f t="shared" si="4"/>
        <v>44749</v>
      </c>
      <c r="R172" s="140">
        <v>44860</v>
      </c>
      <c r="S172" s="141">
        <f t="shared" si="5"/>
        <v>111</v>
      </c>
      <c r="T172" s="21">
        <v>6.27</v>
      </c>
      <c r="V172" s="9" t="s">
        <v>32</v>
      </c>
      <c r="W172" s="9">
        <v>1</v>
      </c>
      <c r="X172" s="121" t="s">
        <v>85</v>
      </c>
      <c r="Y172" s="140">
        <v>44907</v>
      </c>
      <c r="Z172" s="21">
        <v>3.4180178617879129</v>
      </c>
      <c r="AA172" s="23">
        <v>3</v>
      </c>
      <c r="AB172" s="32" t="s">
        <v>206</v>
      </c>
      <c r="AC172" s="32" t="s">
        <v>207</v>
      </c>
      <c r="AD172" s="9" t="s">
        <v>164</v>
      </c>
      <c r="AE172" s="9" t="s">
        <v>210</v>
      </c>
      <c r="AF172" s="9">
        <v>182</v>
      </c>
      <c r="AG172" s="138" t="s">
        <v>676</v>
      </c>
      <c r="AH172" s="138" t="s">
        <v>1697</v>
      </c>
    </row>
    <row r="173" spans="1:35">
      <c r="A173" s="138" t="s">
        <v>736</v>
      </c>
      <c r="B173" s="139">
        <v>44749</v>
      </c>
      <c r="C173" s="138" t="s">
        <v>487</v>
      </c>
      <c r="D173" s="138"/>
      <c r="E173" s="9">
        <v>4</v>
      </c>
      <c r="F173" s="138"/>
      <c r="G173" s="9" t="s">
        <v>14</v>
      </c>
      <c r="H173" s="9" t="s">
        <v>230</v>
      </c>
      <c r="J173" s="9" t="s">
        <v>40</v>
      </c>
      <c r="L173" s="9" t="s">
        <v>493</v>
      </c>
      <c r="M173" s="9" t="s">
        <v>493</v>
      </c>
      <c r="N173" s="9" t="s">
        <v>493</v>
      </c>
      <c r="O173" s="9" t="s">
        <v>493</v>
      </c>
      <c r="P173" s="21">
        <v>10.7399</v>
      </c>
      <c r="Q173" s="116">
        <f t="shared" si="4"/>
        <v>44749</v>
      </c>
      <c r="R173" s="140">
        <v>44861</v>
      </c>
      <c r="S173" s="141">
        <f t="shared" si="5"/>
        <v>112</v>
      </c>
      <c r="T173" s="21">
        <v>3.93</v>
      </c>
      <c r="V173" s="9" t="s">
        <v>32</v>
      </c>
      <c r="W173" s="9">
        <v>1</v>
      </c>
      <c r="X173" s="121" t="s">
        <v>90</v>
      </c>
      <c r="Y173" s="140">
        <v>44907</v>
      </c>
      <c r="Z173" s="21">
        <v>1.1540795976762335</v>
      </c>
      <c r="AA173" s="23">
        <v>3</v>
      </c>
      <c r="AB173" s="32" t="s">
        <v>202</v>
      </c>
      <c r="AC173" s="32" t="s">
        <v>203</v>
      </c>
      <c r="AD173" s="9" t="s">
        <v>165</v>
      </c>
      <c r="AE173" s="9" t="s">
        <v>211</v>
      </c>
      <c r="AF173" s="9">
        <v>159</v>
      </c>
      <c r="AG173" s="138" t="s">
        <v>677</v>
      </c>
      <c r="AH173" s="138" t="s">
        <v>1697</v>
      </c>
      <c r="AI173" s="9" t="s">
        <v>1790</v>
      </c>
    </row>
    <row r="174" spans="1:35">
      <c r="A174" s="138" t="s">
        <v>737</v>
      </c>
      <c r="B174" s="139">
        <v>44749</v>
      </c>
      <c r="C174" s="138" t="s">
        <v>487</v>
      </c>
      <c r="D174" s="138"/>
      <c r="E174" s="9">
        <v>5</v>
      </c>
      <c r="F174" s="138"/>
      <c r="G174" s="9" t="s">
        <v>15</v>
      </c>
      <c r="H174" s="9" t="s">
        <v>230</v>
      </c>
      <c r="J174" s="9" t="s">
        <v>253</v>
      </c>
      <c r="L174" s="9" t="s">
        <v>493</v>
      </c>
      <c r="M174" s="9" t="s">
        <v>493</v>
      </c>
      <c r="N174" s="9" t="s">
        <v>493</v>
      </c>
      <c r="O174" s="9" t="s">
        <v>493</v>
      </c>
      <c r="P174" s="21">
        <v>9.9618000000000002</v>
      </c>
      <c r="Q174" s="116">
        <f t="shared" si="4"/>
        <v>44749</v>
      </c>
      <c r="R174" s="140">
        <v>44861</v>
      </c>
      <c r="S174" s="141">
        <f t="shared" si="5"/>
        <v>112</v>
      </c>
      <c r="T174" s="21">
        <v>16</v>
      </c>
      <c r="V174" s="9" t="s">
        <v>32</v>
      </c>
      <c r="W174" s="9">
        <v>1</v>
      </c>
      <c r="X174" s="121" t="s">
        <v>102</v>
      </c>
      <c r="Y174" s="140">
        <v>44907</v>
      </c>
      <c r="Z174" s="21">
        <v>1.59</v>
      </c>
      <c r="AA174" s="23">
        <v>3</v>
      </c>
      <c r="AB174" s="32" t="s">
        <v>198</v>
      </c>
      <c r="AC174" s="32" t="s">
        <v>199</v>
      </c>
      <c r="AD174" s="9" t="s">
        <v>166</v>
      </c>
      <c r="AE174" s="9" t="s">
        <v>212</v>
      </c>
      <c r="AF174" s="9">
        <v>136</v>
      </c>
      <c r="AG174" s="138" t="s">
        <v>678</v>
      </c>
      <c r="AH174" s="138" t="s">
        <v>1697</v>
      </c>
    </row>
    <row r="175" spans="1:35">
      <c r="A175" s="138" t="s">
        <v>738</v>
      </c>
      <c r="B175" s="139">
        <v>44749</v>
      </c>
      <c r="C175" s="138" t="s">
        <v>487</v>
      </c>
      <c r="D175" s="138"/>
      <c r="E175" s="9">
        <v>6</v>
      </c>
      <c r="F175" s="138"/>
      <c r="G175" s="9" t="s">
        <v>16</v>
      </c>
      <c r="H175" s="9" t="s">
        <v>3</v>
      </c>
      <c r="J175" s="9" t="s">
        <v>254</v>
      </c>
      <c r="L175" s="9" t="s">
        <v>493</v>
      </c>
      <c r="M175" s="9" t="s">
        <v>493</v>
      </c>
      <c r="N175" s="9" t="s">
        <v>493</v>
      </c>
      <c r="O175" s="9" t="s">
        <v>493</v>
      </c>
      <c r="P175" s="21">
        <v>10.7729</v>
      </c>
      <c r="Q175" s="116">
        <f t="shared" si="4"/>
        <v>44749</v>
      </c>
      <c r="R175" s="140">
        <v>44865</v>
      </c>
      <c r="S175" s="141">
        <f t="shared" si="5"/>
        <v>116</v>
      </c>
      <c r="T175" s="21">
        <v>9.67</v>
      </c>
      <c r="V175" s="9" t="s">
        <v>32</v>
      </c>
      <c r="W175" s="9">
        <v>1</v>
      </c>
      <c r="X175" s="121" t="s">
        <v>141</v>
      </c>
      <c r="Y175" s="140">
        <v>44907</v>
      </c>
      <c r="Z175" s="21">
        <v>2.8674239139859532</v>
      </c>
      <c r="AA175" s="23">
        <v>3</v>
      </c>
      <c r="AB175" s="32" t="s">
        <v>198</v>
      </c>
      <c r="AC175" s="32" t="s">
        <v>199</v>
      </c>
      <c r="AD175" s="9" t="s">
        <v>43</v>
      </c>
      <c r="AE175" s="9" t="s">
        <v>213</v>
      </c>
      <c r="AF175" s="9">
        <v>137</v>
      </c>
      <c r="AG175" s="138" t="s">
        <v>679</v>
      </c>
      <c r="AH175" s="138" t="s">
        <v>1697</v>
      </c>
      <c r="AI175" s="9" t="s">
        <v>1790</v>
      </c>
    </row>
    <row r="176" spans="1:35">
      <c r="A176" s="138" t="s">
        <v>739</v>
      </c>
      <c r="B176" s="139">
        <v>44749</v>
      </c>
      <c r="C176" s="138" t="s">
        <v>487</v>
      </c>
      <c r="D176" s="138"/>
      <c r="E176" s="9">
        <v>7</v>
      </c>
      <c r="F176" s="138"/>
      <c r="G176" s="9" t="s">
        <v>14</v>
      </c>
      <c r="H176" s="9" t="s">
        <v>230</v>
      </c>
      <c r="J176" s="9" t="s">
        <v>40</v>
      </c>
      <c r="L176" s="9" t="s">
        <v>493</v>
      </c>
      <c r="M176" s="9" t="s">
        <v>493</v>
      </c>
      <c r="N176" s="9" t="s">
        <v>493</v>
      </c>
      <c r="O176" s="9" t="s">
        <v>493</v>
      </c>
      <c r="P176" s="21">
        <v>11.781599999999999</v>
      </c>
      <c r="Q176" s="116">
        <f t="shared" si="4"/>
        <v>44749</v>
      </c>
      <c r="R176" s="140">
        <v>44861</v>
      </c>
      <c r="S176" s="141">
        <f t="shared" si="5"/>
        <v>112</v>
      </c>
      <c r="T176" s="21">
        <v>13</v>
      </c>
      <c r="V176" s="9" t="s">
        <v>32</v>
      </c>
      <c r="W176" s="9">
        <v>1</v>
      </c>
      <c r="X176" s="121" t="s">
        <v>106</v>
      </c>
      <c r="Y176" s="140">
        <v>44907</v>
      </c>
      <c r="Z176" s="21">
        <v>2.6957426515217202</v>
      </c>
      <c r="AA176" s="23">
        <v>3</v>
      </c>
      <c r="AB176" s="32" t="s">
        <v>196</v>
      </c>
      <c r="AC176" s="32" t="s">
        <v>197</v>
      </c>
      <c r="AD176" s="9" t="s">
        <v>168</v>
      </c>
      <c r="AE176" s="9" t="s">
        <v>216</v>
      </c>
      <c r="AF176" s="9">
        <v>126</v>
      </c>
      <c r="AG176" s="138" t="s">
        <v>680</v>
      </c>
      <c r="AH176" s="138" t="s">
        <v>1697</v>
      </c>
      <c r="AI176" s="9" t="s">
        <v>1790</v>
      </c>
    </row>
    <row r="177" spans="1:35">
      <c r="A177" s="138" t="s">
        <v>740</v>
      </c>
      <c r="B177" s="139">
        <v>44749</v>
      </c>
      <c r="C177" s="138" t="s">
        <v>487</v>
      </c>
      <c r="D177" s="138"/>
      <c r="E177" s="9">
        <v>8</v>
      </c>
      <c r="F177" s="138"/>
      <c r="G177" s="9" t="s">
        <v>15</v>
      </c>
      <c r="H177" s="9" t="s">
        <v>230</v>
      </c>
      <c r="J177" s="9" t="s">
        <v>253</v>
      </c>
      <c r="L177" s="9" t="s">
        <v>493</v>
      </c>
      <c r="M177" s="9" t="s">
        <v>493</v>
      </c>
      <c r="N177" s="9" t="s">
        <v>493</v>
      </c>
      <c r="O177" s="9" t="s">
        <v>493</v>
      </c>
      <c r="P177" s="21">
        <v>10.1836</v>
      </c>
      <c r="Q177" s="116">
        <f t="shared" si="4"/>
        <v>44749</v>
      </c>
      <c r="R177" s="140">
        <v>44865</v>
      </c>
      <c r="S177" s="141">
        <f t="shared" si="5"/>
        <v>116</v>
      </c>
      <c r="T177" s="21">
        <v>7.28</v>
      </c>
      <c r="V177" s="9" t="s">
        <v>32</v>
      </c>
      <c r="W177" s="9">
        <v>1</v>
      </c>
      <c r="X177" s="121" t="s">
        <v>111</v>
      </c>
      <c r="Y177" s="140">
        <v>44907</v>
      </c>
      <c r="Z177" s="21">
        <v>2.8370762160756091</v>
      </c>
      <c r="AA177" s="23">
        <v>3</v>
      </c>
      <c r="AB177" s="32" t="s">
        <v>206</v>
      </c>
      <c r="AC177" s="32" t="s">
        <v>207</v>
      </c>
      <c r="AD177" s="9" t="s">
        <v>168</v>
      </c>
      <c r="AE177" s="9" t="s">
        <v>216</v>
      </c>
      <c r="AF177" s="9">
        <v>186</v>
      </c>
      <c r="AG177" s="138" t="s">
        <v>681</v>
      </c>
      <c r="AH177" s="138" t="s">
        <v>1697</v>
      </c>
      <c r="AI177" s="9" t="s">
        <v>1790</v>
      </c>
    </row>
    <row r="178" spans="1:35">
      <c r="A178" s="138" t="s">
        <v>741</v>
      </c>
      <c r="B178" s="139">
        <v>44749</v>
      </c>
      <c r="C178" s="138" t="s">
        <v>487</v>
      </c>
      <c r="D178" s="138"/>
      <c r="E178" s="9">
        <v>9</v>
      </c>
      <c r="F178" s="138"/>
      <c r="G178" s="9" t="s">
        <v>12</v>
      </c>
      <c r="H178" s="9" t="s">
        <v>230</v>
      </c>
      <c r="J178" s="9" t="s">
        <v>254</v>
      </c>
      <c r="L178" s="9" t="s">
        <v>493</v>
      </c>
      <c r="M178" s="9" t="s">
        <v>493</v>
      </c>
      <c r="N178" s="9" t="s">
        <v>493</v>
      </c>
      <c r="O178" s="9" t="s">
        <v>493</v>
      </c>
      <c r="P178" s="21">
        <v>12.233000000000001</v>
      </c>
      <c r="Q178" s="116">
        <f t="shared" si="4"/>
        <v>44749</v>
      </c>
      <c r="R178" s="140">
        <v>44886</v>
      </c>
      <c r="S178" s="141">
        <f t="shared" si="5"/>
        <v>137</v>
      </c>
      <c r="T178" s="21">
        <v>7.4</v>
      </c>
      <c r="V178" s="9" t="s">
        <v>32</v>
      </c>
      <c r="W178" s="9">
        <v>1</v>
      </c>
      <c r="X178" s="121" t="s">
        <v>142</v>
      </c>
      <c r="Y178" s="140">
        <v>44907</v>
      </c>
      <c r="Z178" s="21">
        <v>4.7715251885892656</v>
      </c>
      <c r="AA178" s="23">
        <v>3</v>
      </c>
      <c r="AB178" s="32" t="s">
        <v>206</v>
      </c>
      <c r="AC178" s="32" t="s">
        <v>207</v>
      </c>
      <c r="AD178" s="9" t="s">
        <v>169</v>
      </c>
      <c r="AE178" s="9" t="s">
        <v>217</v>
      </c>
      <c r="AF178" s="9">
        <v>187</v>
      </c>
      <c r="AG178" s="138" t="s">
        <v>682</v>
      </c>
      <c r="AH178" s="138" t="s">
        <v>1697</v>
      </c>
      <c r="AI178" s="9" t="s">
        <v>1790</v>
      </c>
    </row>
    <row r="179" spans="1:35">
      <c r="A179" s="138" t="s">
        <v>742</v>
      </c>
      <c r="B179" s="139">
        <v>44749</v>
      </c>
      <c r="C179" s="138" t="s">
        <v>487</v>
      </c>
      <c r="D179" s="138"/>
      <c r="E179" s="9">
        <v>10</v>
      </c>
      <c r="F179" s="138"/>
      <c r="G179" s="9" t="s">
        <v>11</v>
      </c>
      <c r="H179" s="9" t="s">
        <v>3</v>
      </c>
      <c r="J179" s="9" t="s">
        <v>40</v>
      </c>
      <c r="L179" s="9" t="s">
        <v>493</v>
      </c>
      <c r="M179" s="9" t="s">
        <v>493</v>
      </c>
      <c r="N179" s="9" t="s">
        <v>493</v>
      </c>
      <c r="O179" s="9" t="s">
        <v>493</v>
      </c>
      <c r="P179" s="21">
        <v>12.7402</v>
      </c>
      <c r="Q179" s="116">
        <f t="shared" si="4"/>
        <v>44749</v>
      </c>
      <c r="R179" s="140">
        <v>44861</v>
      </c>
      <c r="S179" s="141">
        <f t="shared" si="5"/>
        <v>112</v>
      </c>
      <c r="T179" s="21">
        <v>9.8000000000000007</v>
      </c>
      <c r="V179" s="9" t="s">
        <v>32</v>
      </c>
      <c r="W179" s="9">
        <v>1</v>
      </c>
      <c r="X179" s="121" t="s">
        <v>121</v>
      </c>
      <c r="Y179" s="140">
        <v>44907</v>
      </c>
      <c r="Z179" s="21">
        <v>3.1544264285094945</v>
      </c>
      <c r="AA179" s="23">
        <v>3</v>
      </c>
      <c r="AB179" s="32" t="s">
        <v>202</v>
      </c>
      <c r="AC179" s="32" t="s">
        <v>203</v>
      </c>
      <c r="AD179" s="9" t="s">
        <v>172</v>
      </c>
      <c r="AE179" s="9" t="s">
        <v>220</v>
      </c>
      <c r="AF179" s="9">
        <v>164</v>
      </c>
      <c r="AG179" s="138" t="s">
        <v>683</v>
      </c>
      <c r="AH179" s="138" t="s">
        <v>1697</v>
      </c>
      <c r="AI179" s="9" t="s">
        <v>1790</v>
      </c>
    </row>
    <row r="180" spans="1:35">
      <c r="A180" s="138" t="s">
        <v>743</v>
      </c>
      <c r="B180" s="139">
        <v>44749</v>
      </c>
      <c r="C180" s="138" t="s">
        <v>487</v>
      </c>
      <c r="D180" s="138"/>
      <c r="E180" s="9">
        <v>11</v>
      </c>
      <c r="F180" s="138"/>
      <c r="G180" s="9" t="s">
        <v>9</v>
      </c>
      <c r="H180" s="9" t="s">
        <v>3</v>
      </c>
      <c r="J180" s="9" t="s">
        <v>253</v>
      </c>
      <c r="L180" s="9" t="s">
        <v>493</v>
      </c>
      <c r="M180" s="9" t="s">
        <v>493</v>
      </c>
      <c r="N180" s="9" t="s">
        <v>493</v>
      </c>
      <c r="O180" s="9" t="s">
        <v>493</v>
      </c>
      <c r="P180" s="21">
        <v>9.8937000000000008</v>
      </c>
      <c r="Q180" s="116">
        <f t="shared" si="4"/>
        <v>44749</v>
      </c>
      <c r="R180" s="140">
        <v>44886</v>
      </c>
      <c r="S180" s="141">
        <f t="shared" si="5"/>
        <v>137</v>
      </c>
      <c r="T180" s="21">
        <v>14.2</v>
      </c>
      <c r="V180" s="9" t="s">
        <v>32</v>
      </c>
      <c r="W180" s="9">
        <v>1</v>
      </c>
      <c r="X180" s="121" t="s">
        <v>125</v>
      </c>
      <c r="Y180" s="140">
        <v>44907</v>
      </c>
      <c r="Z180" s="21">
        <v>3.08</v>
      </c>
      <c r="AA180" s="23">
        <v>3</v>
      </c>
      <c r="AB180" s="32" t="s">
        <v>202</v>
      </c>
      <c r="AC180" s="32" t="s">
        <v>203</v>
      </c>
      <c r="AD180" s="9" t="s">
        <v>170</v>
      </c>
      <c r="AE180" s="9" t="s">
        <v>218</v>
      </c>
      <c r="AF180" s="9">
        <v>165</v>
      </c>
      <c r="AG180" s="138" t="s">
        <v>684</v>
      </c>
      <c r="AH180" s="138" t="s">
        <v>1697</v>
      </c>
      <c r="AI180" s="9" t="s">
        <v>1790</v>
      </c>
    </row>
    <row r="181" spans="1:35">
      <c r="A181" s="138" t="s">
        <v>744</v>
      </c>
      <c r="B181" s="139">
        <v>44749</v>
      </c>
      <c r="C181" s="138" t="s">
        <v>487</v>
      </c>
      <c r="D181" s="138"/>
      <c r="E181" s="9">
        <v>12</v>
      </c>
      <c r="F181" s="138"/>
      <c r="G181" s="9" t="s">
        <v>16</v>
      </c>
      <c r="H181" s="9" t="s">
        <v>3</v>
      </c>
      <c r="J181" s="9" t="s">
        <v>254</v>
      </c>
      <c r="L181" s="9" t="s">
        <v>493</v>
      </c>
      <c r="M181" s="9" t="s">
        <v>493</v>
      </c>
      <c r="N181" s="9" t="s">
        <v>493</v>
      </c>
      <c r="O181" s="9" t="s">
        <v>493</v>
      </c>
      <c r="P181" s="21">
        <v>11.0032</v>
      </c>
      <c r="Q181" s="116">
        <f t="shared" si="4"/>
        <v>44749</v>
      </c>
      <c r="R181" s="140">
        <v>44861</v>
      </c>
      <c r="S181" s="141">
        <f t="shared" si="5"/>
        <v>112</v>
      </c>
      <c r="T181" s="21">
        <v>6.9</v>
      </c>
      <c r="V181" s="9" t="s">
        <v>32</v>
      </c>
      <c r="W181" s="9">
        <v>1</v>
      </c>
      <c r="X181" s="121" t="s">
        <v>132</v>
      </c>
      <c r="Y181" s="140">
        <v>44907</v>
      </c>
      <c r="Z181" s="21">
        <v>3.8454868637821904</v>
      </c>
      <c r="AA181" s="23">
        <v>3</v>
      </c>
      <c r="AB181" s="32" t="s">
        <v>202</v>
      </c>
      <c r="AC181" s="32" t="s">
        <v>203</v>
      </c>
      <c r="AD181" s="9" t="s">
        <v>171</v>
      </c>
      <c r="AE181" s="9" t="s">
        <v>219</v>
      </c>
      <c r="AF181" s="9">
        <v>166</v>
      </c>
      <c r="AG181" s="138" t="s">
        <v>685</v>
      </c>
      <c r="AH181" s="138" t="s">
        <v>1697</v>
      </c>
      <c r="AI181" s="9" t="s">
        <v>1790</v>
      </c>
    </row>
    <row r="182" spans="1:35">
      <c r="A182" s="138" t="s">
        <v>745</v>
      </c>
      <c r="B182" s="139">
        <v>44749</v>
      </c>
      <c r="C182" s="138" t="s">
        <v>487</v>
      </c>
      <c r="D182" s="138"/>
      <c r="E182" s="9">
        <v>13</v>
      </c>
      <c r="F182" s="138"/>
      <c r="G182" s="9" t="s">
        <v>11</v>
      </c>
      <c r="H182" s="9" t="s">
        <v>3</v>
      </c>
      <c r="J182" s="9" t="s">
        <v>40</v>
      </c>
      <c r="L182" s="9" t="s">
        <v>493</v>
      </c>
      <c r="M182" s="9" t="s">
        <v>493</v>
      </c>
      <c r="N182" s="9" t="s">
        <v>493</v>
      </c>
      <c r="O182" s="9" t="s">
        <v>493</v>
      </c>
      <c r="P182" s="21">
        <v>11.5428</v>
      </c>
      <c r="Q182" s="116">
        <f t="shared" si="4"/>
        <v>44749</v>
      </c>
      <c r="R182" s="140">
        <v>44890</v>
      </c>
      <c r="S182" s="141">
        <f t="shared" si="5"/>
        <v>141</v>
      </c>
      <c r="T182" s="21">
        <v>12.7</v>
      </c>
      <c r="V182" s="9" t="s">
        <v>32</v>
      </c>
      <c r="W182" s="9">
        <v>1</v>
      </c>
      <c r="X182" s="121" t="s">
        <v>72</v>
      </c>
      <c r="Y182" s="140">
        <v>44907</v>
      </c>
      <c r="Z182" s="21">
        <v>1.474031041359577</v>
      </c>
      <c r="AA182" s="23">
        <v>3</v>
      </c>
      <c r="AB182" s="32" t="s">
        <v>198</v>
      </c>
      <c r="AC182" s="32" t="s">
        <v>199</v>
      </c>
      <c r="AD182" s="9" t="s">
        <v>69</v>
      </c>
      <c r="AE182" s="9" t="s">
        <v>214</v>
      </c>
      <c r="AF182" s="9">
        <v>143</v>
      </c>
      <c r="AG182" s="138" t="s">
        <v>686</v>
      </c>
      <c r="AH182" s="138" t="s">
        <v>1697</v>
      </c>
      <c r="AI182" s="9" t="s">
        <v>1790</v>
      </c>
    </row>
    <row r="183" spans="1:35">
      <c r="A183" s="138" t="s">
        <v>746</v>
      </c>
      <c r="B183" s="139">
        <v>44749</v>
      </c>
      <c r="C183" s="138" t="s">
        <v>487</v>
      </c>
      <c r="D183" s="138"/>
      <c r="E183" s="9">
        <v>14</v>
      </c>
      <c r="F183" s="138"/>
      <c r="G183" s="9" t="s">
        <v>16</v>
      </c>
      <c r="H183" s="9" t="s">
        <v>3</v>
      </c>
      <c r="J183" s="9" t="s">
        <v>254</v>
      </c>
      <c r="L183" s="9" t="s">
        <v>493</v>
      </c>
      <c r="M183" s="9" t="s">
        <v>493</v>
      </c>
      <c r="N183" s="9" t="s">
        <v>493</v>
      </c>
      <c r="O183" s="9" t="s">
        <v>493</v>
      </c>
      <c r="P183" s="21">
        <v>11.964</v>
      </c>
      <c r="Q183" s="116">
        <f t="shared" si="4"/>
        <v>44749</v>
      </c>
      <c r="R183" s="140">
        <v>44890</v>
      </c>
      <c r="S183" s="141">
        <f t="shared" si="5"/>
        <v>141</v>
      </c>
      <c r="T183" s="21">
        <v>9.14</v>
      </c>
      <c r="V183" s="9" t="s">
        <v>32</v>
      </c>
      <c r="W183" s="9">
        <v>1</v>
      </c>
      <c r="X183" s="121" t="s">
        <v>129</v>
      </c>
      <c r="Y183" s="140">
        <v>44907</v>
      </c>
      <c r="Z183" s="21">
        <v>4.47</v>
      </c>
      <c r="AA183" s="23">
        <v>3</v>
      </c>
      <c r="AB183" s="32" t="s">
        <v>198</v>
      </c>
      <c r="AC183" s="32" t="s">
        <v>199</v>
      </c>
      <c r="AD183" s="9" t="s">
        <v>167</v>
      </c>
      <c r="AE183" s="9" t="s">
        <v>215</v>
      </c>
      <c r="AF183" s="9">
        <v>144</v>
      </c>
      <c r="AG183" s="138" t="s">
        <v>687</v>
      </c>
      <c r="AH183" s="138" t="s">
        <v>1697</v>
      </c>
      <c r="AI183" s="9" t="s">
        <v>1790</v>
      </c>
    </row>
    <row r="184" spans="1:35">
      <c r="A184" s="138" t="s">
        <v>747</v>
      </c>
      <c r="B184" s="139">
        <v>44749</v>
      </c>
      <c r="C184" s="138" t="s">
        <v>487</v>
      </c>
      <c r="D184" s="138"/>
      <c r="E184" s="9">
        <v>15</v>
      </c>
      <c r="F184" s="138"/>
      <c r="G184" s="9" t="s">
        <v>9</v>
      </c>
      <c r="H184" s="9" t="s">
        <v>3</v>
      </c>
      <c r="J184" s="9" t="s">
        <v>253</v>
      </c>
      <c r="L184" s="9" t="s">
        <v>493</v>
      </c>
      <c r="M184" s="9" t="s">
        <v>493</v>
      </c>
      <c r="N184" s="9" t="s">
        <v>493</v>
      </c>
      <c r="O184" s="9" t="s">
        <v>493</v>
      </c>
      <c r="P184" s="21">
        <v>9.7195</v>
      </c>
      <c r="Q184" s="116">
        <f t="shared" si="4"/>
        <v>44749</v>
      </c>
      <c r="R184" s="140">
        <v>44890</v>
      </c>
      <c r="S184" s="141">
        <f t="shared" si="5"/>
        <v>141</v>
      </c>
      <c r="T184" s="21">
        <v>10</v>
      </c>
      <c r="V184" s="9" t="s">
        <v>32</v>
      </c>
      <c r="W184" s="9">
        <v>2</v>
      </c>
      <c r="X184" s="121" t="s">
        <v>50</v>
      </c>
      <c r="Y184" s="140">
        <v>44908</v>
      </c>
      <c r="Z184" s="21">
        <v>14.29</v>
      </c>
      <c r="AA184" s="23">
        <v>2</v>
      </c>
      <c r="AB184" s="32" t="s">
        <v>159</v>
      </c>
      <c r="AC184" s="32" t="s">
        <v>188</v>
      </c>
      <c r="AD184" s="9" t="s">
        <v>173</v>
      </c>
      <c r="AE184" s="9" t="s">
        <v>221</v>
      </c>
      <c r="AF184" s="9">
        <v>241</v>
      </c>
      <c r="AG184" s="138" t="s">
        <v>688</v>
      </c>
      <c r="AH184" s="138" t="s">
        <v>1697</v>
      </c>
      <c r="AI184" s="9" t="s">
        <v>1790</v>
      </c>
    </row>
    <row r="185" spans="1:35">
      <c r="A185" s="138" t="s">
        <v>748</v>
      </c>
      <c r="B185" s="139">
        <v>44749</v>
      </c>
      <c r="C185" s="138" t="s">
        <v>487</v>
      </c>
      <c r="D185" s="138"/>
      <c r="E185" s="9">
        <v>16</v>
      </c>
      <c r="F185" s="138"/>
      <c r="G185" s="9" t="s">
        <v>15</v>
      </c>
      <c r="H185" s="9" t="s">
        <v>230</v>
      </c>
      <c r="J185" s="9" t="s">
        <v>253</v>
      </c>
      <c r="L185" s="9" t="s">
        <v>493</v>
      </c>
      <c r="M185" s="9" t="s">
        <v>493</v>
      </c>
      <c r="N185" s="9" t="s">
        <v>493</v>
      </c>
      <c r="O185" s="9" t="s">
        <v>493</v>
      </c>
      <c r="P185" s="21">
        <v>11.140499999999999</v>
      </c>
      <c r="Q185" s="116">
        <f t="shared" si="4"/>
        <v>44749</v>
      </c>
      <c r="R185" s="140">
        <v>44890</v>
      </c>
      <c r="S185" s="141">
        <f t="shared" si="5"/>
        <v>141</v>
      </c>
      <c r="T185" s="21">
        <v>10.7</v>
      </c>
      <c r="V185" s="9" t="s">
        <v>32</v>
      </c>
      <c r="W185" s="9">
        <v>2</v>
      </c>
      <c r="X185" s="121" t="s">
        <v>143</v>
      </c>
      <c r="Y185" s="140">
        <v>44908</v>
      </c>
      <c r="Z185" s="21">
        <v>7.2046337476049009</v>
      </c>
      <c r="AA185" s="23">
        <v>2</v>
      </c>
      <c r="AB185" s="32" t="s">
        <v>158</v>
      </c>
      <c r="AC185" s="32" t="s">
        <v>187</v>
      </c>
      <c r="AD185" s="9" t="s">
        <v>174</v>
      </c>
      <c r="AE185" s="9" t="s">
        <v>222</v>
      </c>
      <c r="AF185" s="9">
        <v>230</v>
      </c>
      <c r="AG185" s="138" t="s">
        <v>689</v>
      </c>
      <c r="AH185" s="138" t="s">
        <v>1697</v>
      </c>
      <c r="AI185" s="9" t="s">
        <v>1790</v>
      </c>
    </row>
    <row r="186" spans="1:35">
      <c r="A186" s="138" t="s">
        <v>749</v>
      </c>
      <c r="B186" s="139">
        <v>44749</v>
      </c>
      <c r="C186" s="138" t="s">
        <v>487</v>
      </c>
      <c r="D186" s="138"/>
      <c r="E186" s="9">
        <v>17</v>
      </c>
      <c r="F186" s="138"/>
      <c r="G186" s="9" t="s">
        <v>14</v>
      </c>
      <c r="H186" s="9" t="s">
        <v>230</v>
      </c>
      <c r="J186" s="9" t="s">
        <v>40</v>
      </c>
      <c r="L186" s="9" t="s">
        <v>493</v>
      </c>
      <c r="M186" s="9" t="s">
        <v>493</v>
      </c>
      <c r="N186" s="9" t="s">
        <v>493</v>
      </c>
      <c r="O186" s="9" t="s">
        <v>493</v>
      </c>
      <c r="P186" s="21">
        <v>12.7216</v>
      </c>
      <c r="Q186" s="116">
        <f t="shared" si="4"/>
        <v>44749</v>
      </c>
      <c r="R186" s="140">
        <v>44893</v>
      </c>
      <c r="S186" s="141">
        <f t="shared" si="5"/>
        <v>144</v>
      </c>
      <c r="T186" s="21">
        <v>15.7</v>
      </c>
      <c r="V186" s="9" t="s">
        <v>32</v>
      </c>
      <c r="W186" s="9">
        <v>2</v>
      </c>
      <c r="X186" s="121" t="s">
        <v>82</v>
      </c>
      <c r="Y186" s="140">
        <v>44908</v>
      </c>
      <c r="Z186" s="21">
        <v>6.0734438448151602</v>
      </c>
      <c r="AA186" s="23">
        <v>2</v>
      </c>
      <c r="AB186" s="32" t="s">
        <v>156</v>
      </c>
      <c r="AC186" s="32" t="s">
        <v>185</v>
      </c>
      <c r="AD186" s="9" t="s">
        <v>175</v>
      </c>
      <c r="AE186" s="9" t="s">
        <v>223</v>
      </c>
      <c r="AF186" s="9">
        <v>207</v>
      </c>
      <c r="AG186" s="138" t="s">
        <v>690</v>
      </c>
      <c r="AH186" s="138" t="s">
        <v>1697</v>
      </c>
    </row>
    <row r="187" spans="1:35">
      <c r="A187" s="138" t="s">
        <v>750</v>
      </c>
      <c r="B187" s="139">
        <v>44749</v>
      </c>
      <c r="C187" s="138" t="s">
        <v>487</v>
      </c>
      <c r="D187" s="138"/>
      <c r="E187" s="9">
        <v>18</v>
      </c>
      <c r="F187" s="138"/>
      <c r="G187" s="9" t="s">
        <v>12</v>
      </c>
      <c r="H187" s="9" t="s">
        <v>230</v>
      </c>
      <c r="J187" s="9" t="s">
        <v>254</v>
      </c>
      <c r="L187" s="9" t="s">
        <v>493</v>
      </c>
      <c r="M187" s="9" t="s">
        <v>493</v>
      </c>
      <c r="N187" s="9" t="s">
        <v>493</v>
      </c>
      <c r="O187" s="9" t="s">
        <v>493</v>
      </c>
      <c r="P187" s="21">
        <v>13.8733</v>
      </c>
      <c r="Q187" s="116">
        <f t="shared" si="4"/>
        <v>44749</v>
      </c>
      <c r="R187" s="140">
        <v>44893</v>
      </c>
      <c r="S187" s="141">
        <f t="shared" si="5"/>
        <v>144</v>
      </c>
      <c r="T187" s="21">
        <v>8.77</v>
      </c>
      <c r="V187" s="9" t="s">
        <v>32</v>
      </c>
      <c r="W187" s="9">
        <v>2</v>
      </c>
      <c r="X187" s="121" t="s">
        <v>147</v>
      </c>
      <c r="Y187" s="140">
        <v>44908</v>
      </c>
      <c r="Z187" s="21">
        <v>8.7911122048974288</v>
      </c>
      <c r="AA187" s="23">
        <v>2</v>
      </c>
      <c r="AB187" s="32" t="s">
        <v>162</v>
      </c>
      <c r="AC187" s="32" t="s">
        <v>192</v>
      </c>
      <c r="AD187" s="9" t="s">
        <v>175</v>
      </c>
      <c r="AE187" s="9" t="s">
        <v>223</v>
      </c>
      <c r="AF187" s="9">
        <v>279</v>
      </c>
      <c r="AG187" s="138" t="s">
        <v>691</v>
      </c>
      <c r="AH187" s="138" t="s">
        <v>1697</v>
      </c>
      <c r="AI187" s="9" t="s">
        <v>1790</v>
      </c>
    </row>
    <row r="188" spans="1:35">
      <c r="A188" s="138" t="s">
        <v>751</v>
      </c>
      <c r="B188" s="139">
        <v>44749</v>
      </c>
      <c r="C188" s="138" t="s">
        <v>487</v>
      </c>
      <c r="D188" s="138"/>
      <c r="E188" s="9">
        <v>19</v>
      </c>
      <c r="F188" s="138"/>
      <c r="G188" s="9" t="s">
        <v>9</v>
      </c>
      <c r="H188" s="9" t="s">
        <v>3</v>
      </c>
      <c r="J188" s="9" t="s">
        <v>253</v>
      </c>
      <c r="L188" s="9" t="s">
        <v>493</v>
      </c>
      <c r="M188" s="9" t="s">
        <v>493</v>
      </c>
      <c r="N188" s="9" t="s">
        <v>493</v>
      </c>
      <c r="O188" s="9" t="s">
        <v>493</v>
      </c>
      <c r="P188" s="21">
        <v>10.461</v>
      </c>
      <c r="Q188" s="116">
        <f t="shared" si="4"/>
        <v>44749</v>
      </c>
      <c r="R188" s="140">
        <v>44893</v>
      </c>
      <c r="S188" s="141">
        <f t="shared" si="5"/>
        <v>144</v>
      </c>
      <c r="T188" s="21">
        <v>7.19</v>
      </c>
      <c r="V188" s="9" t="s">
        <v>32</v>
      </c>
      <c r="W188" s="9">
        <v>2</v>
      </c>
      <c r="X188" s="121" t="s">
        <v>96</v>
      </c>
      <c r="Y188" s="140">
        <v>44908</v>
      </c>
      <c r="Z188" s="21">
        <v>8.5564364441788108</v>
      </c>
      <c r="AA188" s="23">
        <v>2</v>
      </c>
      <c r="AB188" s="32" t="s">
        <v>191</v>
      </c>
      <c r="AC188" s="32" t="s">
        <v>190</v>
      </c>
      <c r="AD188" s="9" t="s">
        <v>176</v>
      </c>
      <c r="AE188" s="9" t="s">
        <v>224</v>
      </c>
      <c r="AF188" s="9">
        <v>268</v>
      </c>
      <c r="AG188" s="138" t="s">
        <v>692</v>
      </c>
      <c r="AH188" s="138" t="s">
        <v>1697</v>
      </c>
      <c r="AI188" s="9" t="s">
        <v>1790</v>
      </c>
    </row>
    <row r="189" spans="1:35">
      <c r="A189" s="138" t="s">
        <v>752</v>
      </c>
      <c r="B189" s="139">
        <v>44749</v>
      </c>
      <c r="C189" s="138" t="s">
        <v>487</v>
      </c>
      <c r="D189" s="138"/>
      <c r="E189" s="9">
        <v>20</v>
      </c>
      <c r="F189" s="138"/>
      <c r="G189" s="9" t="s">
        <v>11</v>
      </c>
      <c r="H189" s="9" t="s">
        <v>3</v>
      </c>
      <c r="J189" s="9" t="s">
        <v>40</v>
      </c>
      <c r="L189" s="9" t="s">
        <v>493</v>
      </c>
      <c r="M189" s="9" t="s">
        <v>493</v>
      </c>
      <c r="N189" s="9" t="s">
        <v>493</v>
      </c>
      <c r="O189" s="9" t="s">
        <v>493</v>
      </c>
      <c r="P189" s="21">
        <v>13.087199999999999</v>
      </c>
      <c r="Q189" s="116">
        <f t="shared" si="4"/>
        <v>44749</v>
      </c>
      <c r="R189" s="140">
        <v>44894</v>
      </c>
      <c r="S189" s="141">
        <f t="shared" si="5"/>
        <v>145</v>
      </c>
      <c r="T189" s="21">
        <v>6.5</v>
      </c>
      <c r="V189" s="9" t="s">
        <v>33</v>
      </c>
      <c r="W189" s="9">
        <v>4</v>
      </c>
      <c r="X189" s="121" t="s">
        <v>144</v>
      </c>
      <c r="Y189" s="140">
        <v>45308</v>
      </c>
      <c r="Z189" s="21">
        <v>32.799999999999997</v>
      </c>
      <c r="AA189" s="23">
        <v>4</v>
      </c>
      <c r="AB189" s="32" t="s">
        <v>200</v>
      </c>
      <c r="AC189" s="32" t="s">
        <v>201</v>
      </c>
      <c r="AD189" s="9" t="s">
        <v>177</v>
      </c>
      <c r="AE189" s="9" t="s">
        <v>225</v>
      </c>
      <c r="AF189" s="9">
        <v>342</v>
      </c>
      <c r="AG189" s="138" t="s">
        <v>693</v>
      </c>
      <c r="AH189" s="138" t="s">
        <v>1697</v>
      </c>
    </row>
    <row r="190" spans="1:35">
      <c r="A190" s="138" t="s">
        <v>753</v>
      </c>
      <c r="B190" s="139">
        <v>44749</v>
      </c>
      <c r="C190" s="138" t="s">
        <v>487</v>
      </c>
      <c r="D190" s="138"/>
      <c r="E190" s="9">
        <v>21</v>
      </c>
      <c r="F190" s="138"/>
      <c r="G190" s="9" t="s">
        <v>14</v>
      </c>
      <c r="H190" s="9" t="s">
        <v>230</v>
      </c>
      <c r="J190" s="9" t="s">
        <v>40</v>
      </c>
      <c r="L190" s="9" t="s">
        <v>493</v>
      </c>
      <c r="M190" s="9" t="s">
        <v>493</v>
      </c>
      <c r="N190" s="9" t="s">
        <v>493</v>
      </c>
      <c r="O190" s="9" t="s">
        <v>493</v>
      </c>
      <c r="P190" s="21">
        <v>12.626300000000001</v>
      </c>
      <c r="Q190" s="116">
        <f t="shared" si="4"/>
        <v>44749</v>
      </c>
      <c r="R190" s="140">
        <v>44893</v>
      </c>
      <c r="S190" s="141">
        <f t="shared" si="5"/>
        <v>144</v>
      </c>
      <c r="T190" s="21">
        <v>3.46</v>
      </c>
      <c r="V190" s="9" t="s">
        <v>32</v>
      </c>
      <c r="W190" s="9">
        <v>2</v>
      </c>
      <c r="X190" s="121" t="s">
        <v>97</v>
      </c>
      <c r="Y190" s="140">
        <v>44908</v>
      </c>
      <c r="Z190" s="21">
        <v>18.643978413345756</v>
      </c>
      <c r="AA190" s="23">
        <v>2</v>
      </c>
      <c r="AB190" s="32" t="s">
        <v>158</v>
      </c>
      <c r="AC190" s="32" t="s">
        <v>187</v>
      </c>
      <c r="AD190" s="9" t="s">
        <v>177</v>
      </c>
      <c r="AE190" s="9" t="s">
        <v>225</v>
      </c>
      <c r="AF190" s="9">
        <v>234</v>
      </c>
      <c r="AG190" s="138" t="s">
        <v>694</v>
      </c>
      <c r="AH190" s="138" t="s">
        <v>1697</v>
      </c>
    </row>
    <row r="191" spans="1:35">
      <c r="A191" s="138" t="s">
        <v>754</v>
      </c>
      <c r="B191" s="139">
        <v>44749</v>
      </c>
      <c r="C191" s="138" t="s">
        <v>487</v>
      </c>
      <c r="D191" s="138"/>
      <c r="E191" s="9">
        <v>22</v>
      </c>
      <c r="F191" s="138"/>
      <c r="G191" s="9" t="s">
        <v>12</v>
      </c>
      <c r="H191" s="9" t="s">
        <v>230</v>
      </c>
      <c r="J191" s="9" t="s">
        <v>254</v>
      </c>
      <c r="L191" s="9" t="s">
        <v>493</v>
      </c>
      <c r="M191" s="9" t="s">
        <v>493</v>
      </c>
      <c r="N191" s="9" t="s">
        <v>493</v>
      </c>
      <c r="O191" s="9" t="s">
        <v>493</v>
      </c>
      <c r="P191" s="21">
        <v>12.96</v>
      </c>
      <c r="Q191" s="116">
        <f t="shared" si="4"/>
        <v>44749</v>
      </c>
      <c r="R191" s="140">
        <v>44894</v>
      </c>
      <c r="S191" s="141">
        <f t="shared" si="5"/>
        <v>145</v>
      </c>
      <c r="T191" s="21">
        <v>3.04</v>
      </c>
      <c r="V191" s="9" t="s">
        <v>32</v>
      </c>
      <c r="W191" s="9">
        <v>2</v>
      </c>
      <c r="X191" s="121" t="s">
        <v>151</v>
      </c>
      <c r="Y191" s="140">
        <v>44908</v>
      </c>
      <c r="Z191" s="21">
        <v>6.79</v>
      </c>
      <c r="AA191" s="23">
        <v>2</v>
      </c>
      <c r="AB191" s="32" t="s">
        <v>157</v>
      </c>
      <c r="AC191" s="32" t="s">
        <v>186</v>
      </c>
      <c r="AD191" s="9" t="s">
        <v>178</v>
      </c>
      <c r="AE191" s="9" t="s">
        <v>226</v>
      </c>
      <c r="AF191" s="9">
        <v>223</v>
      </c>
      <c r="AG191" s="138" t="s">
        <v>695</v>
      </c>
      <c r="AH191" s="138" t="s">
        <v>1697</v>
      </c>
      <c r="AI191" s="9" t="s">
        <v>1790</v>
      </c>
    </row>
    <row r="192" spans="1:35">
      <c r="A192" s="138" t="s">
        <v>755</v>
      </c>
      <c r="B192" s="139">
        <v>44749</v>
      </c>
      <c r="C192" s="138" t="s">
        <v>487</v>
      </c>
      <c r="D192" s="138"/>
      <c r="E192" s="9">
        <v>23</v>
      </c>
      <c r="F192" s="138"/>
      <c r="G192" s="9" t="s">
        <v>15</v>
      </c>
      <c r="H192" s="9" t="s">
        <v>230</v>
      </c>
      <c r="J192" s="9" t="s">
        <v>253</v>
      </c>
      <c r="L192" s="9" t="s">
        <v>493</v>
      </c>
      <c r="M192" s="9" t="s">
        <v>493</v>
      </c>
      <c r="N192" s="9" t="s">
        <v>493</v>
      </c>
      <c r="O192" s="9" t="s">
        <v>493</v>
      </c>
      <c r="P192" s="21">
        <v>9.8821999999999992</v>
      </c>
      <c r="Q192" s="116">
        <f t="shared" si="4"/>
        <v>44749</v>
      </c>
      <c r="R192" s="140">
        <v>44894</v>
      </c>
      <c r="S192" s="141">
        <f t="shared" si="5"/>
        <v>145</v>
      </c>
      <c r="T192" s="21">
        <v>7.89</v>
      </c>
      <c r="V192" s="9" t="s">
        <v>32</v>
      </c>
      <c r="W192" s="9">
        <v>2</v>
      </c>
      <c r="X192" s="121" t="s">
        <v>153</v>
      </c>
      <c r="Y192" s="140">
        <v>44908</v>
      </c>
      <c r="Z192" s="21">
        <v>7.3628421256174521</v>
      </c>
      <c r="AA192" s="23">
        <v>2</v>
      </c>
      <c r="AB192" s="32" t="s">
        <v>156</v>
      </c>
      <c r="AC192" s="32" t="s">
        <v>185</v>
      </c>
      <c r="AD192" s="9" t="s">
        <v>179</v>
      </c>
      <c r="AE192" s="9" t="s">
        <v>227</v>
      </c>
      <c r="AF192" s="9">
        <v>212</v>
      </c>
      <c r="AG192" s="138" t="s">
        <v>696</v>
      </c>
      <c r="AH192" s="138" t="s">
        <v>1697</v>
      </c>
    </row>
    <row r="193" spans="1:35">
      <c r="A193" s="138" t="s">
        <v>756</v>
      </c>
      <c r="B193" s="139">
        <v>44749</v>
      </c>
      <c r="C193" s="138" t="s">
        <v>487</v>
      </c>
      <c r="D193" s="138"/>
      <c r="E193" s="9">
        <v>24</v>
      </c>
      <c r="F193" s="138"/>
      <c r="G193" s="9" t="s">
        <v>16</v>
      </c>
      <c r="H193" s="9" t="s">
        <v>3</v>
      </c>
      <c r="J193" s="9" t="s">
        <v>254</v>
      </c>
      <c r="L193" s="9" t="s">
        <v>493</v>
      </c>
      <c r="M193" s="9" t="s">
        <v>493</v>
      </c>
      <c r="N193" s="9" t="s">
        <v>493</v>
      </c>
      <c r="O193" s="9" t="s">
        <v>493</v>
      </c>
      <c r="P193" s="21">
        <v>13.586499999999999</v>
      </c>
      <c r="Q193" s="116">
        <f t="shared" si="4"/>
        <v>44749</v>
      </c>
      <c r="R193" s="140">
        <v>44894</v>
      </c>
      <c r="S193" s="141">
        <f t="shared" si="5"/>
        <v>145</v>
      </c>
      <c r="T193" s="21">
        <v>6.07</v>
      </c>
      <c r="V193" s="9" t="s">
        <v>32</v>
      </c>
      <c r="W193" s="9">
        <v>2</v>
      </c>
      <c r="X193" s="121" t="s">
        <v>154</v>
      </c>
      <c r="Y193" s="140">
        <v>44908</v>
      </c>
      <c r="Z193" s="21">
        <v>13.04</v>
      </c>
      <c r="AA193" s="23">
        <v>2</v>
      </c>
      <c r="AB193" s="32" t="s">
        <v>162</v>
      </c>
      <c r="AC193" s="32" t="s">
        <v>192</v>
      </c>
      <c r="AD193" s="9" t="s">
        <v>179</v>
      </c>
      <c r="AE193" s="9" t="s">
        <v>227</v>
      </c>
      <c r="AF193" s="9">
        <v>284</v>
      </c>
      <c r="AG193" s="138" t="s">
        <v>697</v>
      </c>
      <c r="AH193" s="138" t="s">
        <v>1697</v>
      </c>
    </row>
    <row r="194" spans="1:35">
      <c r="A194" s="138" t="s">
        <v>698</v>
      </c>
      <c r="B194" s="139">
        <v>44756</v>
      </c>
      <c r="C194" s="138" t="s">
        <v>487</v>
      </c>
      <c r="D194" s="138"/>
      <c r="E194" s="9">
        <v>1</v>
      </c>
      <c r="F194" s="138"/>
      <c r="G194" s="9" t="s">
        <v>9</v>
      </c>
      <c r="H194" s="9" t="s">
        <v>3</v>
      </c>
      <c r="J194" s="9" t="s">
        <v>253</v>
      </c>
      <c r="L194" s="9" t="s">
        <v>493</v>
      </c>
      <c r="M194" s="9" t="s">
        <v>493</v>
      </c>
      <c r="N194" s="9" t="s">
        <v>493</v>
      </c>
      <c r="O194" s="9" t="s">
        <v>493</v>
      </c>
      <c r="P194" s="21">
        <v>13.3093</v>
      </c>
      <c r="Q194" s="116">
        <f t="shared" si="4"/>
        <v>44756</v>
      </c>
      <c r="R194" s="140">
        <v>44860</v>
      </c>
      <c r="S194" s="141">
        <f t="shared" si="5"/>
        <v>104</v>
      </c>
      <c r="T194" s="21">
        <v>7.31</v>
      </c>
      <c r="V194" s="9" t="s">
        <v>32</v>
      </c>
      <c r="W194" s="9">
        <v>1</v>
      </c>
      <c r="X194" s="121" t="s">
        <v>52</v>
      </c>
      <c r="Y194" s="140">
        <v>44907</v>
      </c>
      <c r="Z194" s="21">
        <v>0.93644324980490767</v>
      </c>
      <c r="AA194" s="23">
        <v>3</v>
      </c>
      <c r="AB194" s="32" t="s">
        <v>202</v>
      </c>
      <c r="AC194" s="32" t="s">
        <v>203</v>
      </c>
      <c r="AD194" s="9" t="s">
        <v>163</v>
      </c>
      <c r="AE194" s="9" t="s">
        <v>209</v>
      </c>
      <c r="AF194" s="9">
        <v>157</v>
      </c>
      <c r="AG194" s="138" t="s">
        <v>698</v>
      </c>
      <c r="AH194" s="138" t="s">
        <v>1697</v>
      </c>
      <c r="AI194" s="9" t="s">
        <v>1790</v>
      </c>
    </row>
    <row r="195" spans="1:35">
      <c r="A195" s="138" t="s">
        <v>699</v>
      </c>
      <c r="B195" s="139">
        <v>44756</v>
      </c>
      <c r="C195" s="138" t="s">
        <v>487</v>
      </c>
      <c r="D195" s="138"/>
      <c r="E195" s="9">
        <v>2</v>
      </c>
      <c r="F195" s="138"/>
      <c r="G195" s="9" t="s">
        <v>11</v>
      </c>
      <c r="H195" s="9" t="s">
        <v>3</v>
      </c>
      <c r="J195" s="9" t="s">
        <v>40</v>
      </c>
      <c r="L195" s="9" t="s">
        <v>493</v>
      </c>
      <c r="M195" s="9" t="s">
        <v>493</v>
      </c>
      <c r="N195" s="9" t="s">
        <v>493</v>
      </c>
      <c r="O195" s="9" t="s">
        <v>493</v>
      </c>
      <c r="P195" s="21">
        <v>15.1561</v>
      </c>
      <c r="Q195" s="116">
        <f t="shared" ref="Q195:Q217" si="6">B195</f>
        <v>44756</v>
      </c>
      <c r="R195" s="140">
        <v>44861</v>
      </c>
      <c r="S195" s="141">
        <f t="shared" ref="S195:S217" si="7">R195-Q195</f>
        <v>105</v>
      </c>
      <c r="T195" s="21">
        <v>12.1</v>
      </c>
      <c r="V195" s="9" t="s">
        <v>32</v>
      </c>
      <c r="W195" s="9">
        <v>1</v>
      </c>
      <c r="X195" s="121" t="s">
        <v>80</v>
      </c>
      <c r="Y195" s="140">
        <v>44907</v>
      </c>
      <c r="Z195" s="21">
        <v>2.121737622474638</v>
      </c>
      <c r="AA195" s="23">
        <v>3</v>
      </c>
      <c r="AB195" s="32" t="s">
        <v>196</v>
      </c>
      <c r="AC195" s="32" t="s">
        <v>197</v>
      </c>
      <c r="AD195" s="9" t="s">
        <v>164</v>
      </c>
      <c r="AE195" s="9" t="s">
        <v>210</v>
      </c>
      <c r="AF195" s="9">
        <v>122</v>
      </c>
      <c r="AG195" s="138" t="s">
        <v>699</v>
      </c>
      <c r="AH195" s="138" t="s">
        <v>1697</v>
      </c>
      <c r="AI195" s="9" t="s">
        <v>1790</v>
      </c>
    </row>
    <row r="196" spans="1:35">
      <c r="A196" s="138" t="s">
        <v>700</v>
      </c>
      <c r="B196" s="139">
        <v>44756</v>
      </c>
      <c r="C196" s="138" t="s">
        <v>487</v>
      </c>
      <c r="D196" s="138"/>
      <c r="E196" s="9">
        <v>3</v>
      </c>
      <c r="F196" s="138"/>
      <c r="G196" s="9" t="s">
        <v>12</v>
      </c>
      <c r="H196" s="9" t="s">
        <v>230</v>
      </c>
      <c r="J196" s="9" t="s">
        <v>254</v>
      </c>
      <c r="L196" s="9" t="s">
        <v>493</v>
      </c>
      <c r="M196" s="9" t="s">
        <v>493</v>
      </c>
      <c r="N196" s="9" t="s">
        <v>493</v>
      </c>
      <c r="O196" s="9" t="s">
        <v>493</v>
      </c>
      <c r="P196" s="21">
        <v>14.0321</v>
      </c>
      <c r="Q196" s="116">
        <f t="shared" si="6"/>
        <v>44756</v>
      </c>
      <c r="R196" s="140">
        <v>44860</v>
      </c>
      <c r="S196" s="141">
        <f t="shared" si="7"/>
        <v>104</v>
      </c>
      <c r="T196" s="21">
        <v>10</v>
      </c>
      <c r="V196" s="9" t="s">
        <v>32</v>
      </c>
      <c r="W196" s="9">
        <v>1</v>
      </c>
      <c r="X196" s="121" t="s">
        <v>81</v>
      </c>
      <c r="Y196" s="140">
        <v>44907</v>
      </c>
      <c r="Z196" s="21">
        <v>2.1113326974768101</v>
      </c>
      <c r="AA196" s="23">
        <v>3</v>
      </c>
      <c r="AB196" s="32" t="s">
        <v>42</v>
      </c>
      <c r="AC196" s="32" t="s">
        <v>193</v>
      </c>
      <c r="AD196" s="9" t="s">
        <v>165</v>
      </c>
      <c r="AE196" s="9" t="s">
        <v>211</v>
      </c>
      <c r="AF196" s="9">
        <v>99</v>
      </c>
      <c r="AG196" s="138" t="s">
        <v>700</v>
      </c>
      <c r="AH196" s="138" t="s">
        <v>1697</v>
      </c>
      <c r="AI196" s="9" t="s">
        <v>1790</v>
      </c>
    </row>
    <row r="197" spans="1:35">
      <c r="A197" s="138" t="s">
        <v>701</v>
      </c>
      <c r="B197" s="139">
        <v>44756</v>
      </c>
      <c r="C197" s="138" t="s">
        <v>487</v>
      </c>
      <c r="D197" s="138"/>
      <c r="E197" s="9">
        <v>4</v>
      </c>
      <c r="F197" s="138"/>
      <c r="G197" s="9" t="s">
        <v>14</v>
      </c>
      <c r="H197" s="9" t="s">
        <v>230</v>
      </c>
      <c r="J197" s="9" t="s">
        <v>40</v>
      </c>
      <c r="L197" s="9" t="s">
        <v>493</v>
      </c>
      <c r="M197" s="9" t="s">
        <v>493</v>
      </c>
      <c r="N197" s="9" t="s">
        <v>493</v>
      </c>
      <c r="O197" s="9" t="s">
        <v>493</v>
      </c>
      <c r="P197" s="21">
        <v>14.9617</v>
      </c>
      <c r="Q197" s="116">
        <f t="shared" si="6"/>
        <v>44756</v>
      </c>
      <c r="R197" s="140">
        <v>44861</v>
      </c>
      <c r="S197" s="141">
        <f t="shared" si="7"/>
        <v>105</v>
      </c>
      <c r="T197" s="21">
        <v>18.2</v>
      </c>
      <c r="V197" s="9" t="s">
        <v>32</v>
      </c>
      <c r="W197" s="9">
        <v>1</v>
      </c>
      <c r="X197" s="121" t="s">
        <v>91</v>
      </c>
      <c r="Y197" s="140">
        <v>44907</v>
      </c>
      <c r="Z197" s="21">
        <v>2.5214601578080291</v>
      </c>
      <c r="AA197" s="23">
        <v>3</v>
      </c>
      <c r="AB197" s="32" t="s">
        <v>204</v>
      </c>
      <c r="AC197" s="32" t="s">
        <v>205</v>
      </c>
      <c r="AD197" s="9" t="s">
        <v>165</v>
      </c>
      <c r="AE197" s="9" t="s">
        <v>211</v>
      </c>
      <c r="AF197" s="9">
        <v>171</v>
      </c>
      <c r="AG197" s="138" t="s">
        <v>701</v>
      </c>
      <c r="AH197" s="138" t="s">
        <v>1697</v>
      </c>
    </row>
    <row r="198" spans="1:35">
      <c r="A198" s="138" t="s">
        <v>702</v>
      </c>
      <c r="B198" s="139">
        <v>44756</v>
      </c>
      <c r="C198" s="138" t="s">
        <v>487</v>
      </c>
      <c r="D198" s="138"/>
      <c r="E198" s="9">
        <v>5</v>
      </c>
      <c r="F198" s="138"/>
      <c r="G198" s="9" t="s">
        <v>15</v>
      </c>
      <c r="H198" s="9" t="s">
        <v>230</v>
      </c>
      <c r="J198" s="9" t="s">
        <v>253</v>
      </c>
      <c r="L198" s="9" t="s">
        <v>493</v>
      </c>
      <c r="M198" s="9" t="s">
        <v>493</v>
      </c>
      <c r="N198" s="9" t="s">
        <v>493</v>
      </c>
      <c r="O198" s="9" t="s">
        <v>493</v>
      </c>
      <c r="P198" s="21">
        <v>14.8302</v>
      </c>
      <c r="Q198" s="116">
        <f t="shared" si="6"/>
        <v>44756</v>
      </c>
      <c r="R198" s="140">
        <v>44861</v>
      </c>
      <c r="S198" s="141">
        <f t="shared" si="7"/>
        <v>105</v>
      </c>
      <c r="T198" s="21">
        <v>19.899999999999999</v>
      </c>
      <c r="V198" s="9" t="s">
        <v>32</v>
      </c>
      <c r="W198" s="9">
        <v>1</v>
      </c>
      <c r="X198" s="121" t="s">
        <v>88</v>
      </c>
      <c r="Y198" s="140">
        <v>44907</v>
      </c>
      <c r="Z198" s="21">
        <v>1.4</v>
      </c>
      <c r="AA198" s="23">
        <v>3</v>
      </c>
      <c r="AB198" s="32" t="s">
        <v>200</v>
      </c>
      <c r="AC198" s="32" t="s">
        <v>201</v>
      </c>
      <c r="AD198" s="9" t="s">
        <v>166</v>
      </c>
      <c r="AE198" s="9" t="s">
        <v>212</v>
      </c>
      <c r="AF198" s="9">
        <v>148</v>
      </c>
      <c r="AG198" s="138" t="s">
        <v>702</v>
      </c>
      <c r="AH198" s="138" t="s">
        <v>1697</v>
      </c>
      <c r="AI198" s="9" t="s">
        <v>1790</v>
      </c>
    </row>
    <row r="199" spans="1:35">
      <c r="A199" s="138" t="s">
        <v>703</v>
      </c>
      <c r="B199" s="139">
        <v>44756</v>
      </c>
      <c r="C199" s="138" t="s">
        <v>487</v>
      </c>
      <c r="D199" s="138"/>
      <c r="E199" s="9">
        <v>6</v>
      </c>
      <c r="F199" s="138"/>
      <c r="G199" s="9" t="s">
        <v>16</v>
      </c>
      <c r="H199" s="9" t="s">
        <v>3</v>
      </c>
      <c r="J199" s="9" t="s">
        <v>254</v>
      </c>
      <c r="L199" s="9" t="s">
        <v>493</v>
      </c>
      <c r="M199" s="9" t="s">
        <v>493</v>
      </c>
      <c r="N199" s="9" t="s">
        <v>493</v>
      </c>
      <c r="O199" s="9" t="s">
        <v>493</v>
      </c>
      <c r="P199" s="21">
        <v>13.0677</v>
      </c>
      <c r="Q199" s="116">
        <f t="shared" si="6"/>
        <v>44756</v>
      </c>
      <c r="R199" s="140">
        <v>44865</v>
      </c>
      <c r="S199" s="141">
        <f t="shared" si="7"/>
        <v>109</v>
      </c>
      <c r="T199" s="21">
        <v>7.42</v>
      </c>
      <c r="V199" s="9" t="s">
        <v>32</v>
      </c>
      <c r="W199" s="9">
        <v>1</v>
      </c>
      <c r="X199" s="121" t="s">
        <v>101</v>
      </c>
      <c r="Y199" s="140">
        <v>44907</v>
      </c>
      <c r="Z199" s="21">
        <v>2.1174022370588745</v>
      </c>
      <c r="AA199" s="23">
        <v>3</v>
      </c>
      <c r="AB199" s="32" t="s">
        <v>200</v>
      </c>
      <c r="AC199" s="32" t="s">
        <v>201</v>
      </c>
      <c r="AD199" s="9" t="s">
        <v>43</v>
      </c>
      <c r="AE199" s="9" t="s">
        <v>213</v>
      </c>
      <c r="AF199" s="9">
        <v>149</v>
      </c>
      <c r="AG199" s="138" t="s">
        <v>703</v>
      </c>
      <c r="AH199" s="138" t="s">
        <v>1697</v>
      </c>
      <c r="AI199" s="9" t="s">
        <v>1790</v>
      </c>
    </row>
    <row r="200" spans="1:35">
      <c r="A200" s="138" t="s">
        <v>704</v>
      </c>
      <c r="B200" s="139">
        <v>44756</v>
      </c>
      <c r="C200" s="138" t="s">
        <v>487</v>
      </c>
      <c r="D200" s="138"/>
      <c r="E200" s="9">
        <v>7</v>
      </c>
      <c r="F200" s="138"/>
      <c r="G200" s="9" t="s">
        <v>14</v>
      </c>
      <c r="H200" s="9" t="s">
        <v>230</v>
      </c>
      <c r="J200" s="9" t="s">
        <v>40</v>
      </c>
      <c r="L200" s="9" t="s">
        <v>493</v>
      </c>
      <c r="M200" s="9" t="s">
        <v>493</v>
      </c>
      <c r="N200" s="9" t="s">
        <v>493</v>
      </c>
      <c r="O200" s="9" t="s">
        <v>493</v>
      </c>
      <c r="P200" s="21">
        <v>13.4596</v>
      </c>
      <c r="Q200" s="116">
        <f t="shared" si="6"/>
        <v>44756</v>
      </c>
      <c r="R200" s="140">
        <v>44861</v>
      </c>
      <c r="S200" s="141">
        <f t="shared" si="7"/>
        <v>105</v>
      </c>
      <c r="T200" s="21">
        <v>10.3</v>
      </c>
      <c r="V200" s="9" t="s">
        <v>32</v>
      </c>
      <c r="W200" s="9">
        <v>1</v>
      </c>
      <c r="X200" s="121" t="s">
        <v>107</v>
      </c>
      <c r="Y200" s="140">
        <v>44907</v>
      </c>
      <c r="Z200" s="21">
        <v>3.6477932888233764</v>
      </c>
      <c r="AA200" s="23">
        <v>3</v>
      </c>
      <c r="AB200" s="32" t="s">
        <v>194</v>
      </c>
      <c r="AC200" s="32" t="s">
        <v>195</v>
      </c>
      <c r="AD200" s="9" t="s">
        <v>168</v>
      </c>
      <c r="AE200" s="9" t="s">
        <v>216</v>
      </c>
      <c r="AF200" s="9">
        <v>114</v>
      </c>
      <c r="AG200" s="138" t="s">
        <v>704</v>
      </c>
      <c r="AH200" s="138" t="s">
        <v>1697</v>
      </c>
      <c r="AI200" s="9" t="s">
        <v>1790</v>
      </c>
    </row>
    <row r="201" spans="1:35">
      <c r="A201" s="138" t="s">
        <v>705</v>
      </c>
      <c r="B201" s="139">
        <v>44756</v>
      </c>
      <c r="C201" s="138" t="s">
        <v>487</v>
      </c>
      <c r="D201" s="138"/>
      <c r="E201" s="9">
        <v>8</v>
      </c>
      <c r="F201" s="138"/>
      <c r="G201" s="9" t="s">
        <v>15</v>
      </c>
      <c r="H201" s="9" t="s">
        <v>230</v>
      </c>
      <c r="J201" s="9" t="s">
        <v>253</v>
      </c>
      <c r="L201" s="9" t="s">
        <v>493</v>
      </c>
      <c r="M201" s="9" t="s">
        <v>493</v>
      </c>
      <c r="N201" s="9" t="s">
        <v>493</v>
      </c>
      <c r="O201" s="9" t="s">
        <v>493</v>
      </c>
      <c r="P201" s="21">
        <v>12.942</v>
      </c>
      <c r="Q201" s="116">
        <f t="shared" si="6"/>
        <v>44756</v>
      </c>
      <c r="R201" s="140">
        <v>44865</v>
      </c>
      <c r="S201" s="141">
        <f t="shared" si="7"/>
        <v>109</v>
      </c>
      <c r="T201" s="21">
        <v>5.41</v>
      </c>
      <c r="V201" s="9" t="s">
        <v>32</v>
      </c>
      <c r="W201" s="9">
        <v>1</v>
      </c>
      <c r="X201" s="121" t="s">
        <v>112</v>
      </c>
      <c r="Y201" s="140">
        <v>44907</v>
      </c>
      <c r="Z201" s="21">
        <v>5.6065204196653085</v>
      </c>
      <c r="AA201" s="23">
        <v>3</v>
      </c>
      <c r="AB201" s="32" t="s">
        <v>194</v>
      </c>
      <c r="AC201" s="32" t="s">
        <v>195</v>
      </c>
      <c r="AD201" s="9" t="s">
        <v>169</v>
      </c>
      <c r="AE201" s="9" t="s">
        <v>217</v>
      </c>
      <c r="AF201" s="9">
        <v>115</v>
      </c>
      <c r="AG201" s="138" t="s">
        <v>705</v>
      </c>
      <c r="AH201" s="138" t="s">
        <v>1697</v>
      </c>
      <c r="AI201" s="9" t="s">
        <v>1790</v>
      </c>
    </row>
    <row r="202" spans="1:35">
      <c r="A202" s="138" t="s">
        <v>757</v>
      </c>
      <c r="B202" s="139">
        <v>44756</v>
      </c>
      <c r="C202" s="138" t="s">
        <v>487</v>
      </c>
      <c r="D202" s="138"/>
      <c r="E202" s="9">
        <v>9</v>
      </c>
      <c r="F202" s="138"/>
      <c r="G202" s="9" t="s">
        <v>12</v>
      </c>
      <c r="H202" s="9" t="s">
        <v>230</v>
      </c>
      <c r="J202" s="9" t="s">
        <v>254</v>
      </c>
      <c r="L202" s="9" t="s">
        <v>493</v>
      </c>
      <c r="M202" s="9" t="s">
        <v>493</v>
      </c>
      <c r="N202" s="9" t="s">
        <v>493</v>
      </c>
      <c r="O202" s="9" t="s">
        <v>493</v>
      </c>
      <c r="P202" s="21">
        <v>14.6151</v>
      </c>
      <c r="Q202" s="116">
        <f t="shared" si="6"/>
        <v>44756</v>
      </c>
      <c r="R202" s="140">
        <v>44886</v>
      </c>
      <c r="S202" s="141">
        <f t="shared" si="7"/>
        <v>130</v>
      </c>
      <c r="AA202" s="108"/>
      <c r="AI202" s="9" t="s">
        <v>1791</v>
      </c>
    </row>
    <row r="203" spans="1:35">
      <c r="A203" s="138" t="s">
        <v>706</v>
      </c>
      <c r="B203" s="139">
        <v>44756</v>
      </c>
      <c r="C203" s="138" t="s">
        <v>487</v>
      </c>
      <c r="D203" s="138"/>
      <c r="E203" s="9">
        <v>10</v>
      </c>
      <c r="F203" s="138"/>
      <c r="G203" s="9" t="s">
        <v>11</v>
      </c>
      <c r="H203" s="9" t="s">
        <v>3</v>
      </c>
      <c r="J203" s="9" t="s">
        <v>40</v>
      </c>
      <c r="L203" s="9" t="s">
        <v>493</v>
      </c>
      <c r="M203" s="9" t="s">
        <v>493</v>
      </c>
      <c r="N203" s="9" t="s">
        <v>493</v>
      </c>
      <c r="O203" s="9" t="s">
        <v>493</v>
      </c>
      <c r="P203" s="21">
        <v>12.9176</v>
      </c>
      <c r="Q203" s="116">
        <f t="shared" si="6"/>
        <v>44756</v>
      </c>
      <c r="R203" s="140">
        <v>44861</v>
      </c>
      <c r="S203" s="141">
        <f t="shared" si="7"/>
        <v>105</v>
      </c>
      <c r="T203" s="21">
        <v>6.81</v>
      </c>
      <c r="V203" s="9" t="s">
        <v>32</v>
      </c>
      <c r="W203" s="9">
        <v>1</v>
      </c>
      <c r="X203" s="121" t="s">
        <v>122</v>
      </c>
      <c r="Y203" s="140">
        <v>44907</v>
      </c>
      <c r="Z203" s="21">
        <v>1.2381860747420446</v>
      </c>
      <c r="AA203" s="23">
        <v>3</v>
      </c>
      <c r="AB203" s="32" t="s">
        <v>204</v>
      </c>
      <c r="AC203" s="32" t="s">
        <v>205</v>
      </c>
      <c r="AD203" s="9" t="s">
        <v>172</v>
      </c>
      <c r="AE203" s="9" t="s">
        <v>220</v>
      </c>
      <c r="AF203" s="9">
        <v>176</v>
      </c>
      <c r="AG203" s="138" t="s">
        <v>706</v>
      </c>
      <c r="AH203" s="138" t="s">
        <v>1697</v>
      </c>
      <c r="AI203" s="9" t="s">
        <v>1790</v>
      </c>
    </row>
    <row r="204" spans="1:35">
      <c r="A204" s="138" t="s">
        <v>707</v>
      </c>
      <c r="B204" s="139">
        <v>44756</v>
      </c>
      <c r="C204" s="138" t="s">
        <v>487</v>
      </c>
      <c r="D204" s="138"/>
      <c r="E204" s="9">
        <v>11</v>
      </c>
      <c r="F204" s="138"/>
      <c r="G204" s="9" t="s">
        <v>9</v>
      </c>
      <c r="H204" s="9" t="s">
        <v>3</v>
      </c>
      <c r="J204" s="9" t="s">
        <v>253</v>
      </c>
      <c r="L204" s="9" t="s">
        <v>493</v>
      </c>
      <c r="M204" s="9" t="s">
        <v>493</v>
      </c>
      <c r="N204" s="9" t="s">
        <v>493</v>
      </c>
      <c r="O204" s="9" t="s">
        <v>493</v>
      </c>
      <c r="P204" s="21">
        <v>12.7502</v>
      </c>
      <c r="Q204" s="116">
        <f t="shared" si="6"/>
        <v>44756</v>
      </c>
      <c r="R204" s="140">
        <v>44886</v>
      </c>
      <c r="S204" s="141">
        <f t="shared" si="7"/>
        <v>130</v>
      </c>
      <c r="T204" s="21">
        <v>6.59</v>
      </c>
      <c r="V204" s="9" t="s">
        <v>32</v>
      </c>
      <c r="W204" s="9">
        <v>1</v>
      </c>
      <c r="X204" s="121" t="s">
        <v>126</v>
      </c>
      <c r="Y204" s="140">
        <v>44907</v>
      </c>
      <c r="Z204" s="21">
        <v>1.61</v>
      </c>
      <c r="AA204" s="23">
        <v>3</v>
      </c>
      <c r="AB204" s="32" t="s">
        <v>204</v>
      </c>
      <c r="AC204" s="32" t="s">
        <v>205</v>
      </c>
      <c r="AD204" s="9" t="s">
        <v>170</v>
      </c>
      <c r="AE204" s="9" t="s">
        <v>218</v>
      </c>
      <c r="AF204" s="9">
        <v>177</v>
      </c>
      <c r="AG204" s="138" t="s">
        <v>707</v>
      </c>
      <c r="AH204" s="138" t="s">
        <v>1697</v>
      </c>
      <c r="AI204" s="9" t="s">
        <v>1790</v>
      </c>
    </row>
    <row r="205" spans="1:35">
      <c r="A205" s="138" t="s">
        <v>708</v>
      </c>
      <c r="B205" s="139">
        <v>44756</v>
      </c>
      <c r="C205" s="138" t="s">
        <v>487</v>
      </c>
      <c r="D205" s="138"/>
      <c r="E205" s="9">
        <v>12</v>
      </c>
      <c r="F205" s="138"/>
      <c r="G205" s="9" t="s">
        <v>16</v>
      </c>
      <c r="H205" s="9" t="s">
        <v>3</v>
      </c>
      <c r="J205" s="9" t="s">
        <v>254</v>
      </c>
      <c r="L205" s="9" t="s">
        <v>493</v>
      </c>
      <c r="M205" s="9" t="s">
        <v>493</v>
      </c>
      <c r="N205" s="9" t="s">
        <v>493</v>
      </c>
      <c r="O205" s="9" t="s">
        <v>493</v>
      </c>
      <c r="P205" s="21">
        <v>13.8323</v>
      </c>
      <c r="Q205" s="116">
        <f t="shared" si="6"/>
        <v>44756</v>
      </c>
      <c r="R205" s="140">
        <v>44861</v>
      </c>
      <c r="S205" s="141">
        <f t="shared" si="7"/>
        <v>105</v>
      </c>
      <c r="T205" s="21">
        <v>10.1</v>
      </c>
      <c r="V205" s="9" t="s">
        <v>32</v>
      </c>
      <c r="W205" s="9">
        <v>1</v>
      </c>
      <c r="X205" s="121" t="s">
        <v>133</v>
      </c>
      <c r="Y205" s="140">
        <v>44907</v>
      </c>
      <c r="Z205" s="21">
        <v>3.0867944160235843</v>
      </c>
      <c r="AA205" s="23">
        <v>3</v>
      </c>
      <c r="AB205" s="32" t="s">
        <v>204</v>
      </c>
      <c r="AC205" s="32" t="s">
        <v>205</v>
      </c>
      <c r="AD205" s="9" t="s">
        <v>171</v>
      </c>
      <c r="AE205" s="9" t="s">
        <v>219</v>
      </c>
      <c r="AF205" s="9">
        <v>178</v>
      </c>
      <c r="AG205" s="138" t="s">
        <v>708</v>
      </c>
      <c r="AH205" s="138" t="s">
        <v>1697</v>
      </c>
      <c r="AI205" s="9" t="s">
        <v>1790</v>
      </c>
    </row>
    <row r="206" spans="1:35">
      <c r="A206" s="138" t="s">
        <v>709</v>
      </c>
      <c r="B206" s="139">
        <v>44756</v>
      </c>
      <c r="C206" s="138" t="s">
        <v>487</v>
      </c>
      <c r="D206" s="138"/>
      <c r="E206" s="9">
        <v>13</v>
      </c>
      <c r="F206" s="138"/>
      <c r="G206" s="9" t="s">
        <v>11</v>
      </c>
      <c r="H206" s="9" t="s">
        <v>3</v>
      </c>
      <c r="J206" s="9" t="s">
        <v>40</v>
      </c>
      <c r="L206" s="9" t="s">
        <v>493</v>
      </c>
      <c r="M206" s="9" t="s">
        <v>493</v>
      </c>
      <c r="N206" s="9" t="s">
        <v>493</v>
      </c>
      <c r="O206" s="9" t="s">
        <v>493</v>
      </c>
      <c r="P206" s="21">
        <v>13.8224</v>
      </c>
      <c r="Q206" s="116">
        <f t="shared" si="6"/>
        <v>44756</v>
      </c>
      <c r="R206" s="140">
        <v>44890</v>
      </c>
      <c r="S206" s="141">
        <f t="shared" si="7"/>
        <v>134</v>
      </c>
      <c r="T206" s="21">
        <v>9.52</v>
      </c>
      <c r="V206" s="9" t="s">
        <v>32</v>
      </c>
      <c r="W206" s="9">
        <v>1</v>
      </c>
      <c r="X206" s="121" t="s">
        <v>73</v>
      </c>
      <c r="Y206" s="140">
        <v>44907</v>
      </c>
      <c r="Z206" s="21">
        <v>3.1934448972513656</v>
      </c>
      <c r="AA206" s="23">
        <v>3</v>
      </c>
      <c r="AB206" s="32" t="s">
        <v>200</v>
      </c>
      <c r="AC206" s="32" t="s">
        <v>201</v>
      </c>
      <c r="AD206" s="9" t="s">
        <v>69</v>
      </c>
      <c r="AE206" s="9" t="s">
        <v>214</v>
      </c>
      <c r="AF206" s="9">
        <v>155</v>
      </c>
      <c r="AG206" s="138" t="s">
        <v>709</v>
      </c>
      <c r="AH206" s="138" t="s">
        <v>1697</v>
      </c>
      <c r="AI206" s="9" t="s">
        <v>1790</v>
      </c>
    </row>
    <row r="207" spans="1:35">
      <c r="A207" s="138" t="s">
        <v>710</v>
      </c>
      <c r="B207" s="139">
        <v>44756</v>
      </c>
      <c r="C207" s="138" t="s">
        <v>487</v>
      </c>
      <c r="D207" s="138"/>
      <c r="E207" s="9">
        <v>14</v>
      </c>
      <c r="F207" s="138"/>
      <c r="G207" s="9" t="s">
        <v>16</v>
      </c>
      <c r="H207" s="9" t="s">
        <v>3</v>
      </c>
      <c r="J207" s="9" t="s">
        <v>254</v>
      </c>
      <c r="L207" s="9" t="s">
        <v>493</v>
      </c>
      <c r="M207" s="9" t="s">
        <v>493</v>
      </c>
      <c r="N207" s="9" t="s">
        <v>493</v>
      </c>
      <c r="O207" s="9" t="s">
        <v>493</v>
      </c>
      <c r="P207" s="21">
        <v>14.4657</v>
      </c>
      <c r="Q207" s="116">
        <f t="shared" si="6"/>
        <v>44756</v>
      </c>
      <c r="R207" s="140">
        <v>44890</v>
      </c>
      <c r="S207" s="141">
        <f t="shared" si="7"/>
        <v>134</v>
      </c>
      <c r="T207" s="21">
        <v>15.3</v>
      </c>
      <c r="V207" s="9" t="s">
        <v>32</v>
      </c>
      <c r="W207" s="9">
        <v>1</v>
      </c>
      <c r="X207" s="121" t="s">
        <v>137</v>
      </c>
      <c r="Y207" s="140">
        <v>44907</v>
      </c>
      <c r="Z207" s="21">
        <v>6.94</v>
      </c>
      <c r="AA207" s="23">
        <v>3</v>
      </c>
      <c r="AB207" s="32" t="s">
        <v>200</v>
      </c>
      <c r="AC207" s="32" t="s">
        <v>201</v>
      </c>
      <c r="AD207" s="9" t="s">
        <v>167</v>
      </c>
      <c r="AE207" s="9" t="s">
        <v>215</v>
      </c>
      <c r="AF207" s="9">
        <v>156</v>
      </c>
      <c r="AG207" s="138" t="s">
        <v>710</v>
      </c>
      <c r="AH207" s="138" t="s">
        <v>1697</v>
      </c>
      <c r="AI207" s="9" t="s">
        <v>1790</v>
      </c>
    </row>
    <row r="208" spans="1:35">
      <c r="A208" s="138" t="s">
        <v>711</v>
      </c>
      <c r="B208" s="139">
        <v>44756</v>
      </c>
      <c r="C208" s="138" t="s">
        <v>487</v>
      </c>
      <c r="D208" s="138"/>
      <c r="E208" s="9">
        <v>15</v>
      </c>
      <c r="F208" s="138"/>
      <c r="G208" s="9" t="s">
        <v>9</v>
      </c>
      <c r="H208" s="9" t="s">
        <v>3</v>
      </c>
      <c r="J208" s="9" t="s">
        <v>253</v>
      </c>
      <c r="L208" s="9" t="s">
        <v>493</v>
      </c>
      <c r="M208" s="9" t="s">
        <v>493</v>
      </c>
      <c r="N208" s="9" t="s">
        <v>493</v>
      </c>
      <c r="O208" s="9" t="s">
        <v>493</v>
      </c>
      <c r="P208" s="21">
        <v>14.111700000000001</v>
      </c>
      <c r="Q208" s="116">
        <f t="shared" si="6"/>
        <v>44756</v>
      </c>
      <c r="R208" s="140">
        <v>44890</v>
      </c>
      <c r="S208" s="141">
        <f t="shared" si="7"/>
        <v>134</v>
      </c>
      <c r="T208" s="21">
        <v>5.56</v>
      </c>
      <c r="V208" s="9" t="s">
        <v>32</v>
      </c>
      <c r="W208" s="9">
        <v>2</v>
      </c>
      <c r="X208" s="121" t="s">
        <v>52</v>
      </c>
      <c r="Y208" s="140">
        <v>44908</v>
      </c>
      <c r="Z208" s="21">
        <v>1.88</v>
      </c>
      <c r="AA208" s="23">
        <v>2</v>
      </c>
      <c r="AB208" s="32" t="s">
        <v>160</v>
      </c>
      <c r="AC208" s="32" t="s">
        <v>189</v>
      </c>
      <c r="AD208" s="9" t="s">
        <v>173</v>
      </c>
      <c r="AE208" s="9" t="s">
        <v>221</v>
      </c>
      <c r="AF208" s="9">
        <v>253</v>
      </c>
      <c r="AG208" s="138" t="s">
        <v>711</v>
      </c>
      <c r="AH208" s="138" t="s">
        <v>1697</v>
      </c>
    </row>
    <row r="209" spans="1:36">
      <c r="A209" s="138" t="s">
        <v>712</v>
      </c>
      <c r="B209" s="139">
        <v>44756</v>
      </c>
      <c r="C209" s="138" t="s">
        <v>487</v>
      </c>
      <c r="D209" s="138"/>
      <c r="E209" s="9">
        <v>16</v>
      </c>
      <c r="F209" s="138"/>
      <c r="G209" s="9" t="s">
        <v>15</v>
      </c>
      <c r="H209" s="9" t="s">
        <v>230</v>
      </c>
      <c r="J209" s="9" t="s">
        <v>253</v>
      </c>
      <c r="L209" s="9" t="s">
        <v>493</v>
      </c>
      <c r="M209" s="9" t="s">
        <v>493</v>
      </c>
      <c r="N209" s="9" t="s">
        <v>493</v>
      </c>
      <c r="O209" s="9" t="s">
        <v>493</v>
      </c>
      <c r="P209" s="21">
        <v>14.2883</v>
      </c>
      <c r="Q209" s="116">
        <f t="shared" si="6"/>
        <v>44756</v>
      </c>
      <c r="R209" s="140">
        <v>44890</v>
      </c>
      <c r="S209" s="141">
        <f t="shared" si="7"/>
        <v>134</v>
      </c>
      <c r="T209" s="21">
        <v>2.3199999999999998</v>
      </c>
      <c r="V209" s="9" t="s">
        <v>32</v>
      </c>
      <c r="W209" s="9">
        <v>2</v>
      </c>
      <c r="X209" s="121" t="s">
        <v>144</v>
      </c>
      <c r="Y209" s="140">
        <v>44908</v>
      </c>
      <c r="Z209" s="21">
        <v>11.396276829504105</v>
      </c>
      <c r="AA209" s="23">
        <v>2</v>
      </c>
      <c r="AB209" s="32" t="s">
        <v>159</v>
      </c>
      <c r="AC209" s="32" t="s">
        <v>188</v>
      </c>
      <c r="AD209" s="9" t="s">
        <v>174</v>
      </c>
      <c r="AE209" s="9" t="s">
        <v>222</v>
      </c>
      <c r="AF209" s="9">
        <v>242</v>
      </c>
      <c r="AG209" s="138" t="s">
        <v>712</v>
      </c>
      <c r="AH209" s="138" t="s">
        <v>1697</v>
      </c>
    </row>
    <row r="210" spans="1:36">
      <c r="A210" s="138" t="s">
        <v>713</v>
      </c>
      <c r="B210" s="139">
        <v>44756</v>
      </c>
      <c r="C210" s="138" t="s">
        <v>487</v>
      </c>
      <c r="D210" s="138"/>
      <c r="E210" s="9">
        <v>17</v>
      </c>
      <c r="F210" s="138"/>
      <c r="G210" s="9" t="s">
        <v>14</v>
      </c>
      <c r="H210" s="9" t="s">
        <v>230</v>
      </c>
      <c r="J210" s="9" t="s">
        <v>40</v>
      </c>
      <c r="L210" s="9" t="s">
        <v>493</v>
      </c>
      <c r="M210" s="9" t="s">
        <v>493</v>
      </c>
      <c r="N210" s="9" t="s">
        <v>493</v>
      </c>
      <c r="O210" s="9" t="s">
        <v>493</v>
      </c>
      <c r="P210" s="21">
        <v>15.281599999999999</v>
      </c>
      <c r="Q210" s="116">
        <f t="shared" si="6"/>
        <v>44756</v>
      </c>
      <c r="R210" s="140">
        <v>44893</v>
      </c>
      <c r="S210" s="141">
        <f t="shared" si="7"/>
        <v>137</v>
      </c>
      <c r="T210" s="21">
        <v>5.01</v>
      </c>
      <c r="V210" s="9" t="s">
        <v>32</v>
      </c>
      <c r="W210" s="9">
        <v>2</v>
      </c>
      <c r="X210" s="121" t="s">
        <v>83</v>
      </c>
      <c r="Y210" s="140">
        <v>44908</v>
      </c>
      <c r="Z210" s="21">
        <v>6.7959287710724769</v>
      </c>
      <c r="AA210" s="23">
        <v>2</v>
      </c>
      <c r="AB210" s="32" t="s">
        <v>157</v>
      </c>
      <c r="AC210" s="32" t="s">
        <v>186</v>
      </c>
      <c r="AD210" s="9" t="s">
        <v>175</v>
      </c>
      <c r="AE210" s="9" t="s">
        <v>223</v>
      </c>
      <c r="AF210" s="9">
        <v>219</v>
      </c>
      <c r="AG210" s="138" t="s">
        <v>713</v>
      </c>
      <c r="AH210" s="138" t="s">
        <v>1697</v>
      </c>
      <c r="AI210" s="9" t="s">
        <v>1790</v>
      </c>
    </row>
    <row r="211" spans="1:36">
      <c r="A211" s="138" t="s">
        <v>714</v>
      </c>
      <c r="B211" s="139">
        <v>44756</v>
      </c>
      <c r="C211" s="138" t="s">
        <v>487</v>
      </c>
      <c r="D211" s="138"/>
      <c r="E211" s="9">
        <v>18</v>
      </c>
      <c r="F211" s="138"/>
      <c r="G211" s="9" t="s">
        <v>12</v>
      </c>
      <c r="H211" s="9" t="s">
        <v>230</v>
      </c>
      <c r="J211" s="9" t="s">
        <v>254</v>
      </c>
      <c r="L211" s="9" t="s">
        <v>493</v>
      </c>
      <c r="M211" s="9" t="s">
        <v>493</v>
      </c>
      <c r="N211" s="9" t="s">
        <v>493</v>
      </c>
      <c r="O211" s="9" t="s">
        <v>493</v>
      </c>
      <c r="P211" s="21">
        <v>17.497</v>
      </c>
      <c r="Q211" s="116">
        <f t="shared" si="6"/>
        <v>44756</v>
      </c>
      <c r="R211" s="140">
        <v>44893</v>
      </c>
      <c r="S211" s="141">
        <f t="shared" si="7"/>
        <v>137</v>
      </c>
      <c r="T211" s="21">
        <v>8.86</v>
      </c>
      <c r="V211" s="9" t="s">
        <v>32</v>
      </c>
      <c r="W211" s="9">
        <v>2</v>
      </c>
      <c r="X211" s="121" t="s">
        <v>86</v>
      </c>
      <c r="Y211" s="140">
        <v>44908</v>
      </c>
      <c r="Z211" s="21">
        <v>14.21</v>
      </c>
      <c r="AA211" s="23">
        <v>2</v>
      </c>
      <c r="AB211" s="32" t="s">
        <v>155</v>
      </c>
      <c r="AC211" s="32" t="s">
        <v>184</v>
      </c>
      <c r="AD211" s="9" t="s">
        <v>176</v>
      </c>
      <c r="AE211" s="9" t="s">
        <v>224</v>
      </c>
      <c r="AF211" s="9">
        <v>196</v>
      </c>
      <c r="AG211" s="138" t="s">
        <v>714</v>
      </c>
      <c r="AH211" s="138" t="s">
        <v>1697</v>
      </c>
    </row>
    <row r="212" spans="1:36">
      <c r="A212" s="138" t="s">
        <v>715</v>
      </c>
      <c r="B212" s="139">
        <v>44756</v>
      </c>
      <c r="C212" s="138" t="s">
        <v>487</v>
      </c>
      <c r="D212" s="138"/>
      <c r="E212" s="9">
        <v>19</v>
      </c>
      <c r="F212" s="138"/>
      <c r="G212" s="9" t="s">
        <v>9</v>
      </c>
      <c r="H212" s="9" t="s">
        <v>3</v>
      </c>
      <c r="J212" s="9" t="s">
        <v>253</v>
      </c>
      <c r="L212" s="9" t="s">
        <v>493</v>
      </c>
      <c r="M212" s="9" t="s">
        <v>493</v>
      </c>
      <c r="N212" s="9" t="s">
        <v>493</v>
      </c>
      <c r="O212" s="9" t="s">
        <v>493</v>
      </c>
      <c r="P212" s="21">
        <v>10.903700000000001</v>
      </c>
      <c r="Q212" s="116">
        <f t="shared" si="6"/>
        <v>44756</v>
      </c>
      <c r="R212" s="140">
        <v>44893</v>
      </c>
      <c r="S212" s="141">
        <f t="shared" si="7"/>
        <v>137</v>
      </c>
      <c r="T212" s="21">
        <v>0.65600000000000003</v>
      </c>
      <c r="V212" s="9" t="s">
        <v>32</v>
      </c>
      <c r="W212" s="9">
        <v>2</v>
      </c>
      <c r="X212" s="121" t="s">
        <v>149</v>
      </c>
      <c r="Y212" s="140">
        <v>44908</v>
      </c>
      <c r="Z212" s="21">
        <v>4.523880675725561</v>
      </c>
      <c r="AA212" s="23">
        <v>2</v>
      </c>
      <c r="AB212" s="32" t="s">
        <v>162</v>
      </c>
      <c r="AC212" s="32" t="s">
        <v>192</v>
      </c>
      <c r="AD212" s="9" t="s">
        <v>176</v>
      </c>
      <c r="AE212" s="9" t="s">
        <v>224</v>
      </c>
      <c r="AF212" s="9">
        <v>280</v>
      </c>
      <c r="AG212" s="138" t="s">
        <v>715</v>
      </c>
      <c r="AH212" s="138" t="s">
        <v>1697</v>
      </c>
    </row>
    <row r="213" spans="1:36">
      <c r="A213" s="138" t="s">
        <v>716</v>
      </c>
      <c r="B213" s="139">
        <v>44756</v>
      </c>
      <c r="C213" s="138" t="s">
        <v>487</v>
      </c>
      <c r="D213" s="138"/>
      <c r="E213" s="9">
        <v>20</v>
      </c>
      <c r="F213" s="138"/>
      <c r="G213" s="9" t="s">
        <v>11</v>
      </c>
      <c r="H213" s="9" t="s">
        <v>3</v>
      </c>
      <c r="J213" s="9" t="s">
        <v>40</v>
      </c>
      <c r="L213" s="9" t="s">
        <v>493</v>
      </c>
      <c r="M213" s="9" t="s">
        <v>493</v>
      </c>
      <c r="N213" s="9" t="s">
        <v>493</v>
      </c>
      <c r="O213" s="9" t="s">
        <v>493</v>
      </c>
      <c r="P213" s="21">
        <v>13.937799999999999</v>
      </c>
      <c r="Q213" s="116">
        <f t="shared" si="6"/>
        <v>44756</v>
      </c>
      <c r="R213" s="140">
        <v>44894</v>
      </c>
      <c r="S213" s="141">
        <f t="shared" si="7"/>
        <v>138</v>
      </c>
      <c r="T213" s="21">
        <v>2.48</v>
      </c>
      <c r="V213" s="9" t="s">
        <v>33</v>
      </c>
      <c r="W213" s="9">
        <v>4</v>
      </c>
      <c r="X213" s="121" t="s">
        <v>145</v>
      </c>
      <c r="Y213" s="140">
        <v>45308</v>
      </c>
      <c r="Z213" s="21">
        <v>21.9</v>
      </c>
      <c r="AA213" s="23">
        <v>4</v>
      </c>
      <c r="AB213" s="32" t="s">
        <v>202</v>
      </c>
      <c r="AC213" s="32" t="s">
        <v>203</v>
      </c>
      <c r="AD213" s="9" t="s">
        <v>177</v>
      </c>
      <c r="AE213" s="9" t="s">
        <v>225</v>
      </c>
      <c r="AF213" s="9">
        <v>354</v>
      </c>
      <c r="AG213" s="138" t="s">
        <v>716</v>
      </c>
      <c r="AH213" s="138" t="s">
        <v>1697</v>
      </c>
    </row>
    <row r="214" spans="1:36">
      <c r="A214" s="138" t="s">
        <v>717</v>
      </c>
      <c r="B214" s="139">
        <v>44756</v>
      </c>
      <c r="C214" s="138" t="s">
        <v>487</v>
      </c>
      <c r="D214" s="138"/>
      <c r="E214" s="9">
        <v>21</v>
      </c>
      <c r="F214" s="138"/>
      <c r="G214" s="9" t="s">
        <v>14</v>
      </c>
      <c r="H214" s="9" t="s">
        <v>230</v>
      </c>
      <c r="J214" s="9" t="s">
        <v>40</v>
      </c>
      <c r="L214" s="9" t="s">
        <v>493</v>
      </c>
      <c r="M214" s="9" t="s">
        <v>493</v>
      </c>
      <c r="N214" s="9" t="s">
        <v>493</v>
      </c>
      <c r="O214" s="9" t="s">
        <v>493</v>
      </c>
      <c r="P214" s="21">
        <v>17.104299999999999</v>
      </c>
      <c r="Q214" s="116">
        <f t="shared" si="6"/>
        <v>44756</v>
      </c>
      <c r="R214" s="140">
        <v>44893</v>
      </c>
      <c r="S214" s="141">
        <f t="shared" si="7"/>
        <v>137</v>
      </c>
      <c r="T214" s="21">
        <v>4.22</v>
      </c>
      <c r="V214" s="9" t="s">
        <v>32</v>
      </c>
      <c r="W214" s="9">
        <v>2</v>
      </c>
      <c r="X214" s="121" t="s">
        <v>98</v>
      </c>
      <c r="Y214" s="140">
        <v>44908</v>
      </c>
      <c r="Z214" s="21">
        <v>4.3823720709476683</v>
      </c>
      <c r="AA214" s="23">
        <v>2</v>
      </c>
      <c r="AB214" s="32" t="s">
        <v>159</v>
      </c>
      <c r="AC214" s="32" t="s">
        <v>188</v>
      </c>
      <c r="AD214" s="9" t="s">
        <v>177</v>
      </c>
      <c r="AE214" s="9" t="s">
        <v>225</v>
      </c>
      <c r="AF214" s="9">
        <v>246</v>
      </c>
      <c r="AG214" s="138" t="s">
        <v>717</v>
      </c>
      <c r="AH214" s="138" t="s">
        <v>1697</v>
      </c>
    </row>
    <row r="215" spans="1:36">
      <c r="A215" s="138" t="s">
        <v>718</v>
      </c>
      <c r="B215" s="139">
        <v>44756</v>
      </c>
      <c r="C215" s="138" t="s">
        <v>487</v>
      </c>
      <c r="D215" s="138"/>
      <c r="E215" s="9">
        <v>22</v>
      </c>
      <c r="F215" s="138"/>
      <c r="G215" s="9" t="s">
        <v>12</v>
      </c>
      <c r="H215" s="9" t="s">
        <v>230</v>
      </c>
      <c r="J215" s="9" t="s">
        <v>254</v>
      </c>
      <c r="L215" s="9" t="s">
        <v>493</v>
      </c>
      <c r="M215" s="9" t="s">
        <v>493</v>
      </c>
      <c r="N215" s="9" t="s">
        <v>493</v>
      </c>
      <c r="O215" s="9" t="s">
        <v>493</v>
      </c>
      <c r="P215" s="21">
        <v>15.5319</v>
      </c>
      <c r="Q215" s="116">
        <f t="shared" si="6"/>
        <v>44756</v>
      </c>
      <c r="R215" s="140">
        <v>44894</v>
      </c>
      <c r="S215" s="141">
        <f t="shared" si="7"/>
        <v>138</v>
      </c>
      <c r="T215" s="21">
        <v>0.02</v>
      </c>
      <c r="V215" s="9" t="s">
        <v>32</v>
      </c>
      <c r="W215" s="9">
        <v>2</v>
      </c>
      <c r="X215" s="121" t="s">
        <v>152</v>
      </c>
      <c r="Y215" s="140">
        <v>44908</v>
      </c>
      <c r="Z215" s="21">
        <v>7.25</v>
      </c>
      <c r="AA215" s="23">
        <v>2</v>
      </c>
      <c r="AB215" s="32" t="s">
        <v>158</v>
      </c>
      <c r="AC215" s="32" t="s">
        <v>187</v>
      </c>
      <c r="AD215" s="9" t="s">
        <v>178</v>
      </c>
      <c r="AE215" s="9" t="s">
        <v>226</v>
      </c>
      <c r="AF215" s="9">
        <v>235</v>
      </c>
      <c r="AG215" s="138" t="s">
        <v>718</v>
      </c>
      <c r="AH215" s="138" t="s">
        <v>1697</v>
      </c>
      <c r="AI215" s="9" t="s">
        <v>1790</v>
      </c>
    </row>
    <row r="216" spans="1:36">
      <c r="A216" s="138" t="s">
        <v>719</v>
      </c>
      <c r="B216" s="139">
        <v>44756</v>
      </c>
      <c r="C216" s="138" t="s">
        <v>487</v>
      </c>
      <c r="D216" s="138"/>
      <c r="E216" s="9">
        <v>23</v>
      </c>
      <c r="F216" s="138"/>
      <c r="G216" s="9" t="s">
        <v>15</v>
      </c>
      <c r="H216" s="9" t="s">
        <v>230</v>
      </c>
      <c r="J216" s="9" t="s">
        <v>253</v>
      </c>
      <c r="L216" s="9" t="s">
        <v>493</v>
      </c>
      <c r="M216" s="9" t="s">
        <v>493</v>
      </c>
      <c r="N216" s="9" t="s">
        <v>493</v>
      </c>
      <c r="O216" s="9" t="s">
        <v>493</v>
      </c>
      <c r="P216" s="21">
        <v>15.396699999999999</v>
      </c>
      <c r="Q216" s="116">
        <f t="shared" si="6"/>
        <v>44756</v>
      </c>
      <c r="R216" s="140">
        <v>44894</v>
      </c>
      <c r="S216" s="141">
        <f t="shared" si="7"/>
        <v>138</v>
      </c>
      <c r="T216" s="21">
        <v>3.62</v>
      </c>
      <c r="V216" s="9" t="s">
        <v>32</v>
      </c>
      <c r="W216" s="9">
        <v>2</v>
      </c>
      <c r="X216" s="121" t="s">
        <v>139</v>
      </c>
      <c r="Y216" s="140">
        <v>44908</v>
      </c>
      <c r="Z216" s="21">
        <v>9.8133141139451894</v>
      </c>
      <c r="AA216" s="23">
        <v>2</v>
      </c>
      <c r="AB216" s="32" t="s">
        <v>157</v>
      </c>
      <c r="AC216" s="32" t="s">
        <v>186</v>
      </c>
      <c r="AD216" s="9" t="s">
        <v>179</v>
      </c>
      <c r="AE216" s="9" t="s">
        <v>227</v>
      </c>
      <c r="AF216" s="9">
        <v>224</v>
      </c>
      <c r="AG216" s="138" t="s">
        <v>719</v>
      </c>
      <c r="AH216" s="138" t="s">
        <v>1697</v>
      </c>
    </row>
    <row r="217" spans="1:36">
      <c r="A217" s="138" t="s">
        <v>720</v>
      </c>
      <c r="B217" s="139">
        <v>44756</v>
      </c>
      <c r="C217" s="138" t="s">
        <v>487</v>
      </c>
      <c r="D217" s="138"/>
      <c r="E217" s="9">
        <v>24</v>
      </c>
      <c r="F217" s="138"/>
      <c r="G217" s="9" t="s">
        <v>16</v>
      </c>
      <c r="H217" s="9" t="s">
        <v>3</v>
      </c>
      <c r="J217" s="9" t="s">
        <v>254</v>
      </c>
      <c r="L217" s="9" t="s">
        <v>493</v>
      </c>
      <c r="M217" s="9" t="s">
        <v>493</v>
      </c>
      <c r="N217" s="9" t="s">
        <v>493</v>
      </c>
      <c r="O217" s="9" t="s">
        <v>493</v>
      </c>
      <c r="P217" s="21">
        <v>15.1089</v>
      </c>
      <c r="Q217" s="116">
        <f t="shared" si="6"/>
        <v>44756</v>
      </c>
      <c r="R217" s="140">
        <v>44894</v>
      </c>
      <c r="S217" s="141">
        <f t="shared" si="7"/>
        <v>138</v>
      </c>
      <c r="T217" s="21">
        <v>2.91</v>
      </c>
      <c r="V217" s="9" t="s">
        <v>32</v>
      </c>
      <c r="W217" s="9">
        <v>2</v>
      </c>
      <c r="X217" s="121" t="s">
        <v>113</v>
      </c>
      <c r="Y217" s="140">
        <v>44908</v>
      </c>
      <c r="Z217" s="21">
        <v>13.01</v>
      </c>
      <c r="AA217" s="23">
        <v>2</v>
      </c>
      <c r="AB217" s="32" t="s">
        <v>155</v>
      </c>
      <c r="AC217" s="32" t="s">
        <v>184</v>
      </c>
      <c r="AD217" s="9" t="s">
        <v>180</v>
      </c>
      <c r="AE217" s="9" t="s">
        <v>228</v>
      </c>
      <c r="AF217" s="9">
        <v>201</v>
      </c>
      <c r="AG217" s="138" t="s">
        <v>720</v>
      </c>
      <c r="AH217" s="138" t="s">
        <v>1697</v>
      </c>
    </row>
    <row r="218" spans="1:36">
      <c r="A218" s="138" t="s">
        <v>758</v>
      </c>
      <c r="B218" s="142"/>
      <c r="C218" s="142"/>
      <c r="D218" s="138"/>
      <c r="F218" s="138"/>
      <c r="R218" s="121"/>
      <c r="S218" s="9"/>
      <c r="V218" s="9" t="s">
        <v>34</v>
      </c>
      <c r="W218" s="9">
        <v>5</v>
      </c>
      <c r="X218" s="121" t="s">
        <v>145</v>
      </c>
      <c r="Y218" s="140">
        <v>44902</v>
      </c>
      <c r="Z218" s="108">
        <v>0.18</v>
      </c>
      <c r="AA218" s="23">
        <v>4</v>
      </c>
      <c r="AB218" s="9" t="s">
        <v>202</v>
      </c>
      <c r="AC218" s="9" t="s">
        <v>203</v>
      </c>
      <c r="AD218" s="9" t="s">
        <v>174</v>
      </c>
      <c r="AE218" s="9" t="s">
        <v>222</v>
      </c>
      <c r="AF218" s="9">
        <v>350</v>
      </c>
      <c r="AG218" s="9" t="s">
        <v>721</v>
      </c>
      <c r="AH218" s="138" t="s">
        <v>1697</v>
      </c>
      <c r="AI218" s="9" t="s">
        <v>37</v>
      </c>
      <c r="AJ218" s="9" t="s">
        <v>1795</v>
      </c>
    </row>
    <row r="219" spans="1:36">
      <c r="A219" s="138" t="s">
        <v>758</v>
      </c>
      <c r="B219" s="142"/>
      <c r="C219" s="142"/>
      <c r="D219" s="138"/>
      <c r="F219" s="138"/>
      <c r="R219" s="121"/>
      <c r="S219" s="9"/>
      <c r="V219" s="9" t="s">
        <v>34</v>
      </c>
      <c r="W219" s="9">
        <v>5</v>
      </c>
      <c r="X219" s="121" t="s">
        <v>88</v>
      </c>
      <c r="Y219" s="140">
        <v>44902</v>
      </c>
      <c r="Z219" s="108">
        <v>0.96</v>
      </c>
      <c r="AA219" s="23">
        <v>4</v>
      </c>
      <c r="AB219" s="9" t="s">
        <v>200</v>
      </c>
      <c r="AC219" s="9" t="s">
        <v>201</v>
      </c>
      <c r="AD219" s="9" t="s">
        <v>176</v>
      </c>
      <c r="AE219" s="9" t="s">
        <v>224</v>
      </c>
      <c r="AF219" s="9">
        <v>340</v>
      </c>
      <c r="AG219" s="9" t="s">
        <v>722</v>
      </c>
      <c r="AH219" s="138" t="s">
        <v>1697</v>
      </c>
      <c r="AI219" s="9" t="s">
        <v>37</v>
      </c>
      <c r="AJ219" s="9" t="s">
        <v>1796</v>
      </c>
    </row>
    <row r="220" spans="1:36">
      <c r="A220" s="138" t="s">
        <v>758</v>
      </c>
      <c r="B220" s="142"/>
      <c r="C220" s="142"/>
      <c r="D220" s="138"/>
      <c r="F220" s="138"/>
      <c r="R220" s="121"/>
      <c r="S220" s="9"/>
      <c r="V220" s="9" t="s">
        <v>32</v>
      </c>
      <c r="W220" s="9">
        <v>1</v>
      </c>
      <c r="X220" s="121" t="s">
        <v>103</v>
      </c>
      <c r="Y220" s="140">
        <v>44907</v>
      </c>
      <c r="Z220" s="108">
        <v>0.05</v>
      </c>
      <c r="AA220" s="23">
        <v>3</v>
      </c>
      <c r="AB220" s="32" t="s">
        <v>42</v>
      </c>
      <c r="AC220" s="32" t="s">
        <v>193</v>
      </c>
      <c r="AD220" s="9" t="s">
        <v>169</v>
      </c>
      <c r="AE220" s="9" t="s">
        <v>217</v>
      </c>
      <c r="AF220" s="9">
        <v>103</v>
      </c>
      <c r="AG220" s="9" t="s">
        <v>723</v>
      </c>
      <c r="AH220" s="138" t="s">
        <v>1697</v>
      </c>
      <c r="AI220" s="9" t="s">
        <v>37</v>
      </c>
      <c r="AJ220" s="9" t="s">
        <v>1797</v>
      </c>
    </row>
    <row r="221" spans="1:36">
      <c r="A221" s="138" t="s">
        <v>758</v>
      </c>
      <c r="B221" s="142"/>
      <c r="C221" s="142"/>
      <c r="D221" s="138"/>
      <c r="F221" s="138"/>
      <c r="R221" s="121"/>
      <c r="S221" s="9"/>
      <c r="V221" s="9" t="s">
        <v>32</v>
      </c>
      <c r="W221" s="9">
        <v>1</v>
      </c>
      <c r="X221" s="121" t="s">
        <v>139</v>
      </c>
      <c r="Y221" s="140">
        <v>44907</v>
      </c>
      <c r="Z221" s="108">
        <v>0.11</v>
      </c>
      <c r="AA221" s="23">
        <v>3</v>
      </c>
      <c r="AB221" s="32" t="s">
        <v>196</v>
      </c>
      <c r="AC221" s="32" t="s">
        <v>197</v>
      </c>
      <c r="AD221" s="9" t="s">
        <v>172</v>
      </c>
      <c r="AE221" s="9" t="s">
        <v>220</v>
      </c>
      <c r="AF221" s="9">
        <v>128</v>
      </c>
      <c r="AG221" s="9" t="s">
        <v>724</v>
      </c>
      <c r="AH221" s="138" t="s">
        <v>1697</v>
      </c>
      <c r="AI221" s="9" t="s">
        <v>37</v>
      </c>
      <c r="AJ221" s="9" t="s">
        <v>1798</v>
      </c>
    </row>
    <row r="222" spans="1:36">
      <c r="A222" s="138" t="s">
        <v>758</v>
      </c>
      <c r="B222" s="142"/>
      <c r="C222" s="142"/>
      <c r="D222" s="138"/>
      <c r="F222" s="138"/>
      <c r="R222" s="121"/>
      <c r="S222" s="9"/>
      <c r="V222" s="9" t="s">
        <v>32</v>
      </c>
      <c r="W222" s="9">
        <v>1</v>
      </c>
      <c r="X222" s="121" t="s">
        <v>140</v>
      </c>
      <c r="Y222" s="140">
        <v>44907</v>
      </c>
      <c r="Z222" s="108">
        <v>0.08</v>
      </c>
      <c r="AA222" s="23">
        <v>3</v>
      </c>
      <c r="AB222" s="32" t="s">
        <v>198</v>
      </c>
      <c r="AC222" s="32" t="s">
        <v>199</v>
      </c>
      <c r="AD222" s="9" t="s">
        <v>172</v>
      </c>
      <c r="AE222" s="9" t="s">
        <v>220</v>
      </c>
      <c r="AF222" s="9">
        <v>140</v>
      </c>
      <c r="AG222" s="9" t="s">
        <v>725</v>
      </c>
      <c r="AH222" s="138" t="s">
        <v>1697</v>
      </c>
      <c r="AI222" s="9" t="s">
        <v>37</v>
      </c>
      <c r="AJ222" s="9" t="s">
        <v>1799</v>
      </c>
    </row>
    <row r="223" spans="1:36">
      <c r="A223" s="138" t="s">
        <v>758</v>
      </c>
      <c r="B223" s="142"/>
      <c r="C223" s="142"/>
      <c r="D223" s="138"/>
      <c r="F223" s="138"/>
      <c r="R223" s="121"/>
      <c r="S223" s="9"/>
      <c r="V223" s="9" t="s">
        <v>32</v>
      </c>
      <c r="W223" s="9">
        <v>2</v>
      </c>
      <c r="X223" s="121" t="s">
        <v>125</v>
      </c>
      <c r="Y223" s="140">
        <v>44908</v>
      </c>
      <c r="Z223" s="108">
        <v>0.1</v>
      </c>
      <c r="AA223" s="23">
        <v>2</v>
      </c>
      <c r="AB223" s="9" t="s">
        <v>160</v>
      </c>
      <c r="AC223" s="9" t="s">
        <v>189</v>
      </c>
      <c r="AD223" s="9" t="s">
        <v>180</v>
      </c>
      <c r="AE223" s="9" t="s">
        <v>228</v>
      </c>
      <c r="AF223" s="9">
        <v>261</v>
      </c>
      <c r="AG223" s="9" t="s">
        <v>726</v>
      </c>
      <c r="AH223" s="138" t="s">
        <v>1697</v>
      </c>
      <c r="AI223" s="9" t="s">
        <v>37</v>
      </c>
      <c r="AJ223" s="9" t="s">
        <v>1800</v>
      </c>
    </row>
    <row r="224" spans="1:36">
      <c r="A224" s="138" t="s">
        <v>758</v>
      </c>
      <c r="B224" s="142"/>
      <c r="C224" s="142"/>
      <c r="D224" s="138"/>
      <c r="F224" s="138"/>
      <c r="R224" s="121"/>
      <c r="S224" s="9"/>
      <c r="V224" s="9" t="s">
        <v>32</v>
      </c>
      <c r="W224" s="9">
        <v>2</v>
      </c>
      <c r="X224" s="121" t="s">
        <v>126</v>
      </c>
      <c r="Y224" s="140">
        <v>44908</v>
      </c>
      <c r="Z224" s="108">
        <v>0.14000000000000001</v>
      </c>
      <c r="AA224" s="23">
        <v>2</v>
      </c>
      <c r="AB224" s="9" t="s">
        <v>208</v>
      </c>
      <c r="AC224" s="9" t="s">
        <v>190</v>
      </c>
      <c r="AD224" s="9" t="s">
        <v>180</v>
      </c>
      <c r="AE224" s="9" t="s">
        <v>228</v>
      </c>
      <c r="AF224" s="9">
        <v>273</v>
      </c>
      <c r="AG224" s="9" t="s">
        <v>727</v>
      </c>
      <c r="AH224" s="138" t="s">
        <v>1697</v>
      </c>
      <c r="AI224" s="9" t="s">
        <v>37</v>
      </c>
      <c r="AJ224" s="9" t="s">
        <v>1801</v>
      </c>
    </row>
    <row r="225" spans="1:36">
      <c r="A225" s="138" t="s">
        <v>758</v>
      </c>
      <c r="B225" s="142"/>
      <c r="C225" s="142"/>
      <c r="D225" s="138"/>
      <c r="F225" s="138"/>
      <c r="R225" s="121"/>
      <c r="S225" s="9"/>
      <c r="V225" s="9" t="s">
        <v>32</v>
      </c>
      <c r="W225" s="9">
        <v>2</v>
      </c>
      <c r="X225" s="121" t="s">
        <v>127</v>
      </c>
      <c r="Y225" s="140">
        <v>44908</v>
      </c>
      <c r="Z225" s="108">
        <v>0.11</v>
      </c>
      <c r="AA225" s="23">
        <v>2</v>
      </c>
      <c r="AB225" s="9" t="s">
        <v>162</v>
      </c>
      <c r="AC225" s="9" t="s">
        <v>192</v>
      </c>
      <c r="AD225" s="9" t="s">
        <v>180</v>
      </c>
      <c r="AE225" s="9" t="s">
        <v>228</v>
      </c>
      <c r="AF225" s="9">
        <v>285</v>
      </c>
      <c r="AG225" s="9" t="s">
        <v>728</v>
      </c>
      <c r="AH225" s="138" t="s">
        <v>1697</v>
      </c>
      <c r="AI225" s="9" t="s">
        <v>37</v>
      </c>
      <c r="AJ225" s="9" t="s">
        <v>1802</v>
      </c>
    </row>
    <row r="226" spans="1:36">
      <c r="A226" s="9" t="s">
        <v>250</v>
      </c>
      <c r="B226" s="142"/>
      <c r="C226" s="142"/>
      <c r="D226" s="138"/>
      <c r="F226" s="138"/>
      <c r="R226" s="140">
        <v>44886</v>
      </c>
      <c r="S226" s="9"/>
      <c r="V226" s="9" t="s">
        <v>34</v>
      </c>
      <c r="W226" s="9">
        <v>6</v>
      </c>
      <c r="X226" s="121" t="s">
        <v>149</v>
      </c>
      <c r="Y226" s="140">
        <v>44937</v>
      </c>
      <c r="Z226" s="108">
        <v>10.96</v>
      </c>
      <c r="AA226" s="23">
        <v>1</v>
      </c>
      <c r="AB226" s="9" t="s">
        <v>155</v>
      </c>
      <c r="AC226" s="9" t="s">
        <v>184</v>
      </c>
      <c r="AD226" s="9" t="s">
        <v>163</v>
      </c>
      <c r="AE226" s="9" t="s">
        <v>209</v>
      </c>
      <c r="AF226" s="9">
        <v>1</v>
      </c>
      <c r="AG226" s="9" t="s">
        <v>729</v>
      </c>
      <c r="AH226" s="138" t="s">
        <v>1697</v>
      </c>
      <c r="AI226" s="9" t="s">
        <v>251</v>
      </c>
      <c r="AJ226" s="9" t="s">
        <v>1803</v>
      </c>
    </row>
    <row r="227" spans="1:36">
      <c r="A227" s="9" t="s">
        <v>249</v>
      </c>
      <c r="B227" s="142"/>
      <c r="C227" s="142"/>
      <c r="D227" s="138"/>
      <c r="F227" s="138"/>
      <c r="R227" s="140">
        <v>44860</v>
      </c>
      <c r="S227" s="9"/>
      <c r="V227" s="9" t="s">
        <v>34</v>
      </c>
      <c r="W227" s="9">
        <v>6</v>
      </c>
      <c r="X227" s="121" t="s">
        <v>92</v>
      </c>
      <c r="Y227" s="140">
        <v>44937</v>
      </c>
      <c r="Z227" s="108">
        <v>4.74</v>
      </c>
      <c r="AA227" s="23">
        <v>1</v>
      </c>
      <c r="AB227" s="9" t="s">
        <v>156</v>
      </c>
      <c r="AC227" s="9" t="s">
        <v>185</v>
      </c>
      <c r="AD227" s="9" t="s">
        <v>163</v>
      </c>
      <c r="AE227" s="9" t="s">
        <v>209</v>
      </c>
      <c r="AF227" s="9">
        <v>13</v>
      </c>
      <c r="AG227" s="9" t="s">
        <v>730</v>
      </c>
      <c r="AH227" s="138" t="s">
        <v>1697</v>
      </c>
      <c r="AI227" s="9" t="s">
        <v>252</v>
      </c>
      <c r="AJ227" s="9" t="s">
        <v>1804</v>
      </c>
    </row>
    <row r="228" spans="1:36">
      <c r="A228" s="9" t="s">
        <v>249</v>
      </c>
      <c r="B228" s="142"/>
      <c r="C228" s="142"/>
      <c r="D228" s="138"/>
      <c r="F228" s="138"/>
      <c r="R228" s="140">
        <v>44860</v>
      </c>
      <c r="S228" s="9"/>
      <c r="V228" s="9" t="s">
        <v>34</v>
      </c>
      <c r="W228" s="9">
        <v>6</v>
      </c>
      <c r="X228" s="121" t="s">
        <v>99</v>
      </c>
      <c r="Y228" s="140">
        <v>44937</v>
      </c>
      <c r="Z228" s="108">
        <v>12.07</v>
      </c>
      <c r="AA228" s="23">
        <v>1</v>
      </c>
      <c r="AB228" s="9" t="s">
        <v>157</v>
      </c>
      <c r="AC228" s="9" t="s">
        <v>186</v>
      </c>
      <c r="AD228" s="9" t="s">
        <v>163</v>
      </c>
      <c r="AE228" s="9" t="s">
        <v>209</v>
      </c>
      <c r="AF228" s="9">
        <v>25</v>
      </c>
      <c r="AG228" s="9" t="s">
        <v>731</v>
      </c>
      <c r="AH228" s="138" t="s">
        <v>1697</v>
      </c>
      <c r="AI228" s="9" t="s">
        <v>252</v>
      </c>
      <c r="AJ228" s="9" t="s">
        <v>1805</v>
      </c>
    </row>
    <row r="229" spans="1:36">
      <c r="A229" s="138" t="s">
        <v>521</v>
      </c>
      <c r="B229" s="139">
        <v>44719</v>
      </c>
      <c r="C229" s="138" t="s">
        <v>487</v>
      </c>
      <c r="D229" s="138"/>
      <c r="E229" s="9">
        <v>16</v>
      </c>
      <c r="F229" s="138"/>
      <c r="G229" s="9" t="s">
        <v>15</v>
      </c>
      <c r="H229" s="9" t="s">
        <v>230</v>
      </c>
      <c r="J229" s="9" t="s">
        <v>253</v>
      </c>
      <c r="L229" s="9" t="s">
        <v>493</v>
      </c>
      <c r="M229" s="9" t="s">
        <v>493</v>
      </c>
      <c r="N229" s="9" t="s">
        <v>493</v>
      </c>
      <c r="O229" s="9" t="s">
        <v>493</v>
      </c>
      <c r="P229" s="21">
        <v>12.0587</v>
      </c>
      <c r="Q229" s="116">
        <v>44719</v>
      </c>
      <c r="R229" s="140">
        <v>44890</v>
      </c>
      <c r="S229" s="141">
        <v>171</v>
      </c>
      <c r="T229" s="21">
        <v>0.17799999999999999</v>
      </c>
      <c r="U229" s="108">
        <v>0.76</v>
      </c>
      <c r="V229" s="9" t="s">
        <v>33</v>
      </c>
      <c r="W229" s="9">
        <v>4</v>
      </c>
      <c r="X229" s="121" t="s">
        <v>78</v>
      </c>
      <c r="Y229" s="140">
        <v>45308</v>
      </c>
      <c r="Z229" s="21">
        <v>10.4</v>
      </c>
      <c r="AA229" s="23">
        <v>4</v>
      </c>
      <c r="AB229" s="32" t="s">
        <v>194</v>
      </c>
      <c r="AC229" s="32" t="s">
        <v>195</v>
      </c>
      <c r="AD229" s="9" t="s">
        <v>177</v>
      </c>
      <c r="AE229" s="9" t="s">
        <v>225</v>
      </c>
      <c r="AF229" s="9">
        <v>306</v>
      </c>
      <c r="AG229" s="138" t="s">
        <v>521</v>
      </c>
      <c r="AH229" s="9" t="s">
        <v>1760</v>
      </c>
      <c r="AI229" s="9" t="s">
        <v>1789</v>
      </c>
    </row>
    <row r="230" spans="1:36">
      <c r="A230" s="138" t="s">
        <v>526</v>
      </c>
      <c r="B230" s="139">
        <v>44719</v>
      </c>
      <c r="C230" s="138" t="s">
        <v>487</v>
      </c>
      <c r="D230" s="138"/>
      <c r="E230" s="9">
        <v>21</v>
      </c>
      <c r="F230" s="138"/>
      <c r="G230" s="9" t="s">
        <v>14</v>
      </c>
      <c r="H230" s="9" t="s">
        <v>230</v>
      </c>
      <c r="J230" s="9" t="s">
        <v>40</v>
      </c>
      <c r="L230" s="9" t="s">
        <v>493</v>
      </c>
      <c r="M230" s="9" t="s">
        <v>493</v>
      </c>
      <c r="N230" s="9" t="s">
        <v>493</v>
      </c>
      <c r="O230" s="9" t="s">
        <v>493</v>
      </c>
      <c r="P230" s="21" t="s">
        <v>241</v>
      </c>
      <c r="Q230" s="116">
        <v>44719</v>
      </c>
      <c r="R230" s="140">
        <v>44893</v>
      </c>
      <c r="S230" s="141">
        <v>174</v>
      </c>
      <c r="T230" s="21">
        <v>0.56299999999999994</v>
      </c>
      <c r="V230" s="9" t="s">
        <v>33</v>
      </c>
      <c r="W230" s="9">
        <v>4</v>
      </c>
      <c r="X230" s="121" t="s">
        <v>84</v>
      </c>
      <c r="Y230" s="140">
        <v>45308</v>
      </c>
      <c r="Z230" s="21">
        <v>14.2</v>
      </c>
      <c r="AA230" s="23">
        <v>4</v>
      </c>
      <c r="AB230" s="32" t="s">
        <v>204</v>
      </c>
      <c r="AC230" s="32" t="s">
        <v>205</v>
      </c>
      <c r="AD230" s="9" t="s">
        <v>177</v>
      </c>
      <c r="AE230" s="9" t="s">
        <v>225</v>
      </c>
      <c r="AF230" s="9">
        <v>366</v>
      </c>
      <c r="AG230" s="138" t="s">
        <v>526</v>
      </c>
      <c r="AH230" s="9" t="s">
        <v>1760</v>
      </c>
      <c r="AI230" s="9" t="s">
        <v>1790</v>
      </c>
    </row>
    <row r="231" spans="1:36">
      <c r="A231" s="138" t="s">
        <v>554</v>
      </c>
      <c r="B231" s="139">
        <v>44726</v>
      </c>
      <c r="C231" s="138" t="s">
        <v>487</v>
      </c>
      <c r="D231" s="138"/>
      <c r="E231" s="9">
        <v>1</v>
      </c>
      <c r="F231" s="138"/>
      <c r="G231" s="9" t="s">
        <v>9</v>
      </c>
      <c r="H231" s="9" t="s">
        <v>3</v>
      </c>
      <c r="J231" s="9" t="s">
        <v>253</v>
      </c>
      <c r="L231" s="9" t="s">
        <v>493</v>
      </c>
      <c r="M231" s="9" t="s">
        <v>493</v>
      </c>
      <c r="N231" s="9" t="s">
        <v>493</v>
      </c>
      <c r="O231" s="9" t="s">
        <v>493</v>
      </c>
      <c r="P231" s="21">
        <v>11.97</v>
      </c>
      <c r="Q231" s="116">
        <v>44726</v>
      </c>
      <c r="R231" s="140">
        <v>44860</v>
      </c>
      <c r="S231" s="141">
        <v>134</v>
      </c>
      <c r="T231" s="21">
        <v>0.156</v>
      </c>
      <c r="U231" s="108">
        <v>0.30599999999999999</v>
      </c>
      <c r="V231" s="9" t="s">
        <v>32</v>
      </c>
      <c r="W231" s="9">
        <v>1</v>
      </c>
      <c r="X231" s="121" t="s">
        <v>75</v>
      </c>
      <c r="Y231" s="140">
        <v>44907</v>
      </c>
      <c r="Z231" s="21">
        <v>0.73268013526402498</v>
      </c>
      <c r="AA231" s="23">
        <v>3</v>
      </c>
      <c r="AB231" s="32" t="s">
        <v>42</v>
      </c>
      <c r="AC231" s="32" t="s">
        <v>193</v>
      </c>
      <c r="AD231" s="9" t="s">
        <v>163</v>
      </c>
      <c r="AE231" s="9" t="s">
        <v>209</v>
      </c>
      <c r="AF231" s="9">
        <v>97</v>
      </c>
      <c r="AG231" s="138" t="s">
        <v>554</v>
      </c>
      <c r="AH231" s="9" t="s">
        <v>1760</v>
      </c>
      <c r="AI231" s="9" t="s">
        <v>1789</v>
      </c>
    </row>
    <row r="232" spans="1:36">
      <c r="A232" s="138" t="s">
        <v>569</v>
      </c>
      <c r="B232" s="139">
        <v>44726</v>
      </c>
      <c r="C232" s="138" t="s">
        <v>487</v>
      </c>
      <c r="D232" s="138"/>
      <c r="E232" s="9">
        <v>16</v>
      </c>
      <c r="F232" s="138"/>
      <c r="G232" s="9" t="s">
        <v>15</v>
      </c>
      <c r="H232" s="9" t="s">
        <v>230</v>
      </c>
      <c r="J232" s="9" t="s">
        <v>253</v>
      </c>
      <c r="L232" s="9" t="s">
        <v>493</v>
      </c>
      <c r="M232" s="9" t="s">
        <v>493</v>
      </c>
      <c r="N232" s="9" t="s">
        <v>493</v>
      </c>
      <c r="O232" s="9" t="s">
        <v>493</v>
      </c>
      <c r="P232" s="21">
        <v>11.304</v>
      </c>
      <c r="Q232" s="116">
        <v>44726</v>
      </c>
      <c r="R232" s="140">
        <v>44890</v>
      </c>
      <c r="S232" s="141">
        <v>164</v>
      </c>
      <c r="T232" s="21"/>
      <c r="U232" s="108">
        <v>0.59099999999999997</v>
      </c>
      <c r="V232" s="9" t="s">
        <v>32</v>
      </c>
      <c r="W232" s="9">
        <v>2</v>
      </c>
      <c r="X232" s="121" t="s">
        <v>79</v>
      </c>
      <c r="Y232" s="140">
        <v>44908</v>
      </c>
      <c r="Z232" s="21">
        <v>3.5227732170794734</v>
      </c>
      <c r="AA232" s="23">
        <v>2</v>
      </c>
      <c r="AB232" s="32" t="s">
        <v>155</v>
      </c>
      <c r="AC232" s="32" t="s">
        <v>184</v>
      </c>
      <c r="AD232" s="9" t="s">
        <v>174</v>
      </c>
      <c r="AE232" s="9" t="s">
        <v>222</v>
      </c>
      <c r="AF232" s="9">
        <v>194</v>
      </c>
      <c r="AG232" s="138" t="s">
        <v>569</v>
      </c>
      <c r="AH232" s="9" t="s">
        <v>1760</v>
      </c>
      <c r="AI232" s="9" t="s">
        <v>1789</v>
      </c>
    </row>
    <row r="233" spans="1:36">
      <c r="A233" s="138" t="s">
        <v>602</v>
      </c>
      <c r="B233" s="139">
        <v>44733</v>
      </c>
      <c r="C233" s="138" t="s">
        <v>487</v>
      </c>
      <c r="D233" s="138"/>
      <c r="E233" s="9">
        <v>1</v>
      </c>
      <c r="F233" s="138"/>
      <c r="G233" s="9" t="s">
        <v>9</v>
      </c>
      <c r="H233" s="9" t="s">
        <v>3</v>
      </c>
      <c r="J233" s="9" t="s">
        <v>253</v>
      </c>
      <c r="L233" s="9" t="s">
        <v>493</v>
      </c>
      <c r="M233" s="9" t="s">
        <v>493</v>
      </c>
      <c r="N233" s="9" t="s">
        <v>493</v>
      </c>
      <c r="O233" s="9" t="s">
        <v>493</v>
      </c>
      <c r="P233" s="21">
        <v>13.155799999999999</v>
      </c>
      <c r="Q233" s="116">
        <v>44733</v>
      </c>
      <c r="R233" s="140">
        <v>44860</v>
      </c>
      <c r="S233" s="141">
        <v>127</v>
      </c>
      <c r="T233" s="21"/>
      <c r="U233" s="108">
        <v>0</v>
      </c>
      <c r="V233" s="9" t="s">
        <v>34</v>
      </c>
      <c r="W233" s="9">
        <v>6</v>
      </c>
      <c r="X233" s="121" t="s">
        <v>50</v>
      </c>
      <c r="Y233" s="140">
        <v>44937</v>
      </c>
      <c r="Z233" s="21">
        <v>6.88</v>
      </c>
      <c r="AA233" s="23">
        <v>1</v>
      </c>
      <c r="AB233" s="32" t="s">
        <v>160</v>
      </c>
      <c r="AC233" s="32" t="s">
        <v>189</v>
      </c>
      <c r="AD233" s="9" t="s">
        <v>163</v>
      </c>
      <c r="AE233" s="9" t="s">
        <v>209</v>
      </c>
      <c r="AF233" s="9">
        <v>61</v>
      </c>
      <c r="AG233" s="138" t="s">
        <v>602</v>
      </c>
      <c r="AH233" s="9" t="s">
        <v>1760</v>
      </c>
      <c r="AI233" s="9" t="s">
        <v>1792</v>
      </c>
    </row>
    <row r="234" spans="1:36">
      <c r="A234" s="138" t="s">
        <v>603</v>
      </c>
      <c r="B234" s="139">
        <v>44733</v>
      </c>
      <c r="C234" s="138" t="s">
        <v>487</v>
      </c>
      <c r="D234" s="138"/>
      <c r="E234" s="9">
        <v>2</v>
      </c>
      <c r="F234" s="138"/>
      <c r="G234" s="9" t="s">
        <v>11</v>
      </c>
      <c r="H234" s="9" t="s">
        <v>3</v>
      </c>
      <c r="J234" s="9" t="s">
        <v>40</v>
      </c>
      <c r="L234" s="9" t="s">
        <v>493</v>
      </c>
      <c r="M234" s="9" t="s">
        <v>493</v>
      </c>
      <c r="N234" s="9" t="s">
        <v>493</v>
      </c>
      <c r="O234" s="9" t="s">
        <v>493</v>
      </c>
      <c r="P234" s="21">
        <v>14.905200000000001</v>
      </c>
      <c r="Q234" s="116">
        <v>44733</v>
      </c>
      <c r="R234" s="140">
        <v>44861</v>
      </c>
      <c r="S234" s="141">
        <v>128</v>
      </c>
      <c r="T234" s="21"/>
      <c r="U234" s="108">
        <v>0</v>
      </c>
      <c r="V234" s="9" t="s">
        <v>34</v>
      </c>
      <c r="W234" s="9">
        <v>6</v>
      </c>
      <c r="X234" s="121" t="s">
        <v>79</v>
      </c>
      <c r="Y234" s="140">
        <v>44937</v>
      </c>
      <c r="Z234" s="21">
        <v>8.77</v>
      </c>
      <c r="AA234" s="23">
        <v>1</v>
      </c>
      <c r="AB234" s="9" t="s">
        <v>156</v>
      </c>
      <c r="AC234" s="9" t="s">
        <v>185</v>
      </c>
      <c r="AD234" s="9" t="s">
        <v>164</v>
      </c>
      <c r="AE234" s="9" t="s">
        <v>210</v>
      </c>
      <c r="AF234" s="9">
        <v>14</v>
      </c>
      <c r="AG234" s="138" t="s">
        <v>603</v>
      </c>
      <c r="AH234" s="9" t="s">
        <v>1760</v>
      </c>
      <c r="AI234" s="9" t="s">
        <v>1792</v>
      </c>
    </row>
    <row r="235" spans="1:36">
      <c r="A235" s="138" t="s">
        <v>604</v>
      </c>
      <c r="B235" s="139">
        <v>44733</v>
      </c>
      <c r="C235" s="138" t="s">
        <v>487</v>
      </c>
      <c r="D235" s="138"/>
      <c r="E235" s="9">
        <v>3</v>
      </c>
      <c r="F235" s="138"/>
      <c r="G235" s="9" t="s">
        <v>12</v>
      </c>
      <c r="H235" s="9" t="s">
        <v>230</v>
      </c>
      <c r="J235" s="9" t="s">
        <v>254</v>
      </c>
      <c r="L235" s="9" t="s">
        <v>493</v>
      </c>
      <c r="M235" s="9" t="s">
        <v>493</v>
      </c>
      <c r="N235" s="9" t="s">
        <v>493</v>
      </c>
      <c r="O235" s="9" t="s">
        <v>493</v>
      </c>
      <c r="P235" s="21">
        <v>12.041499999999999</v>
      </c>
      <c r="Q235" s="116">
        <v>44733</v>
      </c>
      <c r="R235" s="140">
        <v>44860</v>
      </c>
      <c r="S235" s="141">
        <v>127</v>
      </c>
      <c r="T235" s="21"/>
      <c r="U235" s="108">
        <v>9.4E-2</v>
      </c>
      <c r="V235" s="9" t="s">
        <v>34</v>
      </c>
      <c r="W235" s="9">
        <v>6</v>
      </c>
      <c r="X235" s="121" t="s">
        <v>80</v>
      </c>
      <c r="Y235" s="140">
        <v>44937</v>
      </c>
      <c r="Z235" s="21">
        <v>10.59</v>
      </c>
      <c r="AA235" s="23">
        <v>1</v>
      </c>
      <c r="AB235" s="32" t="s">
        <v>159</v>
      </c>
      <c r="AC235" s="32" t="s">
        <v>188</v>
      </c>
      <c r="AD235" s="9" t="s">
        <v>164</v>
      </c>
      <c r="AE235" s="9" t="s">
        <v>210</v>
      </c>
      <c r="AF235" s="9">
        <v>50</v>
      </c>
      <c r="AG235" s="138" t="s">
        <v>604</v>
      </c>
      <c r="AH235" s="9" t="s">
        <v>1760</v>
      </c>
      <c r="AI235" s="9" t="s">
        <v>1789</v>
      </c>
    </row>
    <row r="236" spans="1:36">
      <c r="A236" s="138" t="s">
        <v>605</v>
      </c>
      <c r="B236" s="139">
        <v>44733</v>
      </c>
      <c r="C236" s="138" t="s">
        <v>487</v>
      </c>
      <c r="D236" s="138"/>
      <c r="E236" s="9">
        <v>4</v>
      </c>
      <c r="F236" s="138"/>
      <c r="G236" s="9" t="s">
        <v>14</v>
      </c>
      <c r="H236" s="9" t="s">
        <v>230</v>
      </c>
      <c r="J236" s="9" t="s">
        <v>40</v>
      </c>
      <c r="L236" s="9" t="s">
        <v>493</v>
      </c>
      <c r="M236" s="9" t="s">
        <v>493</v>
      </c>
      <c r="N236" s="9" t="s">
        <v>493</v>
      </c>
      <c r="O236" s="9" t="s">
        <v>493</v>
      </c>
      <c r="P236" s="21">
        <v>12.6798</v>
      </c>
      <c r="Q236" s="116">
        <v>44733</v>
      </c>
      <c r="R236" s="140">
        <v>44861</v>
      </c>
      <c r="S236" s="141">
        <v>128</v>
      </c>
      <c r="T236" s="21">
        <v>7.0999999999999994E-2</v>
      </c>
      <c r="U236" s="108">
        <v>0.224</v>
      </c>
      <c r="V236" s="9" t="s">
        <v>34</v>
      </c>
      <c r="W236" s="9">
        <v>7</v>
      </c>
      <c r="X236" s="121" t="s">
        <v>56</v>
      </c>
      <c r="Y236" s="140">
        <v>44944</v>
      </c>
      <c r="Z236" s="21">
        <v>5.07</v>
      </c>
      <c r="AA236" s="23">
        <v>4</v>
      </c>
      <c r="AB236" s="32" t="s">
        <v>206</v>
      </c>
      <c r="AC236" s="32" t="s">
        <v>207</v>
      </c>
      <c r="AD236" s="9" t="s">
        <v>180</v>
      </c>
      <c r="AE236" s="9" t="s">
        <v>228</v>
      </c>
      <c r="AF236" s="9">
        <v>381</v>
      </c>
      <c r="AG236" s="138" t="s">
        <v>605</v>
      </c>
      <c r="AH236" s="9" t="s">
        <v>1760</v>
      </c>
      <c r="AI236" s="9" t="s">
        <v>1789</v>
      </c>
    </row>
    <row r="237" spans="1:36">
      <c r="A237" s="138" t="s">
        <v>606</v>
      </c>
      <c r="B237" s="139">
        <v>44733</v>
      </c>
      <c r="C237" s="138" t="s">
        <v>487</v>
      </c>
      <c r="D237" s="138"/>
      <c r="E237" s="9">
        <v>5</v>
      </c>
      <c r="F237" s="138"/>
      <c r="G237" s="9" t="s">
        <v>15</v>
      </c>
      <c r="H237" s="9" t="s">
        <v>230</v>
      </c>
      <c r="J237" s="9" t="s">
        <v>253</v>
      </c>
      <c r="L237" s="9" t="s">
        <v>493</v>
      </c>
      <c r="M237" s="9" t="s">
        <v>493</v>
      </c>
      <c r="N237" s="9" t="s">
        <v>493</v>
      </c>
      <c r="O237" s="9" t="s">
        <v>493</v>
      </c>
      <c r="P237" s="21">
        <v>12.8727</v>
      </c>
      <c r="Q237" s="116">
        <v>44733</v>
      </c>
      <c r="R237" s="140">
        <v>44861</v>
      </c>
      <c r="S237" s="141">
        <v>128</v>
      </c>
      <c r="T237" s="21">
        <v>0.5</v>
      </c>
      <c r="V237" s="9" t="s">
        <v>32</v>
      </c>
      <c r="W237" s="9">
        <v>1</v>
      </c>
      <c r="X237" s="121" t="s">
        <v>86</v>
      </c>
      <c r="Y237" s="140">
        <v>44907</v>
      </c>
      <c r="Z237" s="21">
        <v>1.3</v>
      </c>
      <c r="AA237" s="23">
        <v>3</v>
      </c>
      <c r="AB237" s="32" t="s">
        <v>42</v>
      </c>
      <c r="AC237" s="32" t="s">
        <v>193</v>
      </c>
      <c r="AD237" s="9" t="s">
        <v>166</v>
      </c>
      <c r="AE237" s="9" t="s">
        <v>212</v>
      </c>
      <c r="AF237" s="9">
        <v>100</v>
      </c>
      <c r="AG237" s="138" t="s">
        <v>606</v>
      </c>
      <c r="AH237" s="9" t="s">
        <v>1760</v>
      </c>
      <c r="AI237" s="9" t="s">
        <v>1790</v>
      </c>
    </row>
    <row r="238" spans="1:36">
      <c r="A238" s="138" t="s">
        <v>607</v>
      </c>
      <c r="B238" s="139">
        <v>44733</v>
      </c>
      <c r="C238" s="138" t="s">
        <v>487</v>
      </c>
      <c r="D238" s="138"/>
      <c r="E238" s="9">
        <v>6</v>
      </c>
      <c r="F238" s="138"/>
      <c r="G238" s="9" t="s">
        <v>16</v>
      </c>
      <c r="H238" s="9" t="s">
        <v>3</v>
      </c>
      <c r="J238" s="9" t="s">
        <v>254</v>
      </c>
      <c r="L238" s="9" t="s">
        <v>493</v>
      </c>
      <c r="M238" s="9" t="s">
        <v>493</v>
      </c>
      <c r="N238" s="9" t="s">
        <v>493</v>
      </c>
      <c r="O238" s="9" t="s">
        <v>493</v>
      </c>
      <c r="P238" s="21">
        <v>13.1624</v>
      </c>
      <c r="Q238" s="116">
        <v>44733</v>
      </c>
      <c r="R238" s="140">
        <v>44865</v>
      </c>
      <c r="S238" s="141">
        <v>132</v>
      </c>
      <c r="T238" s="21"/>
      <c r="U238" s="108">
        <v>0.184</v>
      </c>
      <c r="V238" s="9" t="s">
        <v>34</v>
      </c>
      <c r="W238" s="9">
        <v>7</v>
      </c>
      <c r="X238" s="121" t="s">
        <v>44</v>
      </c>
      <c r="Y238" s="140">
        <v>44944</v>
      </c>
      <c r="Z238" s="21">
        <v>1.51</v>
      </c>
      <c r="AA238" s="23">
        <v>4</v>
      </c>
      <c r="AB238" s="32" t="s">
        <v>194</v>
      </c>
      <c r="AC238" s="32" t="s">
        <v>195</v>
      </c>
      <c r="AD238" s="9" t="s">
        <v>180</v>
      </c>
      <c r="AE238" s="9" t="s">
        <v>228</v>
      </c>
      <c r="AF238" s="9">
        <v>309</v>
      </c>
      <c r="AG238" s="138" t="s">
        <v>607</v>
      </c>
      <c r="AH238" s="9" t="s">
        <v>1760</v>
      </c>
      <c r="AI238" s="9" t="s">
        <v>1789</v>
      </c>
    </row>
    <row r="239" spans="1:36">
      <c r="A239" s="138" t="s">
        <v>609</v>
      </c>
      <c r="B239" s="139">
        <v>44733</v>
      </c>
      <c r="C239" s="138" t="s">
        <v>487</v>
      </c>
      <c r="D239" s="138"/>
      <c r="E239" s="9">
        <v>8</v>
      </c>
      <c r="F239" s="138"/>
      <c r="G239" s="9" t="s">
        <v>15</v>
      </c>
      <c r="H239" s="9" t="s">
        <v>230</v>
      </c>
      <c r="J239" s="9" t="s">
        <v>253</v>
      </c>
      <c r="L239" s="9" t="s">
        <v>493</v>
      </c>
      <c r="M239" s="9" t="s">
        <v>493</v>
      </c>
      <c r="N239" s="9" t="s">
        <v>493</v>
      </c>
      <c r="O239" s="9" t="s">
        <v>493</v>
      </c>
      <c r="P239" s="21">
        <v>12.124599999999999</v>
      </c>
      <c r="Q239" s="116">
        <v>44733</v>
      </c>
      <c r="R239" s="140">
        <v>44865</v>
      </c>
      <c r="S239" s="141">
        <v>132</v>
      </c>
      <c r="T239" s="21">
        <v>0.18099999999999999</v>
      </c>
      <c r="U239" s="108">
        <v>0.49199999999999999</v>
      </c>
      <c r="V239" s="9" t="s">
        <v>32</v>
      </c>
      <c r="W239" s="9">
        <v>1</v>
      </c>
      <c r="X239" s="121" t="s">
        <v>110</v>
      </c>
      <c r="Y239" s="140">
        <v>44907</v>
      </c>
      <c r="Z239" s="21">
        <v>1.1696869851729819</v>
      </c>
      <c r="AA239" s="23">
        <v>3</v>
      </c>
      <c r="AB239" s="32" t="s">
        <v>204</v>
      </c>
      <c r="AC239" s="32" t="s">
        <v>205</v>
      </c>
      <c r="AD239" s="9" t="s">
        <v>168</v>
      </c>
      <c r="AE239" s="9" t="s">
        <v>216</v>
      </c>
      <c r="AF239" s="9">
        <v>174</v>
      </c>
      <c r="AG239" s="138" t="s">
        <v>609</v>
      </c>
      <c r="AH239" s="9" t="s">
        <v>1760</v>
      </c>
      <c r="AI239" s="9" t="s">
        <v>1789</v>
      </c>
    </row>
    <row r="240" spans="1:36">
      <c r="A240" s="138" t="s">
        <v>610</v>
      </c>
      <c r="B240" s="139">
        <v>44733</v>
      </c>
      <c r="C240" s="138" t="s">
        <v>487</v>
      </c>
      <c r="D240" s="138"/>
      <c r="E240" s="9">
        <v>9</v>
      </c>
      <c r="F240" s="138"/>
      <c r="G240" s="9" t="s">
        <v>12</v>
      </c>
      <c r="H240" s="9" t="s">
        <v>230</v>
      </c>
      <c r="J240" s="9" t="s">
        <v>254</v>
      </c>
      <c r="L240" s="9" t="s">
        <v>493</v>
      </c>
      <c r="M240" s="9" t="s">
        <v>493</v>
      </c>
      <c r="N240" s="9" t="s">
        <v>493</v>
      </c>
      <c r="O240" s="9" t="s">
        <v>493</v>
      </c>
      <c r="P240" s="21">
        <v>14.1905</v>
      </c>
      <c r="Q240" s="116">
        <v>44733</v>
      </c>
      <c r="R240" s="140">
        <v>44886</v>
      </c>
      <c r="S240" s="141">
        <v>153</v>
      </c>
      <c r="T240" s="21"/>
      <c r="U240" s="108">
        <v>7.0999999999999994E-2</v>
      </c>
      <c r="V240" s="9" t="s">
        <v>34</v>
      </c>
      <c r="W240" s="9">
        <v>5</v>
      </c>
      <c r="X240" s="121" t="s">
        <v>56</v>
      </c>
      <c r="Y240" s="140">
        <v>44902</v>
      </c>
      <c r="Z240" s="21">
        <v>2.64</v>
      </c>
      <c r="AA240" s="23">
        <v>4</v>
      </c>
      <c r="AB240" s="32" t="s">
        <v>206</v>
      </c>
      <c r="AC240" s="32" t="s">
        <v>207</v>
      </c>
      <c r="AD240" s="9" t="s">
        <v>173</v>
      </c>
      <c r="AE240" s="9" t="s">
        <v>221</v>
      </c>
      <c r="AF240" s="9">
        <v>373</v>
      </c>
      <c r="AG240" s="138" t="s">
        <v>610</v>
      </c>
      <c r="AH240" s="9" t="s">
        <v>1760</v>
      </c>
      <c r="AI240" s="9" t="s">
        <v>1789</v>
      </c>
    </row>
    <row r="241" spans="1:35">
      <c r="A241" s="138" t="s">
        <v>611</v>
      </c>
      <c r="B241" s="139">
        <v>44733</v>
      </c>
      <c r="C241" s="138" t="s">
        <v>487</v>
      </c>
      <c r="D241" s="138"/>
      <c r="E241" s="9">
        <v>10</v>
      </c>
      <c r="F241" s="138"/>
      <c r="G241" s="9" t="s">
        <v>11</v>
      </c>
      <c r="H241" s="9" t="s">
        <v>3</v>
      </c>
      <c r="J241" s="9" t="s">
        <v>40</v>
      </c>
      <c r="L241" s="9" t="s">
        <v>493</v>
      </c>
      <c r="M241" s="9" t="s">
        <v>493</v>
      </c>
      <c r="N241" s="9" t="s">
        <v>493</v>
      </c>
      <c r="O241" s="9" t="s">
        <v>493</v>
      </c>
      <c r="P241" s="21">
        <v>12.920999999999999</v>
      </c>
      <c r="Q241" s="116">
        <v>44733</v>
      </c>
      <c r="R241" s="140">
        <v>44861</v>
      </c>
      <c r="S241" s="141">
        <v>128</v>
      </c>
      <c r="T241" s="21"/>
      <c r="U241" s="108">
        <v>7.9000000000000001E-2</v>
      </c>
      <c r="V241" s="9" t="s">
        <v>34</v>
      </c>
      <c r="W241" s="9">
        <v>5</v>
      </c>
      <c r="X241" s="121" t="s">
        <v>79</v>
      </c>
      <c r="Y241" s="140">
        <v>44902</v>
      </c>
      <c r="Z241" s="21">
        <v>0.72</v>
      </c>
      <c r="AA241" s="23">
        <v>4</v>
      </c>
      <c r="AB241" s="32" t="s">
        <v>42</v>
      </c>
      <c r="AC241" s="32" t="s">
        <v>193</v>
      </c>
      <c r="AD241" s="9" t="s">
        <v>174</v>
      </c>
      <c r="AE241" s="9" t="s">
        <v>222</v>
      </c>
      <c r="AF241" s="9">
        <v>290</v>
      </c>
      <c r="AG241" s="138" t="s">
        <v>611</v>
      </c>
      <c r="AH241" s="9" t="s">
        <v>1760</v>
      </c>
      <c r="AI241" s="9" t="s">
        <v>1789</v>
      </c>
    </row>
    <row r="242" spans="1:35">
      <c r="A242" s="138" t="s">
        <v>612</v>
      </c>
      <c r="B242" s="139">
        <v>44733</v>
      </c>
      <c r="C242" s="138" t="s">
        <v>487</v>
      </c>
      <c r="D242" s="138"/>
      <c r="E242" s="9">
        <v>11</v>
      </c>
      <c r="F242" s="138"/>
      <c r="G242" s="9" t="s">
        <v>9</v>
      </c>
      <c r="H242" s="9" t="s">
        <v>3</v>
      </c>
      <c r="J242" s="9" t="s">
        <v>253</v>
      </c>
      <c r="L242" s="9" t="s">
        <v>493</v>
      </c>
      <c r="M242" s="9" t="s">
        <v>493</v>
      </c>
      <c r="N242" s="9" t="s">
        <v>493</v>
      </c>
      <c r="O242" s="9" t="s">
        <v>493</v>
      </c>
      <c r="P242" s="21">
        <v>13.130800000000001</v>
      </c>
      <c r="Q242" s="116">
        <v>44733</v>
      </c>
      <c r="R242" s="140">
        <v>44886</v>
      </c>
      <c r="S242" s="141">
        <v>153</v>
      </c>
      <c r="T242" s="21"/>
      <c r="U242" s="108">
        <v>0.61699999999999999</v>
      </c>
      <c r="V242" s="9" t="s">
        <v>32</v>
      </c>
      <c r="W242" s="9">
        <v>1</v>
      </c>
      <c r="X242" s="121" t="s">
        <v>115</v>
      </c>
      <c r="Y242" s="140">
        <v>44907</v>
      </c>
      <c r="Z242" s="21">
        <v>0.69</v>
      </c>
      <c r="AA242" s="23">
        <v>3</v>
      </c>
      <c r="AB242" s="32" t="s">
        <v>196</v>
      </c>
      <c r="AC242" s="32" t="s">
        <v>197</v>
      </c>
      <c r="AD242" s="9" t="s">
        <v>170</v>
      </c>
      <c r="AE242" s="9" t="s">
        <v>218</v>
      </c>
      <c r="AF242" s="9">
        <v>129</v>
      </c>
      <c r="AG242" s="138" t="s">
        <v>612</v>
      </c>
      <c r="AH242" s="9" t="s">
        <v>1760</v>
      </c>
      <c r="AI242" s="9" t="s">
        <v>1789</v>
      </c>
    </row>
    <row r="243" spans="1:35">
      <c r="A243" s="138" t="s">
        <v>613</v>
      </c>
      <c r="B243" s="139">
        <v>44733</v>
      </c>
      <c r="C243" s="138" t="s">
        <v>487</v>
      </c>
      <c r="D243" s="138"/>
      <c r="E243" s="9">
        <v>12</v>
      </c>
      <c r="F243" s="138"/>
      <c r="G243" s="9" t="s">
        <v>16</v>
      </c>
      <c r="H243" s="9" t="s">
        <v>3</v>
      </c>
      <c r="J243" s="9" t="s">
        <v>254</v>
      </c>
      <c r="L243" s="9" t="s">
        <v>493</v>
      </c>
      <c r="M243" s="9" t="s">
        <v>493</v>
      </c>
      <c r="N243" s="9" t="s">
        <v>493</v>
      </c>
      <c r="O243" s="9" t="s">
        <v>493</v>
      </c>
      <c r="P243" s="21">
        <v>14.729100000000001</v>
      </c>
      <c r="Q243" s="116">
        <v>44733</v>
      </c>
      <c r="R243" s="140">
        <v>44861</v>
      </c>
      <c r="S243" s="141">
        <v>128</v>
      </c>
      <c r="T243" s="21">
        <v>0.29599999999999999</v>
      </c>
      <c r="V243" s="9" t="s">
        <v>32</v>
      </c>
      <c r="W243" s="9">
        <v>1</v>
      </c>
      <c r="X243" s="121" t="s">
        <v>130</v>
      </c>
      <c r="Y243" s="140">
        <v>44907</v>
      </c>
      <c r="Z243" s="21">
        <v>1.61</v>
      </c>
      <c r="AA243" s="23">
        <v>3</v>
      </c>
      <c r="AB243" s="32" t="s">
        <v>198</v>
      </c>
      <c r="AC243" s="32" t="s">
        <v>199</v>
      </c>
      <c r="AD243" s="9" t="s">
        <v>171</v>
      </c>
      <c r="AE243" s="9" t="s">
        <v>219</v>
      </c>
      <c r="AF243" s="9">
        <v>142</v>
      </c>
      <c r="AG243" s="138" t="s">
        <v>613</v>
      </c>
      <c r="AH243" s="9" t="s">
        <v>1760</v>
      </c>
      <c r="AI243" s="9" t="s">
        <v>1790</v>
      </c>
    </row>
    <row r="244" spans="1:35">
      <c r="A244" s="138" t="s">
        <v>614</v>
      </c>
      <c r="B244" s="139">
        <v>44733</v>
      </c>
      <c r="C244" s="138" t="s">
        <v>487</v>
      </c>
      <c r="D244" s="138"/>
      <c r="E244" s="9">
        <v>13</v>
      </c>
      <c r="F244" s="138"/>
      <c r="G244" s="9" t="s">
        <v>11</v>
      </c>
      <c r="H244" s="9" t="s">
        <v>3</v>
      </c>
      <c r="J244" s="9" t="s">
        <v>40</v>
      </c>
      <c r="L244" s="9" t="s">
        <v>493</v>
      </c>
      <c r="M244" s="9" t="s">
        <v>493</v>
      </c>
      <c r="N244" s="9" t="s">
        <v>493</v>
      </c>
      <c r="O244" s="9" t="s">
        <v>493</v>
      </c>
      <c r="P244" s="21">
        <v>13.1755</v>
      </c>
      <c r="Q244" s="116">
        <v>44733</v>
      </c>
      <c r="R244" s="140">
        <v>44890</v>
      </c>
      <c r="S244" s="141">
        <v>157</v>
      </c>
      <c r="T244" s="21"/>
      <c r="U244" s="108">
        <v>0</v>
      </c>
      <c r="V244" s="9" t="s">
        <v>34</v>
      </c>
      <c r="W244" s="9">
        <v>6</v>
      </c>
      <c r="X244" s="121" t="s">
        <v>146</v>
      </c>
      <c r="Y244" s="140">
        <v>44937</v>
      </c>
      <c r="Z244" s="21">
        <v>2.6</v>
      </c>
      <c r="AA244" s="23">
        <v>1</v>
      </c>
      <c r="AB244" s="32" t="s">
        <v>162</v>
      </c>
      <c r="AC244" s="32" t="s">
        <v>190</v>
      </c>
      <c r="AD244" s="9" t="s">
        <v>165</v>
      </c>
      <c r="AE244" s="9" t="s">
        <v>211</v>
      </c>
      <c r="AF244" s="9">
        <v>75</v>
      </c>
      <c r="AG244" s="138" t="s">
        <v>614</v>
      </c>
      <c r="AH244" s="9" t="s">
        <v>1760</v>
      </c>
      <c r="AI244" s="9" t="s">
        <v>1792</v>
      </c>
    </row>
    <row r="245" spans="1:35">
      <c r="A245" s="138" t="s">
        <v>615</v>
      </c>
      <c r="B245" s="139">
        <v>44733</v>
      </c>
      <c r="C245" s="138" t="s">
        <v>487</v>
      </c>
      <c r="D245" s="138"/>
      <c r="E245" s="9">
        <v>14</v>
      </c>
      <c r="F245" s="138"/>
      <c r="G245" s="9" t="s">
        <v>16</v>
      </c>
      <c r="H245" s="9" t="s">
        <v>3</v>
      </c>
      <c r="J245" s="9" t="s">
        <v>254</v>
      </c>
      <c r="L245" s="9" t="s">
        <v>493</v>
      </c>
      <c r="M245" s="9" t="s">
        <v>493</v>
      </c>
      <c r="N245" s="9" t="s">
        <v>493</v>
      </c>
      <c r="O245" s="9" t="s">
        <v>493</v>
      </c>
      <c r="P245" s="21">
        <v>11.935700000000001</v>
      </c>
      <c r="Q245" s="116">
        <v>44733</v>
      </c>
      <c r="R245" s="140">
        <v>44890</v>
      </c>
      <c r="S245" s="141">
        <v>157</v>
      </c>
      <c r="T245" s="21"/>
      <c r="U245" s="108">
        <v>0.38500000000000001</v>
      </c>
      <c r="V245" s="9" t="s">
        <v>32</v>
      </c>
      <c r="W245" s="9">
        <v>1</v>
      </c>
      <c r="X245" s="121" t="s">
        <v>135</v>
      </c>
      <c r="Y245" s="140">
        <v>44907</v>
      </c>
      <c r="Z245" s="21">
        <v>1.41</v>
      </c>
      <c r="AA245" s="23">
        <v>3</v>
      </c>
      <c r="AB245" s="32" t="s">
        <v>42</v>
      </c>
      <c r="AC245" s="32" t="s">
        <v>193</v>
      </c>
      <c r="AD245" s="9" t="s">
        <v>167</v>
      </c>
      <c r="AE245" s="9" t="s">
        <v>215</v>
      </c>
      <c r="AF245" s="9">
        <v>108</v>
      </c>
      <c r="AG245" s="138" t="s">
        <v>615</v>
      </c>
      <c r="AH245" s="9" t="s">
        <v>1760</v>
      </c>
      <c r="AI245" s="9" t="s">
        <v>1789</v>
      </c>
    </row>
    <row r="246" spans="1:35">
      <c r="A246" s="138" t="s">
        <v>616</v>
      </c>
      <c r="B246" s="139">
        <v>44733</v>
      </c>
      <c r="C246" s="138" t="s">
        <v>487</v>
      </c>
      <c r="D246" s="138"/>
      <c r="E246" s="9">
        <v>15</v>
      </c>
      <c r="F246" s="138"/>
      <c r="G246" s="9" t="s">
        <v>9</v>
      </c>
      <c r="H246" s="9" t="s">
        <v>3</v>
      </c>
      <c r="J246" s="9" t="s">
        <v>253</v>
      </c>
      <c r="L246" s="9" t="s">
        <v>493</v>
      </c>
      <c r="M246" s="9" t="s">
        <v>493</v>
      </c>
      <c r="N246" s="9" t="s">
        <v>493</v>
      </c>
      <c r="O246" s="9" t="s">
        <v>493</v>
      </c>
      <c r="P246" s="21">
        <v>11.6639</v>
      </c>
      <c r="Q246" s="116">
        <v>44733</v>
      </c>
      <c r="R246" s="140">
        <v>44890</v>
      </c>
      <c r="S246" s="141">
        <v>157</v>
      </c>
      <c r="T246" s="21"/>
      <c r="U246" s="108">
        <v>0</v>
      </c>
      <c r="V246" s="9" t="s">
        <v>34</v>
      </c>
      <c r="W246" s="9">
        <v>6</v>
      </c>
      <c r="X246" s="121" t="s">
        <v>91</v>
      </c>
      <c r="Y246" s="140">
        <v>44937</v>
      </c>
      <c r="Z246" s="21">
        <v>0.67</v>
      </c>
      <c r="AA246" s="23">
        <v>1</v>
      </c>
      <c r="AB246" s="9" t="s">
        <v>156</v>
      </c>
      <c r="AC246" s="9" t="s">
        <v>185</v>
      </c>
      <c r="AD246" s="9" t="s">
        <v>166</v>
      </c>
      <c r="AE246" s="9" t="s">
        <v>212</v>
      </c>
      <c r="AF246" s="9">
        <v>16</v>
      </c>
      <c r="AG246" s="138" t="s">
        <v>616</v>
      </c>
      <c r="AH246" s="9" t="s">
        <v>1760</v>
      </c>
      <c r="AI246" s="9" t="s">
        <v>1792</v>
      </c>
    </row>
    <row r="247" spans="1:35">
      <c r="A247" s="138" t="s">
        <v>618</v>
      </c>
      <c r="B247" s="139">
        <v>44733</v>
      </c>
      <c r="C247" s="138" t="s">
        <v>487</v>
      </c>
      <c r="D247" s="138"/>
      <c r="E247" s="9">
        <v>17</v>
      </c>
      <c r="F247" s="138"/>
      <c r="G247" s="9" t="s">
        <v>14</v>
      </c>
      <c r="H247" s="9" t="s">
        <v>230</v>
      </c>
      <c r="J247" s="9" t="s">
        <v>40</v>
      </c>
      <c r="L247" s="9" t="s">
        <v>493</v>
      </c>
      <c r="M247" s="9" t="s">
        <v>493</v>
      </c>
      <c r="N247" s="9" t="s">
        <v>493</v>
      </c>
      <c r="O247" s="9" t="s">
        <v>493</v>
      </c>
      <c r="P247" s="21">
        <v>13.215</v>
      </c>
      <c r="Q247" s="116">
        <v>44733</v>
      </c>
      <c r="R247" s="140">
        <v>44893</v>
      </c>
      <c r="S247" s="141">
        <v>160</v>
      </c>
      <c r="T247" s="21"/>
      <c r="U247" s="108">
        <v>0</v>
      </c>
      <c r="V247" s="9" t="s">
        <v>34</v>
      </c>
      <c r="W247" s="9">
        <v>6</v>
      </c>
      <c r="X247" s="121" t="s">
        <v>87</v>
      </c>
      <c r="Y247" s="140">
        <v>44937</v>
      </c>
      <c r="Z247" s="21">
        <v>0.84</v>
      </c>
      <c r="AA247" s="23">
        <v>1</v>
      </c>
      <c r="AB247" s="32" t="s">
        <v>159</v>
      </c>
      <c r="AC247" s="32" t="s">
        <v>188</v>
      </c>
      <c r="AD247" s="9" t="s">
        <v>166</v>
      </c>
      <c r="AE247" s="9" t="s">
        <v>212</v>
      </c>
      <c r="AF247" s="9">
        <v>52</v>
      </c>
      <c r="AG247" s="138" t="s">
        <v>618</v>
      </c>
      <c r="AH247" s="9" t="s">
        <v>1760</v>
      </c>
      <c r="AI247" s="9" t="s">
        <v>1792</v>
      </c>
    </row>
    <row r="248" spans="1:35">
      <c r="A248" s="138" t="s">
        <v>619</v>
      </c>
      <c r="B248" s="139">
        <v>44733</v>
      </c>
      <c r="C248" s="138" t="s">
        <v>487</v>
      </c>
      <c r="D248" s="138"/>
      <c r="E248" s="9">
        <v>18</v>
      </c>
      <c r="F248" s="138"/>
      <c r="G248" s="9" t="s">
        <v>12</v>
      </c>
      <c r="H248" s="9" t="s">
        <v>230</v>
      </c>
      <c r="J248" s="9" t="s">
        <v>254</v>
      </c>
      <c r="L248" s="9" t="s">
        <v>493</v>
      </c>
      <c r="M248" s="9" t="s">
        <v>493</v>
      </c>
      <c r="N248" s="9" t="s">
        <v>493</v>
      </c>
      <c r="O248" s="9" t="s">
        <v>493</v>
      </c>
      <c r="P248" s="21">
        <v>14.5815</v>
      </c>
      <c r="Q248" s="116">
        <v>44733</v>
      </c>
      <c r="R248" s="140">
        <v>44893</v>
      </c>
      <c r="S248" s="141">
        <v>160</v>
      </c>
      <c r="T248" s="21"/>
      <c r="U248" s="108">
        <v>0.121</v>
      </c>
      <c r="V248" s="9" t="s">
        <v>34</v>
      </c>
      <c r="W248" s="9">
        <v>5</v>
      </c>
      <c r="X248" s="121" t="s">
        <v>81</v>
      </c>
      <c r="Y248" s="140">
        <v>44902</v>
      </c>
      <c r="Z248" s="21">
        <v>1.62</v>
      </c>
      <c r="AA248" s="23">
        <v>4</v>
      </c>
      <c r="AB248" s="32" t="s">
        <v>42</v>
      </c>
      <c r="AC248" s="32" t="s">
        <v>193</v>
      </c>
      <c r="AD248" s="9" t="s">
        <v>175</v>
      </c>
      <c r="AE248" s="9" t="s">
        <v>223</v>
      </c>
      <c r="AF248" s="9">
        <v>291</v>
      </c>
      <c r="AG248" s="138" t="s">
        <v>619</v>
      </c>
      <c r="AH248" s="9" t="s">
        <v>1760</v>
      </c>
      <c r="AI248" s="9" t="s">
        <v>1790</v>
      </c>
    </row>
    <row r="249" spans="1:35">
      <c r="A249" s="138" t="s">
        <v>621</v>
      </c>
      <c r="B249" s="139">
        <v>44733</v>
      </c>
      <c r="C249" s="138" t="s">
        <v>487</v>
      </c>
      <c r="D249" s="138"/>
      <c r="E249" s="9">
        <v>19</v>
      </c>
      <c r="F249" s="138"/>
      <c r="G249" s="9" t="s">
        <v>9</v>
      </c>
      <c r="H249" s="9" t="s">
        <v>3</v>
      </c>
      <c r="J249" s="9" t="s">
        <v>253</v>
      </c>
      <c r="L249" s="9" t="s">
        <v>493</v>
      </c>
      <c r="M249" s="9" t="s">
        <v>493</v>
      </c>
      <c r="N249" s="9" t="s">
        <v>493</v>
      </c>
      <c r="O249" s="9" t="s">
        <v>493</v>
      </c>
      <c r="P249" s="21">
        <v>11.243600000000001</v>
      </c>
      <c r="Q249" s="116">
        <v>44733</v>
      </c>
      <c r="R249" s="140">
        <v>44893</v>
      </c>
      <c r="S249" s="141">
        <v>160</v>
      </c>
      <c r="T249" s="21"/>
      <c r="U249" s="108">
        <v>0.11799999999999999</v>
      </c>
      <c r="V249" s="9" t="s">
        <v>34</v>
      </c>
      <c r="W249" s="9">
        <v>5</v>
      </c>
      <c r="X249" s="121" t="s">
        <v>83</v>
      </c>
      <c r="Y249" s="140">
        <v>44902</v>
      </c>
      <c r="Z249" s="21">
        <v>3.4</v>
      </c>
      <c r="AA249" s="23">
        <v>4</v>
      </c>
      <c r="AB249" s="32" t="s">
        <v>196</v>
      </c>
      <c r="AC249" s="32" t="s">
        <v>197</v>
      </c>
      <c r="AD249" s="9" t="s">
        <v>175</v>
      </c>
      <c r="AE249" s="9" t="s">
        <v>223</v>
      </c>
      <c r="AF249" s="9">
        <v>315</v>
      </c>
      <c r="AG249" s="138" t="s">
        <v>621</v>
      </c>
      <c r="AH249" s="9" t="s">
        <v>1760</v>
      </c>
      <c r="AI249" s="9" t="s">
        <v>1789</v>
      </c>
    </row>
    <row r="250" spans="1:35">
      <c r="A250" s="138" t="s">
        <v>622</v>
      </c>
      <c r="B250" s="139">
        <v>44733</v>
      </c>
      <c r="C250" s="138" t="s">
        <v>487</v>
      </c>
      <c r="D250" s="138"/>
      <c r="E250" s="9">
        <v>21</v>
      </c>
      <c r="F250" s="138"/>
      <c r="G250" s="9" t="s">
        <v>14</v>
      </c>
      <c r="H250" s="9" t="s">
        <v>230</v>
      </c>
      <c r="J250" s="9" t="s">
        <v>40</v>
      </c>
      <c r="L250" s="9" t="s">
        <v>493</v>
      </c>
      <c r="M250" s="9" t="s">
        <v>493</v>
      </c>
      <c r="N250" s="9" t="s">
        <v>493</v>
      </c>
      <c r="O250" s="9" t="s">
        <v>493</v>
      </c>
      <c r="P250" s="21">
        <v>13.487</v>
      </c>
      <c r="Q250" s="116">
        <v>44733</v>
      </c>
      <c r="R250" s="140">
        <v>44893</v>
      </c>
      <c r="S250" s="141">
        <v>160</v>
      </c>
      <c r="T250" s="21"/>
      <c r="U250" s="108">
        <v>0.29899999999999999</v>
      </c>
      <c r="V250" s="9" t="s">
        <v>32</v>
      </c>
      <c r="W250" s="9">
        <v>2</v>
      </c>
      <c r="X250" s="121" t="s">
        <v>106</v>
      </c>
      <c r="Y250" s="140">
        <v>44908</v>
      </c>
      <c r="Z250" s="21">
        <v>4.4465343575860921</v>
      </c>
      <c r="AA250" s="23">
        <v>2</v>
      </c>
      <c r="AB250" s="32" t="s">
        <v>156</v>
      </c>
      <c r="AC250" s="32" t="s">
        <v>185</v>
      </c>
      <c r="AD250" s="9" t="s">
        <v>177</v>
      </c>
      <c r="AE250" s="9" t="s">
        <v>225</v>
      </c>
      <c r="AF250" s="9">
        <v>210</v>
      </c>
      <c r="AG250" s="138" t="s">
        <v>622</v>
      </c>
      <c r="AH250" s="9" t="s">
        <v>1760</v>
      </c>
      <c r="AI250" s="9" t="s">
        <v>1789</v>
      </c>
    </row>
    <row r="251" spans="1:35">
      <c r="A251" s="138" t="s">
        <v>623</v>
      </c>
      <c r="B251" s="139">
        <v>44733</v>
      </c>
      <c r="C251" s="138" t="s">
        <v>487</v>
      </c>
      <c r="D251" s="138"/>
      <c r="E251" s="9">
        <v>22</v>
      </c>
      <c r="F251" s="138"/>
      <c r="G251" s="9" t="s">
        <v>12</v>
      </c>
      <c r="H251" s="9" t="s">
        <v>230</v>
      </c>
      <c r="J251" s="9" t="s">
        <v>254</v>
      </c>
      <c r="L251" s="9" t="s">
        <v>493</v>
      </c>
      <c r="M251" s="9" t="s">
        <v>493</v>
      </c>
      <c r="N251" s="9" t="s">
        <v>493</v>
      </c>
      <c r="O251" s="9" t="s">
        <v>493</v>
      </c>
      <c r="P251" s="21">
        <v>12.7012</v>
      </c>
      <c r="Q251" s="116">
        <v>44733</v>
      </c>
      <c r="R251" s="140">
        <v>44894</v>
      </c>
      <c r="S251" s="141">
        <v>161</v>
      </c>
      <c r="T251" s="21">
        <v>9.2999999999999999E-2</v>
      </c>
      <c r="U251" s="108">
        <v>0.60899999999999999</v>
      </c>
      <c r="V251" s="9" t="s">
        <v>32</v>
      </c>
      <c r="W251" s="9">
        <v>2</v>
      </c>
      <c r="X251" s="121" t="s">
        <v>103</v>
      </c>
      <c r="Y251" s="140">
        <v>44908</v>
      </c>
      <c r="Z251" s="21">
        <v>0.76</v>
      </c>
      <c r="AA251" s="23">
        <v>2</v>
      </c>
      <c r="AB251" s="32" t="s">
        <v>155</v>
      </c>
      <c r="AC251" s="32" t="s">
        <v>184</v>
      </c>
      <c r="AD251" s="9" t="s">
        <v>178</v>
      </c>
      <c r="AE251" s="9" t="s">
        <v>226</v>
      </c>
      <c r="AF251" s="9">
        <v>199</v>
      </c>
      <c r="AG251" s="138" t="s">
        <v>623</v>
      </c>
      <c r="AH251" s="9" t="s">
        <v>1760</v>
      </c>
      <c r="AI251" s="9" t="s">
        <v>1789</v>
      </c>
    </row>
    <row r="252" spans="1:35">
      <c r="A252" s="138" t="s">
        <v>624</v>
      </c>
      <c r="B252" s="139">
        <v>44733</v>
      </c>
      <c r="C252" s="138" t="s">
        <v>487</v>
      </c>
      <c r="D252" s="138"/>
      <c r="E252" s="9">
        <v>23</v>
      </c>
      <c r="F252" s="138"/>
      <c r="G252" s="9" t="s">
        <v>15</v>
      </c>
      <c r="H252" s="9" t="s">
        <v>230</v>
      </c>
      <c r="J252" s="9" t="s">
        <v>253</v>
      </c>
      <c r="L252" s="9" t="s">
        <v>493</v>
      </c>
      <c r="M252" s="9" t="s">
        <v>493</v>
      </c>
      <c r="N252" s="9" t="s">
        <v>493</v>
      </c>
      <c r="O252" s="9" t="s">
        <v>493</v>
      </c>
      <c r="P252" s="21">
        <v>11.9171</v>
      </c>
      <c r="Q252" s="116">
        <v>44733</v>
      </c>
      <c r="R252" s="140">
        <v>44894</v>
      </c>
      <c r="S252" s="141">
        <v>161</v>
      </c>
      <c r="T252" s="21"/>
      <c r="U252" s="108">
        <v>6.6000000000000003E-2</v>
      </c>
      <c r="V252" s="9" t="s">
        <v>34</v>
      </c>
      <c r="W252" s="9">
        <v>6</v>
      </c>
      <c r="X252" s="121" t="s">
        <v>44</v>
      </c>
      <c r="Y252" s="140">
        <v>44937</v>
      </c>
      <c r="Z252" s="21">
        <v>0.75</v>
      </c>
      <c r="AA252" s="23">
        <v>1</v>
      </c>
      <c r="AB252" s="32" t="s">
        <v>42</v>
      </c>
      <c r="AC252" s="32" t="s">
        <v>190</v>
      </c>
      <c r="AD252" s="9" t="s">
        <v>43</v>
      </c>
      <c r="AE252" s="9" t="s">
        <v>213</v>
      </c>
      <c r="AF252" s="9">
        <v>77</v>
      </c>
      <c r="AG252" s="138" t="s">
        <v>624</v>
      </c>
      <c r="AH252" s="9" t="s">
        <v>1760</v>
      </c>
      <c r="AI252" s="9" t="s">
        <v>1789</v>
      </c>
    </row>
    <row r="253" spans="1:35">
      <c r="A253" s="138" t="s">
        <v>625</v>
      </c>
      <c r="B253" s="139">
        <v>44733</v>
      </c>
      <c r="C253" s="138" t="s">
        <v>487</v>
      </c>
      <c r="D253" s="138"/>
      <c r="E253" s="9">
        <v>24</v>
      </c>
      <c r="F253" s="138"/>
      <c r="G253" s="9" t="s">
        <v>16</v>
      </c>
      <c r="H253" s="9" t="s">
        <v>3</v>
      </c>
      <c r="J253" s="9" t="s">
        <v>254</v>
      </c>
      <c r="L253" s="9" t="s">
        <v>493</v>
      </c>
      <c r="M253" s="9" t="s">
        <v>493</v>
      </c>
      <c r="N253" s="9" t="s">
        <v>493</v>
      </c>
      <c r="O253" s="9" t="s">
        <v>493</v>
      </c>
      <c r="P253" s="21">
        <v>10.827500000000001</v>
      </c>
      <c r="Q253" s="116">
        <v>44733</v>
      </c>
      <c r="R253" s="140">
        <v>44894</v>
      </c>
      <c r="S253" s="141">
        <v>161</v>
      </c>
      <c r="T253" s="21"/>
      <c r="U253" s="108">
        <v>7.1999999999999995E-2</v>
      </c>
      <c r="V253" s="9" t="s">
        <v>34</v>
      </c>
      <c r="W253" s="9">
        <v>5</v>
      </c>
      <c r="X253" s="121" t="s">
        <v>102</v>
      </c>
      <c r="Y253" s="140">
        <v>44902</v>
      </c>
      <c r="Z253" s="21">
        <v>1.82</v>
      </c>
      <c r="AA253" s="23">
        <v>4</v>
      </c>
      <c r="AB253" s="32" t="s">
        <v>198</v>
      </c>
      <c r="AC253" s="32" t="s">
        <v>199</v>
      </c>
      <c r="AD253" s="9" t="s">
        <v>176</v>
      </c>
      <c r="AE253" s="9" t="s">
        <v>224</v>
      </c>
      <c r="AF253" s="9">
        <v>328</v>
      </c>
      <c r="AG253" s="138" t="s">
        <v>625</v>
      </c>
      <c r="AH253" s="9" t="s">
        <v>1760</v>
      </c>
      <c r="AI253" s="9" t="s">
        <v>1789</v>
      </c>
    </row>
    <row r="254" spans="1:35">
      <c r="A254" s="138" t="s">
        <v>626</v>
      </c>
      <c r="B254" s="139">
        <v>44740</v>
      </c>
      <c r="C254" s="138" t="s">
        <v>487</v>
      </c>
      <c r="D254" s="138"/>
      <c r="E254" s="9">
        <v>1</v>
      </c>
      <c r="F254" s="138"/>
      <c r="G254" s="9" t="s">
        <v>9</v>
      </c>
      <c r="H254" s="9" t="s">
        <v>3</v>
      </c>
      <c r="J254" s="9" t="s">
        <v>253</v>
      </c>
      <c r="L254" s="9" t="s">
        <v>493</v>
      </c>
      <c r="M254" s="9" t="s">
        <v>493</v>
      </c>
      <c r="N254" s="9" t="s">
        <v>493</v>
      </c>
      <c r="O254" s="9" t="s">
        <v>493</v>
      </c>
      <c r="P254" s="21">
        <v>11.2492</v>
      </c>
      <c r="Q254" s="116">
        <v>44740</v>
      </c>
      <c r="R254" s="140">
        <v>44860</v>
      </c>
      <c r="S254" s="141">
        <v>120</v>
      </c>
      <c r="T254" s="21">
        <v>2.39</v>
      </c>
      <c r="V254" s="9" t="s">
        <v>32</v>
      </c>
      <c r="W254" s="9">
        <v>1</v>
      </c>
      <c r="X254" s="121" t="s">
        <v>46</v>
      </c>
      <c r="Y254" s="140">
        <v>44907</v>
      </c>
      <c r="Z254" s="21">
        <v>1.2581288476545565</v>
      </c>
      <c r="AA254" s="23">
        <v>3</v>
      </c>
      <c r="AB254" s="32" t="s">
        <v>196</v>
      </c>
      <c r="AC254" s="32" t="s">
        <v>197</v>
      </c>
      <c r="AD254" s="9" t="s">
        <v>163</v>
      </c>
      <c r="AE254" s="9" t="s">
        <v>209</v>
      </c>
      <c r="AF254" s="9">
        <v>121</v>
      </c>
      <c r="AG254" s="138" t="s">
        <v>626</v>
      </c>
      <c r="AH254" s="9" t="s">
        <v>1760</v>
      </c>
      <c r="AI254" s="9" t="s">
        <v>1790</v>
      </c>
    </row>
    <row r="255" spans="1:35">
      <c r="A255" s="138" t="s">
        <v>628</v>
      </c>
      <c r="B255" s="139">
        <v>44740</v>
      </c>
      <c r="C255" s="138" t="s">
        <v>487</v>
      </c>
      <c r="D255" s="138"/>
      <c r="E255" s="9">
        <v>3</v>
      </c>
      <c r="F255" s="138"/>
      <c r="G255" s="9" t="s">
        <v>12</v>
      </c>
      <c r="H255" s="9" t="s">
        <v>230</v>
      </c>
      <c r="J255" s="9" t="s">
        <v>254</v>
      </c>
      <c r="L255" s="9" t="s">
        <v>493</v>
      </c>
      <c r="M255" s="9" t="s">
        <v>493</v>
      </c>
      <c r="N255" s="9" t="s">
        <v>493</v>
      </c>
      <c r="O255" s="9" t="s">
        <v>493</v>
      </c>
      <c r="P255" s="21">
        <v>11.4438</v>
      </c>
      <c r="Q255" s="116">
        <v>44740</v>
      </c>
      <c r="R255" s="140">
        <v>44860</v>
      </c>
      <c r="S255" s="141">
        <v>120</v>
      </c>
      <c r="T255" s="21">
        <v>0</v>
      </c>
      <c r="V255" s="9" t="s">
        <v>34</v>
      </c>
      <c r="W255" s="9">
        <v>6</v>
      </c>
      <c r="X255" s="121" t="s">
        <v>143</v>
      </c>
      <c r="Y255" s="140">
        <v>44937</v>
      </c>
      <c r="Z255" s="21">
        <v>5.93</v>
      </c>
      <c r="AA255" s="23">
        <v>1</v>
      </c>
      <c r="AB255" s="32" t="s">
        <v>160</v>
      </c>
      <c r="AC255" s="32" t="s">
        <v>189</v>
      </c>
      <c r="AD255" s="9" t="s">
        <v>164</v>
      </c>
      <c r="AE255" s="9" t="s">
        <v>210</v>
      </c>
      <c r="AF255" s="9">
        <v>62</v>
      </c>
      <c r="AG255" s="138" t="s">
        <v>628</v>
      </c>
      <c r="AH255" s="9" t="s">
        <v>1760</v>
      </c>
      <c r="AI255" s="9" t="s">
        <v>1790</v>
      </c>
    </row>
    <row r="256" spans="1:35">
      <c r="A256" s="138" t="s">
        <v>630</v>
      </c>
      <c r="B256" s="139">
        <v>44740</v>
      </c>
      <c r="C256" s="138" t="s">
        <v>487</v>
      </c>
      <c r="D256" s="138"/>
      <c r="E256" s="9">
        <v>5</v>
      </c>
      <c r="F256" s="138"/>
      <c r="G256" s="9" t="s">
        <v>15</v>
      </c>
      <c r="H256" s="9" t="s">
        <v>230</v>
      </c>
      <c r="J256" s="9" t="s">
        <v>253</v>
      </c>
      <c r="L256" s="9" t="s">
        <v>493</v>
      </c>
      <c r="M256" s="9" t="s">
        <v>493</v>
      </c>
      <c r="N256" s="9" t="s">
        <v>493</v>
      </c>
      <c r="O256" s="9" t="s">
        <v>493</v>
      </c>
      <c r="P256" s="21">
        <v>11.6752</v>
      </c>
      <c r="Q256" s="116">
        <v>44740</v>
      </c>
      <c r="R256" s="140">
        <v>44861</v>
      </c>
      <c r="S256" s="141">
        <v>121</v>
      </c>
      <c r="T256" s="21">
        <v>6.3E-2</v>
      </c>
      <c r="U256" s="108">
        <v>0.216</v>
      </c>
      <c r="V256" s="9" t="s">
        <v>33</v>
      </c>
      <c r="W256" s="9">
        <v>3</v>
      </c>
      <c r="X256" s="121" t="s">
        <v>54</v>
      </c>
      <c r="Y256" s="140">
        <v>44938</v>
      </c>
      <c r="Z256" s="21">
        <v>18.899999999999999</v>
      </c>
      <c r="AA256" s="23">
        <v>1</v>
      </c>
      <c r="AB256" s="32" t="s">
        <v>51</v>
      </c>
      <c r="AC256" s="32" t="s">
        <v>190</v>
      </c>
      <c r="AD256" s="9" t="s">
        <v>69</v>
      </c>
      <c r="AE256" s="9" t="s">
        <v>214</v>
      </c>
      <c r="AF256" s="9">
        <v>83</v>
      </c>
      <c r="AG256" s="138" t="s">
        <v>630</v>
      </c>
      <c r="AH256" s="9" t="s">
        <v>1760</v>
      </c>
      <c r="AI256" s="9" t="s">
        <v>1789</v>
      </c>
    </row>
    <row r="257" spans="1:35">
      <c r="A257" s="138" t="s">
        <v>631</v>
      </c>
      <c r="B257" s="139">
        <v>44740</v>
      </c>
      <c r="C257" s="138" t="s">
        <v>487</v>
      </c>
      <c r="D257" s="138"/>
      <c r="E257" s="9">
        <v>6</v>
      </c>
      <c r="F257" s="138"/>
      <c r="G257" s="9" t="s">
        <v>16</v>
      </c>
      <c r="H257" s="9" t="s">
        <v>3</v>
      </c>
      <c r="J257" s="9" t="s">
        <v>254</v>
      </c>
      <c r="L257" s="9" t="s">
        <v>493</v>
      </c>
      <c r="M257" s="9" t="s">
        <v>493</v>
      </c>
      <c r="N257" s="9" t="s">
        <v>493</v>
      </c>
      <c r="O257" s="9" t="s">
        <v>493</v>
      </c>
      <c r="P257" s="21">
        <v>11.2902</v>
      </c>
      <c r="Q257" s="116">
        <v>44740</v>
      </c>
      <c r="R257" s="140">
        <v>44865</v>
      </c>
      <c r="S257" s="141">
        <v>125</v>
      </c>
      <c r="T257" s="21">
        <v>0.107</v>
      </c>
      <c r="U257" s="108">
        <v>0.314</v>
      </c>
      <c r="V257" s="9" t="s">
        <v>32</v>
      </c>
      <c r="W257" s="9">
        <v>1</v>
      </c>
      <c r="X257" s="121" t="s">
        <v>99</v>
      </c>
      <c r="Y257" s="140">
        <v>44907</v>
      </c>
      <c r="Z257" s="21">
        <v>1.3691147142981011</v>
      </c>
      <c r="AA257" s="23">
        <v>3</v>
      </c>
      <c r="AB257" s="32" t="s">
        <v>194</v>
      </c>
      <c r="AC257" s="32" t="s">
        <v>195</v>
      </c>
      <c r="AD257" s="9" t="s">
        <v>43</v>
      </c>
      <c r="AE257" s="9" t="s">
        <v>213</v>
      </c>
      <c r="AF257" s="9">
        <v>113</v>
      </c>
      <c r="AG257" s="138" t="s">
        <v>631</v>
      </c>
      <c r="AH257" s="9" t="s">
        <v>1760</v>
      </c>
      <c r="AI257" s="9" t="s">
        <v>1794</v>
      </c>
    </row>
    <row r="258" spans="1:35">
      <c r="A258" s="138" t="s">
        <v>632</v>
      </c>
      <c r="B258" s="139">
        <v>44740</v>
      </c>
      <c r="C258" s="138" t="s">
        <v>487</v>
      </c>
      <c r="D258" s="138"/>
      <c r="E258" s="9">
        <v>7</v>
      </c>
      <c r="F258" s="138"/>
      <c r="G258" s="9" t="s">
        <v>14</v>
      </c>
      <c r="H258" s="9" t="s">
        <v>230</v>
      </c>
      <c r="J258" s="9" t="s">
        <v>40</v>
      </c>
      <c r="L258" s="9" t="s">
        <v>493</v>
      </c>
      <c r="M258" s="9" t="s">
        <v>493</v>
      </c>
      <c r="N258" s="9" t="s">
        <v>493</v>
      </c>
      <c r="O258" s="9" t="s">
        <v>493</v>
      </c>
      <c r="P258" s="21">
        <v>11.144299999999999</v>
      </c>
      <c r="Q258" s="116">
        <v>44740</v>
      </c>
      <c r="R258" s="140">
        <v>44861</v>
      </c>
      <c r="S258" s="141">
        <v>121</v>
      </c>
      <c r="T258" s="21"/>
      <c r="U258" s="108">
        <v>0</v>
      </c>
      <c r="V258" s="9" t="s">
        <v>34</v>
      </c>
      <c r="W258" s="9">
        <v>6</v>
      </c>
      <c r="X258" s="121" t="s">
        <v>82</v>
      </c>
      <c r="Y258" s="140">
        <v>44937</v>
      </c>
      <c r="Z258" s="21">
        <v>2</v>
      </c>
      <c r="AA258" s="23">
        <v>1</v>
      </c>
      <c r="AB258" s="32" t="s">
        <v>159</v>
      </c>
      <c r="AC258" s="32" t="s">
        <v>188</v>
      </c>
      <c r="AD258" s="9" t="s">
        <v>165</v>
      </c>
      <c r="AE258" s="9" t="s">
        <v>211</v>
      </c>
      <c r="AF258" s="9">
        <v>51</v>
      </c>
      <c r="AG258" s="138" t="s">
        <v>632</v>
      </c>
      <c r="AH258" s="9" t="s">
        <v>1760</v>
      </c>
      <c r="AI258" s="9" t="s">
        <v>1792</v>
      </c>
    </row>
    <row r="259" spans="1:35">
      <c r="A259" s="138" t="s">
        <v>633</v>
      </c>
      <c r="B259" s="139">
        <v>44740</v>
      </c>
      <c r="C259" s="138" t="s">
        <v>487</v>
      </c>
      <c r="D259" s="138"/>
      <c r="E259" s="9">
        <v>8</v>
      </c>
      <c r="F259" s="138"/>
      <c r="G259" s="9" t="s">
        <v>15</v>
      </c>
      <c r="H259" s="9" t="s">
        <v>230</v>
      </c>
      <c r="J259" s="9" t="s">
        <v>253</v>
      </c>
      <c r="L259" s="9" t="s">
        <v>493</v>
      </c>
      <c r="M259" s="9" t="s">
        <v>493</v>
      </c>
      <c r="N259" s="9" t="s">
        <v>493</v>
      </c>
      <c r="O259" s="9" t="s">
        <v>493</v>
      </c>
      <c r="P259" s="21">
        <v>10.464499999999999</v>
      </c>
      <c r="Q259" s="116">
        <v>44740</v>
      </c>
      <c r="R259" s="140">
        <v>44865</v>
      </c>
      <c r="S259" s="141">
        <v>125</v>
      </c>
      <c r="T259" s="21">
        <v>0.05</v>
      </c>
      <c r="U259" s="108">
        <v>0.16800000000000001</v>
      </c>
      <c r="V259" s="9" t="s">
        <v>34</v>
      </c>
      <c r="W259" s="9">
        <v>5</v>
      </c>
      <c r="X259" s="121" t="s">
        <v>52</v>
      </c>
      <c r="Y259" s="140">
        <v>44902</v>
      </c>
      <c r="Z259" s="21">
        <v>5.5</v>
      </c>
      <c r="AA259" s="23">
        <v>4</v>
      </c>
      <c r="AB259" s="32" t="s">
        <v>202</v>
      </c>
      <c r="AC259" s="32" t="s">
        <v>203</v>
      </c>
      <c r="AD259" s="9" t="s">
        <v>173</v>
      </c>
      <c r="AE259" s="9" t="s">
        <v>221</v>
      </c>
      <c r="AF259" s="9">
        <v>349</v>
      </c>
      <c r="AG259" s="138" t="s">
        <v>633</v>
      </c>
      <c r="AH259" s="9" t="s">
        <v>1760</v>
      </c>
      <c r="AI259" s="9" t="s">
        <v>1789</v>
      </c>
    </row>
    <row r="260" spans="1:35">
      <c r="A260" s="138" t="s">
        <v>634</v>
      </c>
      <c r="B260" s="139">
        <v>44740</v>
      </c>
      <c r="C260" s="138" t="s">
        <v>487</v>
      </c>
      <c r="D260" s="138"/>
      <c r="E260" s="9">
        <v>9</v>
      </c>
      <c r="F260" s="138"/>
      <c r="G260" s="9" t="s">
        <v>12</v>
      </c>
      <c r="H260" s="9" t="s">
        <v>230</v>
      </c>
      <c r="J260" s="9" t="s">
        <v>254</v>
      </c>
      <c r="L260" s="9" t="s">
        <v>493</v>
      </c>
      <c r="M260" s="9" t="s">
        <v>493</v>
      </c>
      <c r="N260" s="9" t="s">
        <v>493</v>
      </c>
      <c r="O260" s="9" t="s">
        <v>493</v>
      </c>
      <c r="P260" s="21">
        <v>11.425000000000001</v>
      </c>
      <c r="Q260" s="116">
        <v>44740</v>
      </c>
      <c r="R260" s="140">
        <v>44886</v>
      </c>
      <c r="S260" s="141">
        <v>146</v>
      </c>
      <c r="T260" s="21">
        <v>0.629</v>
      </c>
      <c r="V260" s="9" t="s">
        <v>32</v>
      </c>
      <c r="W260" s="9">
        <v>1</v>
      </c>
      <c r="X260" s="121" t="s">
        <v>116</v>
      </c>
      <c r="Y260" s="140">
        <v>44907</v>
      </c>
      <c r="Z260" s="21">
        <v>1.9283794329315875</v>
      </c>
      <c r="AA260" s="23">
        <v>3</v>
      </c>
      <c r="AB260" s="32" t="s">
        <v>202</v>
      </c>
      <c r="AC260" s="32" t="s">
        <v>203</v>
      </c>
      <c r="AD260" s="9" t="s">
        <v>169</v>
      </c>
      <c r="AE260" s="9" t="s">
        <v>217</v>
      </c>
      <c r="AF260" s="9">
        <v>163</v>
      </c>
      <c r="AG260" s="138" t="s">
        <v>634</v>
      </c>
      <c r="AH260" s="9" t="s">
        <v>1760</v>
      </c>
      <c r="AI260" s="9" t="s">
        <v>1790</v>
      </c>
    </row>
    <row r="261" spans="1:35">
      <c r="A261" s="138" t="s">
        <v>635</v>
      </c>
      <c r="B261" s="139">
        <v>44740</v>
      </c>
      <c r="C261" s="138" t="s">
        <v>487</v>
      </c>
      <c r="D261" s="138"/>
      <c r="E261" s="9">
        <v>10</v>
      </c>
      <c r="F261" s="138"/>
      <c r="G261" s="9" t="s">
        <v>11</v>
      </c>
      <c r="H261" s="9" t="s">
        <v>3</v>
      </c>
      <c r="J261" s="9" t="s">
        <v>40</v>
      </c>
      <c r="L261" s="9" t="s">
        <v>493</v>
      </c>
      <c r="M261" s="9" t="s">
        <v>493</v>
      </c>
      <c r="N261" s="9" t="s">
        <v>493</v>
      </c>
      <c r="O261" s="9" t="s">
        <v>493</v>
      </c>
      <c r="P261" s="21">
        <v>10.417</v>
      </c>
      <c r="Q261" s="116">
        <v>44740</v>
      </c>
      <c r="R261" s="140">
        <v>44861</v>
      </c>
      <c r="S261" s="141">
        <v>121</v>
      </c>
      <c r="T261" s="21"/>
      <c r="U261" s="108">
        <v>5.3999999999999999E-2</v>
      </c>
      <c r="V261" s="9" t="s">
        <v>34</v>
      </c>
      <c r="W261" s="9">
        <v>5</v>
      </c>
      <c r="X261" s="121" t="s">
        <v>78</v>
      </c>
      <c r="Y261" s="140">
        <v>44902</v>
      </c>
      <c r="Z261" s="21">
        <v>0.53</v>
      </c>
      <c r="AA261" s="23">
        <v>4</v>
      </c>
      <c r="AB261" s="32" t="s">
        <v>194</v>
      </c>
      <c r="AC261" s="32" t="s">
        <v>195</v>
      </c>
      <c r="AD261" s="9" t="s">
        <v>174</v>
      </c>
      <c r="AE261" s="9" t="s">
        <v>222</v>
      </c>
      <c r="AF261" s="9">
        <v>302</v>
      </c>
      <c r="AG261" s="138" t="s">
        <v>635</v>
      </c>
      <c r="AH261" s="9" t="s">
        <v>1760</v>
      </c>
      <c r="AI261" s="9" t="s">
        <v>1789</v>
      </c>
    </row>
    <row r="262" spans="1:35">
      <c r="A262" s="138" t="s">
        <v>636</v>
      </c>
      <c r="B262" s="139">
        <v>44740</v>
      </c>
      <c r="C262" s="138" t="s">
        <v>487</v>
      </c>
      <c r="D262" s="138"/>
      <c r="E262" s="9">
        <v>11</v>
      </c>
      <c r="F262" s="138"/>
      <c r="G262" s="9" t="s">
        <v>9</v>
      </c>
      <c r="H262" s="9" t="s">
        <v>3</v>
      </c>
      <c r="J262" s="9" t="s">
        <v>253</v>
      </c>
      <c r="L262" s="9" t="s">
        <v>493</v>
      </c>
      <c r="M262" s="9" t="s">
        <v>493</v>
      </c>
      <c r="N262" s="9" t="s">
        <v>493</v>
      </c>
      <c r="O262" s="9" t="s">
        <v>493</v>
      </c>
      <c r="P262" s="21">
        <v>9.5310000000000006</v>
      </c>
      <c r="Q262" s="116">
        <v>44740</v>
      </c>
      <c r="R262" s="140">
        <v>44886</v>
      </c>
      <c r="S262" s="141">
        <v>146</v>
      </c>
      <c r="T262" s="21"/>
      <c r="U262" s="108">
        <v>0.93200000000000005</v>
      </c>
      <c r="V262" s="9" t="s">
        <v>32</v>
      </c>
      <c r="W262" s="9">
        <v>1</v>
      </c>
      <c r="X262" s="121" t="s">
        <v>123</v>
      </c>
      <c r="Y262" s="140">
        <v>44907</v>
      </c>
      <c r="Z262" s="21">
        <v>0.83</v>
      </c>
      <c r="AA262" s="23">
        <v>3</v>
      </c>
      <c r="AB262" s="32" t="s">
        <v>198</v>
      </c>
      <c r="AC262" s="32" t="s">
        <v>199</v>
      </c>
      <c r="AD262" s="9" t="s">
        <v>170</v>
      </c>
      <c r="AE262" s="9" t="s">
        <v>218</v>
      </c>
      <c r="AF262" s="9">
        <v>141</v>
      </c>
      <c r="AG262" s="138" t="s">
        <v>636</v>
      </c>
      <c r="AH262" s="9" t="s">
        <v>1760</v>
      </c>
      <c r="AI262" s="9" t="s">
        <v>1789</v>
      </c>
    </row>
    <row r="263" spans="1:35">
      <c r="A263" s="138" t="s">
        <v>637</v>
      </c>
      <c r="B263" s="139">
        <v>44740</v>
      </c>
      <c r="C263" s="138" t="s">
        <v>487</v>
      </c>
      <c r="D263" s="138"/>
      <c r="E263" s="9">
        <v>12</v>
      </c>
      <c r="F263" s="138"/>
      <c r="G263" s="9" t="s">
        <v>16</v>
      </c>
      <c r="H263" s="9" t="s">
        <v>3</v>
      </c>
      <c r="J263" s="9" t="s">
        <v>254</v>
      </c>
      <c r="L263" s="9" t="s">
        <v>493</v>
      </c>
      <c r="M263" s="9" t="s">
        <v>493</v>
      </c>
      <c r="N263" s="9" t="s">
        <v>493</v>
      </c>
      <c r="O263" s="9" t="s">
        <v>493</v>
      </c>
      <c r="P263" s="21">
        <v>11.726699999999999</v>
      </c>
      <c r="Q263" s="116">
        <v>44740</v>
      </c>
      <c r="R263" s="140">
        <v>44861</v>
      </c>
      <c r="S263" s="141">
        <v>121</v>
      </c>
      <c r="T263" s="21"/>
      <c r="U263" s="108">
        <v>0.16500000000000001</v>
      </c>
      <c r="V263" s="9" t="s">
        <v>34</v>
      </c>
      <c r="W263" s="9">
        <v>5</v>
      </c>
      <c r="X263" s="121" t="s">
        <v>143</v>
      </c>
      <c r="Y263" s="140">
        <v>44902</v>
      </c>
      <c r="Z263" s="21">
        <v>6.11</v>
      </c>
      <c r="AA263" s="23">
        <v>4</v>
      </c>
      <c r="AB263" s="32" t="s">
        <v>198</v>
      </c>
      <c r="AC263" s="32" t="s">
        <v>199</v>
      </c>
      <c r="AD263" s="9" t="s">
        <v>174</v>
      </c>
      <c r="AE263" s="9" t="s">
        <v>222</v>
      </c>
      <c r="AF263" s="9">
        <v>326</v>
      </c>
      <c r="AG263" s="138" t="s">
        <v>637</v>
      </c>
      <c r="AH263" s="9" t="s">
        <v>1760</v>
      </c>
      <c r="AI263" s="9" t="s">
        <v>1789</v>
      </c>
    </row>
    <row r="264" spans="1:35">
      <c r="A264" s="138" t="s">
        <v>638</v>
      </c>
      <c r="B264" s="139">
        <v>44740</v>
      </c>
      <c r="C264" s="138" t="s">
        <v>487</v>
      </c>
      <c r="D264" s="138"/>
      <c r="E264" s="9">
        <v>13</v>
      </c>
      <c r="F264" s="138"/>
      <c r="G264" s="9" t="s">
        <v>11</v>
      </c>
      <c r="H264" s="9" t="s">
        <v>3</v>
      </c>
      <c r="J264" s="9" t="s">
        <v>40</v>
      </c>
      <c r="L264" s="9" t="s">
        <v>493</v>
      </c>
      <c r="M264" s="9" t="s">
        <v>493</v>
      </c>
      <c r="N264" s="9" t="s">
        <v>493</v>
      </c>
      <c r="O264" s="9" t="s">
        <v>493</v>
      </c>
      <c r="P264" s="21">
        <v>10.7438</v>
      </c>
      <c r="Q264" s="116">
        <v>44740</v>
      </c>
      <c r="R264" s="140">
        <v>44890</v>
      </c>
      <c r="S264" s="141">
        <v>150</v>
      </c>
      <c r="T264" s="21"/>
      <c r="U264" s="108">
        <v>0.32500000000000001</v>
      </c>
      <c r="V264" s="9" t="s">
        <v>32</v>
      </c>
      <c r="W264" s="9">
        <v>1</v>
      </c>
      <c r="X264" s="121" t="s">
        <v>70</v>
      </c>
      <c r="Y264" s="140">
        <v>44907</v>
      </c>
      <c r="Z264" s="21">
        <v>0.75088875401023147</v>
      </c>
      <c r="AA264" s="23">
        <v>3</v>
      </c>
      <c r="AB264" s="32" t="s">
        <v>194</v>
      </c>
      <c r="AC264" s="32" t="s">
        <v>195</v>
      </c>
      <c r="AD264" s="9" t="s">
        <v>69</v>
      </c>
      <c r="AE264" s="9" t="s">
        <v>214</v>
      </c>
      <c r="AF264" s="9">
        <v>119</v>
      </c>
      <c r="AG264" s="138" t="s">
        <v>638</v>
      </c>
      <c r="AH264" s="9" t="s">
        <v>1760</v>
      </c>
      <c r="AI264" s="9" t="s">
        <v>1789</v>
      </c>
    </row>
    <row r="265" spans="1:35">
      <c r="A265" s="138" t="s">
        <v>639</v>
      </c>
      <c r="B265" s="139">
        <v>44740</v>
      </c>
      <c r="C265" s="138" t="s">
        <v>487</v>
      </c>
      <c r="D265" s="138"/>
      <c r="E265" s="9">
        <v>14</v>
      </c>
      <c r="F265" s="138"/>
      <c r="G265" s="9" t="s">
        <v>16</v>
      </c>
      <c r="H265" s="9" t="s">
        <v>3</v>
      </c>
      <c r="J265" s="9" t="s">
        <v>254</v>
      </c>
      <c r="L265" s="9" t="s">
        <v>493</v>
      </c>
      <c r="M265" s="9" t="s">
        <v>493</v>
      </c>
      <c r="N265" s="9" t="s">
        <v>493</v>
      </c>
      <c r="O265" s="9" t="s">
        <v>493</v>
      </c>
      <c r="P265" s="21">
        <v>11.9595</v>
      </c>
      <c r="Q265" s="116">
        <v>44740</v>
      </c>
      <c r="R265" s="140">
        <v>44890</v>
      </c>
      <c r="S265" s="141">
        <v>150</v>
      </c>
      <c r="T265" s="21">
        <v>0.36199999999999999</v>
      </c>
      <c r="V265" s="9" t="s">
        <v>32</v>
      </c>
      <c r="W265" s="9">
        <v>1</v>
      </c>
      <c r="X265" s="121" t="s">
        <v>128</v>
      </c>
      <c r="Y265" s="140">
        <v>44907</v>
      </c>
      <c r="Z265" s="21">
        <v>7.75</v>
      </c>
      <c r="AA265" s="23">
        <v>3</v>
      </c>
      <c r="AB265" s="32" t="s">
        <v>194</v>
      </c>
      <c r="AC265" s="32" t="s">
        <v>195</v>
      </c>
      <c r="AD265" s="9" t="s">
        <v>167</v>
      </c>
      <c r="AE265" s="9" t="s">
        <v>215</v>
      </c>
      <c r="AF265" s="9">
        <v>120</v>
      </c>
      <c r="AG265" s="138" t="s">
        <v>639</v>
      </c>
      <c r="AH265" s="9" t="s">
        <v>1760</v>
      </c>
      <c r="AI265" s="9" t="s">
        <v>1790</v>
      </c>
    </row>
    <row r="266" spans="1:35">
      <c r="A266" s="138" t="s">
        <v>640</v>
      </c>
      <c r="B266" s="139">
        <v>44740</v>
      </c>
      <c r="C266" s="138" t="s">
        <v>487</v>
      </c>
      <c r="D266" s="138"/>
      <c r="E266" s="9">
        <v>15</v>
      </c>
      <c r="F266" s="138"/>
      <c r="G266" s="9" t="s">
        <v>9</v>
      </c>
      <c r="H266" s="9" t="s">
        <v>3</v>
      </c>
      <c r="J266" s="9" t="s">
        <v>253</v>
      </c>
      <c r="L266" s="9" t="s">
        <v>493</v>
      </c>
      <c r="M266" s="9" t="s">
        <v>493</v>
      </c>
      <c r="N266" s="9" t="s">
        <v>493</v>
      </c>
      <c r="O266" s="9" t="s">
        <v>493</v>
      </c>
      <c r="P266" s="21">
        <v>10.469900000000001</v>
      </c>
      <c r="Q266" s="116">
        <v>44740</v>
      </c>
      <c r="R266" s="140">
        <v>44890</v>
      </c>
      <c r="S266" s="141">
        <v>150</v>
      </c>
      <c r="T266" s="21">
        <v>0.56200000000000006</v>
      </c>
      <c r="V266" s="9" t="s">
        <v>32</v>
      </c>
      <c r="W266" s="9">
        <v>2</v>
      </c>
      <c r="X266" s="121" t="s">
        <v>46</v>
      </c>
      <c r="Y266" s="140">
        <v>44908</v>
      </c>
      <c r="Z266" s="21">
        <v>5.7</v>
      </c>
      <c r="AA266" s="23">
        <v>2</v>
      </c>
      <c r="AB266" s="32" t="s">
        <v>157</v>
      </c>
      <c r="AC266" s="32" t="s">
        <v>186</v>
      </c>
      <c r="AD266" s="9" t="s">
        <v>173</v>
      </c>
      <c r="AE266" s="9" t="s">
        <v>221</v>
      </c>
      <c r="AF266" s="9">
        <v>217</v>
      </c>
      <c r="AG266" s="138" t="s">
        <v>640</v>
      </c>
      <c r="AH266" s="9" t="s">
        <v>1760</v>
      </c>
      <c r="AI266" s="9" t="s">
        <v>1790</v>
      </c>
    </row>
    <row r="267" spans="1:35">
      <c r="A267" s="138" t="s">
        <v>642</v>
      </c>
      <c r="B267" s="139">
        <v>44740</v>
      </c>
      <c r="C267" s="138" t="s">
        <v>487</v>
      </c>
      <c r="D267" s="138"/>
      <c r="E267" s="9">
        <v>17</v>
      </c>
      <c r="F267" s="138"/>
      <c r="G267" s="9" t="s">
        <v>14</v>
      </c>
      <c r="H267" s="9" t="s">
        <v>230</v>
      </c>
      <c r="J267" s="9" t="s">
        <v>40</v>
      </c>
      <c r="L267" s="9" t="s">
        <v>493</v>
      </c>
      <c r="M267" s="9" t="s">
        <v>493</v>
      </c>
      <c r="N267" s="9" t="s">
        <v>493</v>
      </c>
      <c r="O267" s="9" t="s">
        <v>493</v>
      </c>
      <c r="P267" s="21">
        <v>11.483499999999999</v>
      </c>
      <c r="Q267" s="116">
        <v>44740</v>
      </c>
      <c r="R267" s="140">
        <v>44893</v>
      </c>
      <c r="S267" s="141">
        <v>153</v>
      </c>
      <c r="T267" s="21"/>
      <c r="U267" s="108">
        <v>0</v>
      </c>
      <c r="V267" s="9" t="s">
        <v>34</v>
      </c>
      <c r="W267" s="9">
        <v>6</v>
      </c>
      <c r="X267" s="121" t="s">
        <v>94</v>
      </c>
      <c r="Y267" s="140">
        <v>44937</v>
      </c>
      <c r="Z267" s="21">
        <v>0.11</v>
      </c>
      <c r="AA267" s="23">
        <v>1</v>
      </c>
      <c r="AB267" s="32" t="s">
        <v>160</v>
      </c>
      <c r="AC267" s="32" t="s">
        <v>189</v>
      </c>
      <c r="AD267" s="9" t="s">
        <v>166</v>
      </c>
      <c r="AE267" s="9" t="s">
        <v>212</v>
      </c>
      <c r="AF267" s="9">
        <v>64</v>
      </c>
      <c r="AG267" s="138" t="s">
        <v>642</v>
      </c>
      <c r="AH267" s="9" t="s">
        <v>1760</v>
      </c>
      <c r="AI267" s="9" t="s">
        <v>1792</v>
      </c>
    </row>
    <row r="268" spans="1:35">
      <c r="A268" s="138" t="s">
        <v>643</v>
      </c>
      <c r="B268" s="139">
        <v>44740</v>
      </c>
      <c r="C268" s="138" t="s">
        <v>487</v>
      </c>
      <c r="D268" s="138"/>
      <c r="E268" s="9">
        <v>18</v>
      </c>
      <c r="F268" s="138"/>
      <c r="G268" s="9" t="s">
        <v>12</v>
      </c>
      <c r="H268" s="9" t="s">
        <v>230</v>
      </c>
      <c r="J268" s="9" t="s">
        <v>254</v>
      </c>
      <c r="L268" s="9" t="s">
        <v>493</v>
      </c>
      <c r="M268" s="9" t="s">
        <v>493</v>
      </c>
      <c r="N268" s="9" t="s">
        <v>493</v>
      </c>
      <c r="O268" s="9" t="s">
        <v>493</v>
      </c>
      <c r="P268" s="21">
        <v>10.369</v>
      </c>
      <c r="Q268" s="116">
        <v>44740</v>
      </c>
      <c r="R268" s="140">
        <v>44893</v>
      </c>
      <c r="S268" s="141">
        <v>153</v>
      </c>
      <c r="T268" s="21"/>
      <c r="U268" s="108">
        <v>0.11700000000000001</v>
      </c>
      <c r="V268" s="9" t="s">
        <v>34</v>
      </c>
      <c r="W268" s="9">
        <v>5</v>
      </c>
      <c r="X268" s="121" t="s">
        <v>82</v>
      </c>
      <c r="Y268" s="140">
        <v>44902</v>
      </c>
      <c r="Z268" s="21">
        <v>0.46100000000000002</v>
      </c>
      <c r="AA268" s="23">
        <v>4</v>
      </c>
      <c r="AB268" s="32" t="s">
        <v>194</v>
      </c>
      <c r="AC268" s="32" t="s">
        <v>195</v>
      </c>
      <c r="AD268" s="9" t="s">
        <v>175</v>
      </c>
      <c r="AE268" s="9" t="s">
        <v>223</v>
      </c>
      <c r="AF268" s="9">
        <v>303</v>
      </c>
      <c r="AG268" s="138" t="s">
        <v>643</v>
      </c>
      <c r="AH268" s="9" t="s">
        <v>1760</v>
      </c>
      <c r="AI268" s="9" t="s">
        <v>1789</v>
      </c>
    </row>
    <row r="269" spans="1:35">
      <c r="A269" s="138" t="s">
        <v>645</v>
      </c>
      <c r="B269" s="139">
        <v>44740</v>
      </c>
      <c r="C269" s="138" t="s">
        <v>487</v>
      </c>
      <c r="D269" s="138"/>
      <c r="E269" s="9">
        <v>20</v>
      </c>
      <c r="F269" s="138"/>
      <c r="G269" s="9" t="s">
        <v>11</v>
      </c>
      <c r="H269" s="9" t="s">
        <v>3</v>
      </c>
      <c r="J269" s="9" t="s">
        <v>40</v>
      </c>
      <c r="L269" s="9" t="s">
        <v>493</v>
      </c>
      <c r="M269" s="9" t="s">
        <v>493</v>
      </c>
      <c r="N269" s="9" t="s">
        <v>493</v>
      </c>
      <c r="O269" s="9" t="s">
        <v>493</v>
      </c>
      <c r="P269" s="21">
        <v>10.126799999999999</v>
      </c>
      <c r="Q269" s="116">
        <v>44740</v>
      </c>
      <c r="R269" s="140">
        <v>44894</v>
      </c>
      <c r="S269" s="141">
        <v>154</v>
      </c>
      <c r="T269" s="21">
        <v>0.14899999999999999</v>
      </c>
      <c r="U269" s="108">
        <v>0.91</v>
      </c>
      <c r="V269" s="9" t="s">
        <v>34</v>
      </c>
      <c r="W269" s="9">
        <v>6</v>
      </c>
      <c r="X269" s="121" t="s">
        <v>100</v>
      </c>
      <c r="Y269" s="140">
        <v>44937</v>
      </c>
      <c r="Z269" s="21">
        <v>32.83</v>
      </c>
      <c r="AA269" s="23">
        <v>1</v>
      </c>
      <c r="AB269" s="9" t="s">
        <v>157</v>
      </c>
      <c r="AC269" s="9" t="s">
        <v>186</v>
      </c>
      <c r="AD269" s="9" t="s">
        <v>43</v>
      </c>
      <c r="AE269" s="9" t="s">
        <v>213</v>
      </c>
      <c r="AF269" s="9">
        <v>29</v>
      </c>
      <c r="AG269" s="138" t="s">
        <v>645</v>
      </c>
      <c r="AH269" s="9" t="s">
        <v>1760</v>
      </c>
      <c r="AI269" s="9" t="s">
        <v>1789</v>
      </c>
    </row>
    <row r="270" spans="1:35">
      <c r="A270" s="138" t="s">
        <v>647</v>
      </c>
      <c r="B270" s="139">
        <v>44740</v>
      </c>
      <c r="C270" s="138" t="s">
        <v>487</v>
      </c>
      <c r="D270" s="138"/>
      <c r="E270" s="9">
        <v>22</v>
      </c>
      <c r="F270" s="138"/>
      <c r="G270" s="9" t="s">
        <v>12</v>
      </c>
      <c r="H270" s="9" t="s">
        <v>230</v>
      </c>
      <c r="J270" s="9" t="s">
        <v>254</v>
      </c>
      <c r="L270" s="9" t="s">
        <v>493</v>
      </c>
      <c r="M270" s="9" t="s">
        <v>493</v>
      </c>
      <c r="N270" s="9" t="s">
        <v>493</v>
      </c>
      <c r="O270" s="9" t="s">
        <v>493</v>
      </c>
      <c r="P270" s="21">
        <v>14.2692</v>
      </c>
      <c r="Q270" s="116">
        <v>44740</v>
      </c>
      <c r="R270" s="140">
        <v>44894</v>
      </c>
      <c r="S270" s="141">
        <v>154</v>
      </c>
      <c r="T270" s="21"/>
      <c r="U270" s="108">
        <v>0.11700000000000001</v>
      </c>
      <c r="V270" s="9" t="s">
        <v>34</v>
      </c>
      <c r="W270" s="9">
        <v>5</v>
      </c>
      <c r="X270" s="121" t="s">
        <v>91</v>
      </c>
      <c r="Y270" s="140">
        <v>44902</v>
      </c>
      <c r="Z270" s="21">
        <v>1.7</v>
      </c>
      <c r="AA270" s="23">
        <v>4</v>
      </c>
      <c r="AB270" s="32" t="s">
        <v>204</v>
      </c>
      <c r="AC270" s="32" t="s">
        <v>205</v>
      </c>
      <c r="AD270" s="9" t="s">
        <v>175</v>
      </c>
      <c r="AE270" s="9" t="s">
        <v>223</v>
      </c>
      <c r="AF270" s="9">
        <v>363</v>
      </c>
      <c r="AG270" s="138" t="s">
        <v>647</v>
      </c>
      <c r="AH270" s="9" t="s">
        <v>1760</v>
      </c>
      <c r="AI270" s="9" t="s">
        <v>1789</v>
      </c>
    </row>
    <row r="271" spans="1:35">
      <c r="A271" s="138" t="s">
        <v>648</v>
      </c>
      <c r="B271" s="139">
        <v>44740</v>
      </c>
      <c r="C271" s="138" t="s">
        <v>487</v>
      </c>
      <c r="D271" s="138"/>
      <c r="E271" s="9">
        <v>23</v>
      </c>
      <c r="F271" s="138"/>
      <c r="G271" s="9" t="s">
        <v>15</v>
      </c>
      <c r="H271" s="9" t="s">
        <v>230</v>
      </c>
      <c r="J271" s="9" t="s">
        <v>253</v>
      </c>
      <c r="L271" s="9" t="s">
        <v>493</v>
      </c>
      <c r="M271" s="9" t="s">
        <v>493</v>
      </c>
      <c r="N271" s="9" t="s">
        <v>493</v>
      </c>
      <c r="O271" s="9" t="s">
        <v>493</v>
      </c>
      <c r="P271" s="21">
        <v>11.166499999999999</v>
      </c>
      <c r="Q271" s="116">
        <v>44740</v>
      </c>
      <c r="R271" s="140">
        <v>44894</v>
      </c>
      <c r="S271" s="141">
        <v>154</v>
      </c>
      <c r="T271" s="21">
        <v>0.19800000000000001</v>
      </c>
      <c r="U271" s="108">
        <v>0.94699999999999995</v>
      </c>
      <c r="V271" s="9" t="s">
        <v>32</v>
      </c>
      <c r="W271" s="9">
        <v>2</v>
      </c>
      <c r="X271" s="121" t="s">
        <v>142</v>
      </c>
      <c r="Y271" s="140">
        <v>44908</v>
      </c>
      <c r="Z271" s="21">
        <v>6.26</v>
      </c>
      <c r="AA271" s="23">
        <v>4</v>
      </c>
      <c r="AB271" s="32" t="s">
        <v>42</v>
      </c>
      <c r="AC271" s="32" t="s">
        <v>193</v>
      </c>
      <c r="AD271" s="9" t="s">
        <v>176</v>
      </c>
      <c r="AE271" s="9" t="s">
        <v>224</v>
      </c>
      <c r="AF271" s="9">
        <v>292</v>
      </c>
      <c r="AG271" s="138" t="s">
        <v>648</v>
      </c>
      <c r="AH271" s="9" t="s">
        <v>1760</v>
      </c>
      <c r="AI271" s="9" t="s">
        <v>1789</v>
      </c>
    </row>
    <row r="272" spans="1:35">
      <c r="A272" s="138" t="s">
        <v>649</v>
      </c>
      <c r="B272" s="139">
        <v>44740</v>
      </c>
      <c r="C272" s="138" t="s">
        <v>487</v>
      </c>
      <c r="D272" s="138"/>
      <c r="E272" s="9">
        <v>24</v>
      </c>
      <c r="F272" s="138"/>
      <c r="G272" s="9" t="s">
        <v>16</v>
      </c>
      <c r="H272" s="9" t="s">
        <v>3</v>
      </c>
      <c r="J272" s="9" t="s">
        <v>254</v>
      </c>
      <c r="L272" s="9" t="s">
        <v>493</v>
      </c>
      <c r="M272" s="9" t="s">
        <v>493</v>
      </c>
      <c r="N272" s="9" t="s">
        <v>493</v>
      </c>
      <c r="O272" s="9" t="s">
        <v>493</v>
      </c>
      <c r="P272" s="21">
        <v>10.835000000000001</v>
      </c>
      <c r="Q272" s="116">
        <v>44740</v>
      </c>
      <c r="R272" s="140">
        <v>44894</v>
      </c>
      <c r="S272" s="141">
        <v>154</v>
      </c>
      <c r="T272" s="21">
        <v>0.24099999999999999</v>
      </c>
      <c r="V272" s="9" t="s">
        <v>32</v>
      </c>
      <c r="W272" s="9">
        <v>2</v>
      </c>
      <c r="X272" s="121" t="s">
        <v>121</v>
      </c>
      <c r="Y272" s="140">
        <v>44908</v>
      </c>
      <c r="Z272" s="21">
        <v>6.2</v>
      </c>
      <c r="AA272" s="23">
        <v>2</v>
      </c>
      <c r="AB272" s="32" t="s">
        <v>160</v>
      </c>
      <c r="AC272" s="32" t="s">
        <v>189</v>
      </c>
      <c r="AD272" s="9" t="s">
        <v>179</v>
      </c>
      <c r="AE272" s="9" t="s">
        <v>227</v>
      </c>
      <c r="AF272" s="9">
        <v>260</v>
      </c>
      <c r="AG272" s="138" t="s">
        <v>649</v>
      </c>
      <c r="AH272" s="9" t="s">
        <v>1760</v>
      </c>
      <c r="AI272" s="9" t="s">
        <v>1790</v>
      </c>
    </row>
    <row r="273" spans="1:35">
      <c r="A273" s="138" t="s">
        <v>651</v>
      </c>
      <c r="B273" s="139">
        <v>44746</v>
      </c>
      <c r="C273" s="138" t="s">
        <v>487</v>
      </c>
      <c r="D273" s="138"/>
      <c r="E273" s="9">
        <v>2</v>
      </c>
      <c r="F273" s="138"/>
      <c r="G273" s="9" t="s">
        <v>11</v>
      </c>
      <c r="H273" s="9" t="s">
        <v>3</v>
      </c>
      <c r="J273" s="9" t="s">
        <v>40</v>
      </c>
      <c r="L273" s="9" t="s">
        <v>493</v>
      </c>
      <c r="M273" s="9" t="s">
        <v>493</v>
      </c>
      <c r="N273" s="9" t="s">
        <v>493</v>
      </c>
      <c r="O273" s="9" t="s">
        <v>493</v>
      </c>
      <c r="P273" s="21">
        <v>13.9336</v>
      </c>
      <c r="Q273" s="116">
        <v>44746</v>
      </c>
      <c r="R273" s="140">
        <v>44861</v>
      </c>
      <c r="S273" s="141">
        <v>115</v>
      </c>
      <c r="T273" s="21">
        <v>9.34</v>
      </c>
      <c r="V273" s="9" t="s">
        <v>32</v>
      </c>
      <c r="W273" s="9">
        <v>1</v>
      </c>
      <c r="X273" s="121" t="s">
        <v>79</v>
      </c>
      <c r="Y273" s="140">
        <v>44907</v>
      </c>
      <c r="Z273" s="21">
        <v>1.2321165351599757</v>
      </c>
      <c r="AA273" s="23">
        <v>3</v>
      </c>
      <c r="AB273" s="32" t="s">
        <v>42</v>
      </c>
      <c r="AC273" s="32" t="s">
        <v>193</v>
      </c>
      <c r="AD273" s="9" t="s">
        <v>164</v>
      </c>
      <c r="AE273" s="9" t="s">
        <v>210</v>
      </c>
      <c r="AF273" s="9">
        <v>98</v>
      </c>
      <c r="AG273" s="138" t="s">
        <v>651</v>
      </c>
      <c r="AH273" s="9" t="s">
        <v>1760</v>
      </c>
      <c r="AI273" s="9" t="s">
        <v>1790</v>
      </c>
    </row>
    <row r="274" spans="1:35">
      <c r="A274" s="138" t="s">
        <v>652</v>
      </c>
      <c r="B274" s="139">
        <v>44746</v>
      </c>
      <c r="C274" s="138" t="s">
        <v>487</v>
      </c>
      <c r="D274" s="138"/>
      <c r="E274" s="9">
        <v>3</v>
      </c>
      <c r="F274" s="138"/>
      <c r="G274" s="9" t="s">
        <v>12</v>
      </c>
      <c r="H274" s="9" t="s">
        <v>230</v>
      </c>
      <c r="J274" s="9" t="s">
        <v>254</v>
      </c>
      <c r="L274" s="9" t="s">
        <v>493</v>
      </c>
      <c r="M274" s="9" t="s">
        <v>493</v>
      </c>
      <c r="N274" s="9" t="s">
        <v>493</v>
      </c>
      <c r="O274" s="9" t="s">
        <v>493</v>
      </c>
      <c r="P274" s="21">
        <v>12.9116</v>
      </c>
      <c r="Q274" s="116">
        <v>44746</v>
      </c>
      <c r="R274" s="140">
        <v>44860</v>
      </c>
      <c r="S274" s="141">
        <v>114</v>
      </c>
      <c r="T274" s="21">
        <v>16.7</v>
      </c>
      <c r="V274" s="9" t="s">
        <v>32</v>
      </c>
      <c r="W274" s="9">
        <v>1</v>
      </c>
      <c r="X274" s="121" t="s">
        <v>84</v>
      </c>
      <c r="Y274" s="140">
        <v>44907</v>
      </c>
      <c r="Z274" s="21">
        <v>1.8893609641897164</v>
      </c>
      <c r="AA274" s="23">
        <v>3</v>
      </c>
      <c r="AB274" s="32" t="s">
        <v>204</v>
      </c>
      <c r="AC274" s="32" t="s">
        <v>205</v>
      </c>
      <c r="AD274" s="9" t="s">
        <v>164</v>
      </c>
      <c r="AE274" s="9" t="s">
        <v>210</v>
      </c>
      <c r="AF274" s="9">
        <v>170</v>
      </c>
      <c r="AG274" s="138" t="s">
        <v>652</v>
      </c>
      <c r="AH274" s="9" t="s">
        <v>1760</v>
      </c>
      <c r="AI274" s="9" t="s">
        <v>1790</v>
      </c>
    </row>
    <row r="275" spans="1:35">
      <c r="A275" s="138" t="s">
        <v>655</v>
      </c>
      <c r="B275" s="139">
        <v>44746</v>
      </c>
      <c r="C275" s="138" t="s">
        <v>487</v>
      </c>
      <c r="D275" s="138"/>
      <c r="E275" s="9">
        <v>6</v>
      </c>
      <c r="F275" s="138"/>
      <c r="G275" s="9" t="s">
        <v>16</v>
      </c>
      <c r="H275" s="9" t="s">
        <v>3</v>
      </c>
      <c r="J275" s="9" t="s">
        <v>254</v>
      </c>
      <c r="L275" s="9" t="s">
        <v>493</v>
      </c>
      <c r="M275" s="9" t="s">
        <v>493</v>
      </c>
      <c r="N275" s="9" t="s">
        <v>493</v>
      </c>
      <c r="O275" s="9" t="s">
        <v>493</v>
      </c>
      <c r="P275" s="21">
        <v>13.0137</v>
      </c>
      <c r="Q275" s="116">
        <v>44746</v>
      </c>
      <c r="R275" s="140">
        <v>44865</v>
      </c>
      <c r="S275" s="141">
        <v>119</v>
      </c>
      <c r="T275" s="21">
        <v>8.4</v>
      </c>
      <c r="V275" s="9" t="s">
        <v>32</v>
      </c>
      <c r="W275" s="9">
        <v>1</v>
      </c>
      <c r="X275" s="121" t="s">
        <v>100</v>
      </c>
      <c r="Y275" s="140">
        <v>44907</v>
      </c>
      <c r="Z275" s="21">
        <v>4.1732420012139082</v>
      </c>
      <c r="AA275" s="23">
        <v>3</v>
      </c>
      <c r="AB275" s="32" t="s">
        <v>196</v>
      </c>
      <c r="AC275" s="32" t="s">
        <v>197</v>
      </c>
      <c r="AD275" s="9" t="s">
        <v>43</v>
      </c>
      <c r="AE275" s="9" t="s">
        <v>213</v>
      </c>
      <c r="AF275" s="9">
        <v>125</v>
      </c>
      <c r="AG275" s="138" t="s">
        <v>655</v>
      </c>
      <c r="AH275" s="9" t="s">
        <v>1760</v>
      </c>
      <c r="AI275" s="9" t="s">
        <v>1790</v>
      </c>
    </row>
    <row r="276" spans="1:35">
      <c r="A276" s="138" t="s">
        <v>656</v>
      </c>
      <c r="B276" s="139">
        <v>44746</v>
      </c>
      <c r="C276" s="138" t="s">
        <v>487</v>
      </c>
      <c r="D276" s="138"/>
      <c r="E276" s="9">
        <v>7</v>
      </c>
      <c r="F276" s="138"/>
      <c r="G276" s="9" t="s">
        <v>14</v>
      </c>
      <c r="H276" s="9" t="s">
        <v>230</v>
      </c>
      <c r="J276" s="9" t="s">
        <v>40</v>
      </c>
      <c r="L276" s="9" t="s">
        <v>493</v>
      </c>
      <c r="M276" s="9" t="s">
        <v>493</v>
      </c>
      <c r="N276" s="9" t="s">
        <v>493</v>
      </c>
      <c r="O276" s="9" t="s">
        <v>493</v>
      </c>
      <c r="P276" s="21">
        <v>12.9778</v>
      </c>
      <c r="Q276" s="116">
        <v>44746</v>
      </c>
      <c r="R276" s="140">
        <v>44861</v>
      </c>
      <c r="S276" s="141">
        <v>115</v>
      </c>
      <c r="T276" s="21">
        <v>19.600000000000001</v>
      </c>
      <c r="V276" s="9" t="s">
        <v>32</v>
      </c>
      <c r="W276" s="9">
        <v>1</v>
      </c>
      <c r="X276" s="121" t="s">
        <v>95</v>
      </c>
      <c r="Y276" s="140">
        <v>44907</v>
      </c>
      <c r="Z276" s="21">
        <v>2.8812971473163964</v>
      </c>
      <c r="AA276" s="23">
        <v>3</v>
      </c>
      <c r="AB276" s="32" t="s">
        <v>42</v>
      </c>
      <c r="AC276" s="32" t="s">
        <v>193</v>
      </c>
      <c r="AD276" s="9" t="s">
        <v>168</v>
      </c>
      <c r="AE276" s="9" t="s">
        <v>216</v>
      </c>
      <c r="AF276" s="9">
        <v>102</v>
      </c>
      <c r="AG276" s="138" t="s">
        <v>656</v>
      </c>
      <c r="AH276" s="9" t="s">
        <v>1760</v>
      </c>
      <c r="AI276" s="9" t="s">
        <v>1790</v>
      </c>
    </row>
    <row r="277" spans="1:35">
      <c r="A277" s="138" t="s">
        <v>658</v>
      </c>
      <c r="B277" s="139">
        <v>44746</v>
      </c>
      <c r="C277" s="138" t="s">
        <v>487</v>
      </c>
      <c r="D277" s="138"/>
      <c r="E277" s="9">
        <v>9</v>
      </c>
      <c r="F277" s="138"/>
      <c r="G277" s="9" t="s">
        <v>12</v>
      </c>
      <c r="H277" s="9" t="s">
        <v>230</v>
      </c>
      <c r="J277" s="9" t="s">
        <v>254</v>
      </c>
      <c r="L277" s="9" t="s">
        <v>493</v>
      </c>
      <c r="M277" s="9" t="s">
        <v>493</v>
      </c>
      <c r="N277" s="9" t="s">
        <v>493</v>
      </c>
      <c r="O277" s="9" t="s">
        <v>493</v>
      </c>
      <c r="P277" s="21">
        <v>12.4062</v>
      </c>
      <c r="Q277" s="116">
        <v>44746</v>
      </c>
      <c r="R277" s="140">
        <v>44886</v>
      </c>
      <c r="S277" s="141">
        <v>140</v>
      </c>
      <c r="T277" s="21">
        <v>7.49</v>
      </c>
      <c r="V277" s="9" t="s">
        <v>32</v>
      </c>
      <c r="W277" s="9">
        <v>1</v>
      </c>
      <c r="X277" s="121" t="s">
        <v>117</v>
      </c>
      <c r="Y277" s="140">
        <v>44907</v>
      </c>
      <c r="Z277" s="21">
        <v>4.552154686551634</v>
      </c>
      <c r="AA277" s="23">
        <v>3</v>
      </c>
      <c r="AB277" s="32" t="s">
        <v>204</v>
      </c>
      <c r="AC277" s="32" t="s">
        <v>205</v>
      </c>
      <c r="AD277" s="9" t="s">
        <v>169</v>
      </c>
      <c r="AE277" s="9" t="s">
        <v>217</v>
      </c>
      <c r="AF277" s="9">
        <v>175</v>
      </c>
      <c r="AG277" s="138" t="s">
        <v>658</v>
      </c>
      <c r="AH277" s="9" t="s">
        <v>1760</v>
      </c>
      <c r="AI277" s="9" t="s">
        <v>1790</v>
      </c>
    </row>
    <row r="278" spans="1:35">
      <c r="A278" s="138" t="s">
        <v>659</v>
      </c>
      <c r="B278" s="139">
        <v>44746</v>
      </c>
      <c r="C278" s="138" t="s">
        <v>487</v>
      </c>
      <c r="D278" s="138"/>
      <c r="E278" s="9">
        <v>10</v>
      </c>
      <c r="F278" s="138"/>
      <c r="G278" s="9" t="s">
        <v>11</v>
      </c>
      <c r="H278" s="9" t="s">
        <v>3</v>
      </c>
      <c r="J278" s="9" t="s">
        <v>40</v>
      </c>
      <c r="L278" s="9" t="s">
        <v>493</v>
      </c>
      <c r="M278" s="9" t="s">
        <v>493</v>
      </c>
      <c r="N278" s="9" t="s">
        <v>493</v>
      </c>
      <c r="O278" s="9" t="s">
        <v>493</v>
      </c>
      <c r="P278" s="21">
        <v>11.5768</v>
      </c>
      <c r="Q278" s="116">
        <v>44746</v>
      </c>
      <c r="R278" s="140">
        <v>44861</v>
      </c>
      <c r="S278" s="141">
        <v>115</v>
      </c>
      <c r="T278" s="21">
        <v>5.47</v>
      </c>
      <c r="V278" s="9" t="s">
        <v>32</v>
      </c>
      <c r="W278" s="9">
        <v>1</v>
      </c>
      <c r="X278" s="121" t="s">
        <v>120</v>
      </c>
      <c r="Y278" s="140">
        <v>44907</v>
      </c>
      <c r="Z278" s="21">
        <v>2.9931500910430939</v>
      </c>
      <c r="AA278" s="23">
        <v>3</v>
      </c>
      <c r="AB278" s="32" t="s">
        <v>200</v>
      </c>
      <c r="AC278" s="32" t="s">
        <v>201</v>
      </c>
      <c r="AD278" s="9" t="s">
        <v>172</v>
      </c>
      <c r="AE278" s="9" t="s">
        <v>220</v>
      </c>
      <c r="AF278" s="9">
        <v>152</v>
      </c>
      <c r="AG278" s="138" t="s">
        <v>659</v>
      </c>
      <c r="AH278" s="9" t="s">
        <v>1760</v>
      </c>
      <c r="AI278" s="9" t="s">
        <v>1790</v>
      </c>
    </row>
    <row r="279" spans="1:35">
      <c r="A279" s="138" t="s">
        <v>660</v>
      </c>
      <c r="B279" s="139">
        <v>44746</v>
      </c>
      <c r="C279" s="138" t="s">
        <v>487</v>
      </c>
      <c r="D279" s="138"/>
      <c r="E279" s="9">
        <v>11</v>
      </c>
      <c r="F279" s="138"/>
      <c r="G279" s="9" t="s">
        <v>9</v>
      </c>
      <c r="H279" s="9" t="s">
        <v>3</v>
      </c>
      <c r="J279" s="9" t="s">
        <v>253</v>
      </c>
      <c r="L279" s="9" t="s">
        <v>493</v>
      </c>
      <c r="M279" s="9" t="s">
        <v>493</v>
      </c>
      <c r="N279" s="9" t="s">
        <v>493</v>
      </c>
      <c r="O279" s="9" t="s">
        <v>493</v>
      </c>
      <c r="P279" s="21">
        <v>12.589700000000001</v>
      </c>
      <c r="Q279" s="116">
        <v>44746</v>
      </c>
      <c r="R279" s="140">
        <v>44886</v>
      </c>
      <c r="S279" s="141">
        <v>140</v>
      </c>
      <c r="T279" s="21">
        <v>3</v>
      </c>
      <c r="V279" s="9" t="s">
        <v>32</v>
      </c>
      <c r="W279" s="9">
        <v>1</v>
      </c>
      <c r="X279" s="121" t="s">
        <v>124</v>
      </c>
      <c r="Y279" s="140">
        <v>44907</v>
      </c>
      <c r="Z279" s="21">
        <v>2.4500000000000002</v>
      </c>
      <c r="AA279" s="23">
        <v>3</v>
      </c>
      <c r="AB279" s="32" t="s">
        <v>200</v>
      </c>
      <c r="AC279" s="32" t="s">
        <v>201</v>
      </c>
      <c r="AD279" s="9" t="s">
        <v>170</v>
      </c>
      <c r="AE279" s="9" t="s">
        <v>218</v>
      </c>
      <c r="AF279" s="9">
        <v>153</v>
      </c>
      <c r="AG279" s="138" t="s">
        <v>660</v>
      </c>
      <c r="AH279" s="9" t="s">
        <v>1760</v>
      </c>
      <c r="AI279" s="9" t="s">
        <v>1790</v>
      </c>
    </row>
    <row r="280" spans="1:35">
      <c r="A280" s="138" t="s">
        <v>662</v>
      </c>
      <c r="B280" s="139">
        <v>44746</v>
      </c>
      <c r="C280" s="138" t="s">
        <v>487</v>
      </c>
      <c r="D280" s="138"/>
      <c r="E280" s="9">
        <v>13</v>
      </c>
      <c r="F280" s="138"/>
      <c r="G280" s="9" t="s">
        <v>11</v>
      </c>
      <c r="H280" s="9" t="s">
        <v>3</v>
      </c>
      <c r="J280" s="9" t="s">
        <v>40</v>
      </c>
      <c r="L280" s="9" t="s">
        <v>493</v>
      </c>
      <c r="M280" s="9" t="s">
        <v>493</v>
      </c>
      <c r="N280" s="9" t="s">
        <v>493</v>
      </c>
      <c r="O280" s="9" t="s">
        <v>493</v>
      </c>
      <c r="P280" s="21">
        <v>12.9434</v>
      </c>
      <c r="Q280" s="116">
        <v>44746</v>
      </c>
      <c r="R280" s="140">
        <v>44890</v>
      </c>
      <c r="S280" s="141">
        <v>144</v>
      </c>
      <c r="T280" s="21">
        <v>0.82499999999999996</v>
      </c>
      <c r="V280" s="9" t="s">
        <v>32</v>
      </c>
      <c r="W280" s="9">
        <v>1</v>
      </c>
      <c r="X280" s="121" t="s">
        <v>71</v>
      </c>
      <c r="Y280" s="140">
        <v>44907</v>
      </c>
      <c r="Z280" s="21">
        <v>2.3012225786872453</v>
      </c>
      <c r="AA280" s="23">
        <v>3</v>
      </c>
      <c r="AB280" s="32" t="s">
        <v>196</v>
      </c>
      <c r="AC280" s="32" t="s">
        <v>197</v>
      </c>
      <c r="AD280" s="9" t="s">
        <v>69</v>
      </c>
      <c r="AE280" s="9" t="s">
        <v>214</v>
      </c>
      <c r="AF280" s="9">
        <v>131</v>
      </c>
      <c r="AG280" s="138" t="s">
        <v>662</v>
      </c>
      <c r="AH280" s="9" t="s">
        <v>1760</v>
      </c>
      <c r="AI280" s="9" t="s">
        <v>1790</v>
      </c>
    </row>
    <row r="281" spans="1:35">
      <c r="A281" s="138" t="s">
        <v>663</v>
      </c>
      <c r="B281" s="139">
        <v>44746</v>
      </c>
      <c r="C281" s="138" t="s">
        <v>487</v>
      </c>
      <c r="D281" s="138"/>
      <c r="E281" s="9">
        <v>14</v>
      </c>
      <c r="F281" s="138"/>
      <c r="G281" s="9" t="s">
        <v>16</v>
      </c>
      <c r="H281" s="9" t="s">
        <v>3</v>
      </c>
      <c r="J281" s="9" t="s">
        <v>254</v>
      </c>
      <c r="L281" s="9" t="s">
        <v>493</v>
      </c>
      <c r="M281" s="9" t="s">
        <v>493</v>
      </c>
      <c r="N281" s="9" t="s">
        <v>493</v>
      </c>
      <c r="O281" s="9" t="s">
        <v>493</v>
      </c>
      <c r="P281" s="21">
        <v>13.630599999999999</v>
      </c>
      <c r="Q281" s="116">
        <v>44746</v>
      </c>
      <c r="R281" s="140">
        <v>44890</v>
      </c>
      <c r="S281" s="141">
        <v>144</v>
      </c>
      <c r="T281" s="21">
        <v>5.21</v>
      </c>
      <c r="V281" s="9" t="s">
        <v>32</v>
      </c>
      <c r="W281" s="9">
        <v>1</v>
      </c>
      <c r="X281" s="121" t="s">
        <v>136</v>
      </c>
      <c r="Y281" s="140">
        <v>44907</v>
      </c>
      <c r="Z281" s="21">
        <v>4.18</v>
      </c>
      <c r="AA281" s="23">
        <v>3</v>
      </c>
      <c r="AB281" s="32" t="s">
        <v>196</v>
      </c>
      <c r="AC281" s="32" t="s">
        <v>197</v>
      </c>
      <c r="AD281" s="9" t="s">
        <v>167</v>
      </c>
      <c r="AE281" s="9" t="s">
        <v>215</v>
      </c>
      <c r="AF281" s="9">
        <v>132</v>
      </c>
      <c r="AG281" s="138" t="s">
        <v>663</v>
      </c>
      <c r="AH281" s="9" t="s">
        <v>1760</v>
      </c>
      <c r="AI281" s="9" t="s">
        <v>1790</v>
      </c>
    </row>
    <row r="282" spans="1:35">
      <c r="A282" s="138" t="s">
        <v>664</v>
      </c>
      <c r="B282" s="139">
        <v>44746</v>
      </c>
      <c r="C282" s="138" t="s">
        <v>487</v>
      </c>
      <c r="D282" s="138"/>
      <c r="E282" s="9">
        <v>15</v>
      </c>
      <c r="F282" s="138"/>
      <c r="G282" s="9" t="s">
        <v>9</v>
      </c>
      <c r="H282" s="9" t="s">
        <v>3</v>
      </c>
      <c r="J282" s="9" t="s">
        <v>253</v>
      </c>
      <c r="L282" s="9" t="s">
        <v>493</v>
      </c>
      <c r="M282" s="9" t="s">
        <v>493</v>
      </c>
      <c r="N282" s="9" t="s">
        <v>493</v>
      </c>
      <c r="O282" s="9" t="s">
        <v>493</v>
      </c>
      <c r="P282" s="21">
        <v>12.42</v>
      </c>
      <c r="Q282" s="116">
        <v>44746</v>
      </c>
      <c r="R282" s="140">
        <v>44890</v>
      </c>
      <c r="S282" s="141">
        <v>144</v>
      </c>
      <c r="T282" s="21">
        <v>1.72</v>
      </c>
      <c r="V282" s="9" t="s">
        <v>32</v>
      </c>
      <c r="W282" s="9">
        <v>2</v>
      </c>
      <c r="X282" s="121" t="s">
        <v>48</v>
      </c>
      <c r="Y282" s="140">
        <v>44908</v>
      </c>
      <c r="Z282" s="21">
        <v>6.84</v>
      </c>
      <c r="AA282" s="23">
        <v>2</v>
      </c>
      <c r="AB282" s="32" t="s">
        <v>158</v>
      </c>
      <c r="AC282" s="32" t="s">
        <v>187</v>
      </c>
      <c r="AD282" s="9" t="s">
        <v>173</v>
      </c>
      <c r="AE282" s="9" t="s">
        <v>221</v>
      </c>
      <c r="AF282" s="9">
        <v>229</v>
      </c>
      <c r="AG282" s="138" t="s">
        <v>664</v>
      </c>
      <c r="AH282" s="9" t="s">
        <v>1760</v>
      </c>
      <c r="AI282" s="9" t="s">
        <v>1790</v>
      </c>
    </row>
    <row r="283" spans="1:35">
      <c r="A283" s="138" t="s">
        <v>666</v>
      </c>
      <c r="B283" s="139">
        <v>44746</v>
      </c>
      <c r="C283" s="138" t="s">
        <v>487</v>
      </c>
      <c r="D283" s="138"/>
      <c r="E283" s="9">
        <v>17</v>
      </c>
      <c r="F283" s="138"/>
      <c r="G283" s="9" t="s">
        <v>14</v>
      </c>
      <c r="H283" s="9" t="s">
        <v>230</v>
      </c>
      <c r="J283" s="9" t="s">
        <v>40</v>
      </c>
      <c r="L283" s="9" t="s">
        <v>493</v>
      </c>
      <c r="M283" s="9" t="s">
        <v>493</v>
      </c>
      <c r="N283" s="9" t="s">
        <v>493</v>
      </c>
      <c r="O283" s="9" t="s">
        <v>493</v>
      </c>
      <c r="P283" s="21">
        <v>11.5108</v>
      </c>
      <c r="Q283" s="116">
        <v>44746</v>
      </c>
      <c r="R283" s="140">
        <v>44893</v>
      </c>
      <c r="S283" s="141">
        <v>147</v>
      </c>
      <c r="T283" s="21">
        <v>3.2</v>
      </c>
      <c r="V283" s="9" t="s">
        <v>32</v>
      </c>
      <c r="W283" s="9">
        <v>2</v>
      </c>
      <c r="X283" s="121" t="s">
        <v>81</v>
      </c>
      <c r="Y283" s="140">
        <v>44908</v>
      </c>
      <c r="Z283" s="21">
        <v>16.227784906920739</v>
      </c>
      <c r="AA283" s="23">
        <v>2</v>
      </c>
      <c r="AB283" s="32" t="s">
        <v>155</v>
      </c>
      <c r="AC283" s="32" t="s">
        <v>184</v>
      </c>
      <c r="AD283" s="9" t="s">
        <v>175</v>
      </c>
      <c r="AE283" s="9" t="s">
        <v>223</v>
      </c>
      <c r="AF283" s="9">
        <v>195</v>
      </c>
      <c r="AG283" s="138" t="s">
        <v>666</v>
      </c>
      <c r="AH283" s="9" t="s">
        <v>1760</v>
      </c>
      <c r="AI283" s="9" t="s">
        <v>1790</v>
      </c>
    </row>
    <row r="284" spans="1:35">
      <c r="A284" s="138" t="s">
        <v>668</v>
      </c>
      <c r="B284" s="139">
        <v>44746</v>
      </c>
      <c r="C284" s="138" t="s">
        <v>487</v>
      </c>
      <c r="D284" s="138"/>
      <c r="E284" s="9">
        <v>19</v>
      </c>
      <c r="F284" s="138"/>
      <c r="G284" s="9" t="s">
        <v>9</v>
      </c>
      <c r="H284" s="9" t="s">
        <v>3</v>
      </c>
      <c r="J284" s="9" t="s">
        <v>253</v>
      </c>
      <c r="L284" s="9" t="s">
        <v>493</v>
      </c>
      <c r="M284" s="9" t="s">
        <v>493</v>
      </c>
      <c r="N284" s="9" t="s">
        <v>493</v>
      </c>
      <c r="O284" s="9" t="s">
        <v>493</v>
      </c>
      <c r="P284" s="21">
        <v>9.9705999999999992</v>
      </c>
      <c r="Q284" s="116">
        <v>44746</v>
      </c>
      <c r="R284" s="140">
        <v>44893</v>
      </c>
      <c r="S284" s="141">
        <v>147</v>
      </c>
      <c r="T284" s="21">
        <v>0.45600000000000002</v>
      </c>
      <c r="V284" s="9" t="s">
        <v>32</v>
      </c>
      <c r="W284" s="9">
        <v>2</v>
      </c>
      <c r="X284" s="121" t="s">
        <v>148</v>
      </c>
      <c r="Y284" s="140">
        <v>44908</v>
      </c>
      <c r="Z284" s="21">
        <v>8.0721430203737228</v>
      </c>
      <c r="AA284" s="23">
        <v>2</v>
      </c>
      <c r="AB284" s="32" t="s">
        <v>160</v>
      </c>
      <c r="AC284" s="32" t="s">
        <v>189</v>
      </c>
      <c r="AD284" s="9" t="s">
        <v>176</v>
      </c>
      <c r="AE284" s="9" t="s">
        <v>224</v>
      </c>
      <c r="AF284" s="9">
        <v>256</v>
      </c>
      <c r="AG284" s="138" t="s">
        <v>668</v>
      </c>
      <c r="AH284" s="9" t="s">
        <v>1760</v>
      </c>
      <c r="AI284" s="9" t="s">
        <v>1790</v>
      </c>
    </row>
    <row r="285" spans="1:35">
      <c r="A285" s="138" t="s">
        <v>671</v>
      </c>
      <c r="B285" s="139">
        <v>44746</v>
      </c>
      <c r="C285" s="138" t="s">
        <v>487</v>
      </c>
      <c r="D285" s="138"/>
      <c r="E285" s="9">
        <v>22</v>
      </c>
      <c r="F285" s="138"/>
      <c r="G285" s="9" t="s">
        <v>12</v>
      </c>
      <c r="H285" s="9" t="s">
        <v>230</v>
      </c>
      <c r="J285" s="9" t="s">
        <v>254</v>
      </c>
      <c r="L285" s="9" t="s">
        <v>493</v>
      </c>
      <c r="M285" s="9" t="s">
        <v>493</v>
      </c>
      <c r="N285" s="9" t="s">
        <v>493</v>
      </c>
      <c r="O285" s="9" t="s">
        <v>493</v>
      </c>
      <c r="P285" s="21">
        <v>9.9921000000000006</v>
      </c>
      <c r="Q285" s="116">
        <v>44746</v>
      </c>
      <c r="R285" s="140">
        <v>44894</v>
      </c>
      <c r="S285" s="141">
        <v>148</v>
      </c>
      <c r="T285" s="21">
        <v>4.82</v>
      </c>
      <c r="V285" s="9" t="s">
        <v>32</v>
      </c>
      <c r="W285" s="9">
        <v>2</v>
      </c>
      <c r="X285" s="121" t="s">
        <v>112</v>
      </c>
      <c r="Y285" s="140">
        <v>44908</v>
      </c>
      <c r="Z285" s="21">
        <v>9.64</v>
      </c>
      <c r="AA285" s="23">
        <v>2</v>
      </c>
      <c r="AB285" s="32" t="s">
        <v>156</v>
      </c>
      <c r="AC285" s="32" t="s">
        <v>185</v>
      </c>
      <c r="AD285" s="9" t="s">
        <v>178</v>
      </c>
      <c r="AE285" s="9" t="s">
        <v>226</v>
      </c>
      <c r="AF285" s="9">
        <v>211</v>
      </c>
      <c r="AG285" s="138" t="s">
        <v>671</v>
      </c>
      <c r="AH285" s="9" t="s">
        <v>1760</v>
      </c>
      <c r="AI285" s="9" t="s">
        <v>1790</v>
      </c>
    </row>
    <row r="286" spans="1:35">
      <c r="A286" s="138" t="s">
        <v>672</v>
      </c>
      <c r="B286" s="139">
        <v>44746</v>
      </c>
      <c r="C286" s="138" t="s">
        <v>487</v>
      </c>
      <c r="D286" s="138"/>
      <c r="E286" s="9">
        <v>23</v>
      </c>
      <c r="F286" s="138"/>
      <c r="G286" s="9" t="s">
        <v>15</v>
      </c>
      <c r="H286" s="9" t="s">
        <v>230</v>
      </c>
      <c r="J286" s="9" t="s">
        <v>253</v>
      </c>
      <c r="L286" s="9" t="s">
        <v>493</v>
      </c>
      <c r="M286" s="9" t="s">
        <v>493</v>
      </c>
      <c r="N286" s="9" t="s">
        <v>493</v>
      </c>
      <c r="O286" s="9" t="s">
        <v>493</v>
      </c>
      <c r="P286" s="21">
        <v>10.2925</v>
      </c>
      <c r="Q286" s="116">
        <v>44746</v>
      </c>
      <c r="R286" s="140">
        <v>44894</v>
      </c>
      <c r="S286" s="141">
        <v>148</v>
      </c>
      <c r="T286" s="21">
        <v>4.63</v>
      </c>
      <c r="V286" s="9" t="s">
        <v>32</v>
      </c>
      <c r="W286" s="9">
        <v>2</v>
      </c>
      <c r="X286" s="121" t="s">
        <v>108</v>
      </c>
      <c r="Y286" s="140">
        <v>44908</v>
      </c>
      <c r="Z286" s="21">
        <v>11.009545238806757</v>
      </c>
      <c r="AA286" s="23">
        <v>2</v>
      </c>
      <c r="AB286" s="32" t="s">
        <v>155</v>
      </c>
      <c r="AC286" s="32" t="s">
        <v>184</v>
      </c>
      <c r="AD286" s="9" t="s">
        <v>179</v>
      </c>
      <c r="AE286" s="9" t="s">
        <v>227</v>
      </c>
      <c r="AF286" s="9">
        <v>200</v>
      </c>
      <c r="AG286" s="138" t="s">
        <v>672</v>
      </c>
      <c r="AH286" s="9" t="s">
        <v>1760</v>
      </c>
      <c r="AI286" s="9" t="s">
        <v>1790</v>
      </c>
    </row>
    <row r="287" spans="1:35">
      <c r="A287" s="138" t="s">
        <v>733</v>
      </c>
      <c r="B287" s="139">
        <v>44749</v>
      </c>
      <c r="C287" s="138" t="s">
        <v>487</v>
      </c>
      <c r="D287" s="138"/>
      <c r="E287" s="9">
        <v>1</v>
      </c>
      <c r="F287" s="138"/>
      <c r="G287" s="9" t="s">
        <v>9</v>
      </c>
      <c r="H287" s="9" t="s">
        <v>3</v>
      </c>
      <c r="J287" s="9" t="s">
        <v>253</v>
      </c>
      <c r="L287" s="9" t="s">
        <v>493</v>
      </c>
      <c r="M287" s="9" t="s">
        <v>493</v>
      </c>
      <c r="N287" s="9" t="s">
        <v>493</v>
      </c>
      <c r="O287" s="9" t="s">
        <v>493</v>
      </c>
      <c r="P287" s="21">
        <v>8.6648999999999994</v>
      </c>
      <c r="Q287" s="116">
        <v>44749</v>
      </c>
      <c r="R287" s="140">
        <v>44860</v>
      </c>
      <c r="S287" s="141">
        <v>111</v>
      </c>
      <c r="T287" s="21">
        <v>4</v>
      </c>
      <c r="V287" s="9" t="s">
        <v>32</v>
      </c>
      <c r="W287" s="9">
        <v>1</v>
      </c>
      <c r="X287" s="121" t="s">
        <v>50</v>
      </c>
      <c r="Y287" s="140">
        <v>44907</v>
      </c>
      <c r="Z287" s="21">
        <v>1.8954305037717853</v>
      </c>
      <c r="AA287" s="23">
        <v>3</v>
      </c>
      <c r="AB287" s="32" t="s">
        <v>200</v>
      </c>
      <c r="AC287" s="32" t="s">
        <v>201</v>
      </c>
      <c r="AD287" s="9" t="s">
        <v>163</v>
      </c>
      <c r="AE287" s="9" t="s">
        <v>209</v>
      </c>
      <c r="AF287" s="9">
        <v>145</v>
      </c>
      <c r="AG287" s="138" t="s">
        <v>674</v>
      </c>
      <c r="AH287" s="9" t="s">
        <v>1760</v>
      </c>
      <c r="AI287" s="9" t="s">
        <v>1790</v>
      </c>
    </row>
    <row r="288" spans="1:35">
      <c r="A288" s="138" t="s">
        <v>734</v>
      </c>
      <c r="B288" s="139">
        <v>44749</v>
      </c>
      <c r="C288" s="138" t="s">
        <v>487</v>
      </c>
      <c r="D288" s="138"/>
      <c r="E288" s="9">
        <v>2</v>
      </c>
      <c r="F288" s="138"/>
      <c r="G288" s="9" t="s">
        <v>11</v>
      </c>
      <c r="H288" s="9" t="s">
        <v>3</v>
      </c>
      <c r="J288" s="9" t="s">
        <v>40</v>
      </c>
      <c r="L288" s="9" t="s">
        <v>493</v>
      </c>
      <c r="M288" s="9" t="s">
        <v>493</v>
      </c>
      <c r="N288" s="9" t="s">
        <v>493</v>
      </c>
      <c r="O288" s="9" t="s">
        <v>493</v>
      </c>
      <c r="P288" s="21">
        <v>11.2073</v>
      </c>
      <c r="Q288" s="116">
        <v>44749</v>
      </c>
      <c r="R288" s="140">
        <v>44861</v>
      </c>
      <c r="S288" s="141">
        <v>112</v>
      </c>
      <c r="T288" s="21">
        <v>11.6</v>
      </c>
      <c r="V288" s="9" t="s">
        <v>32</v>
      </c>
      <c r="W288" s="9">
        <v>1</v>
      </c>
      <c r="X288" s="121" t="s">
        <v>78</v>
      </c>
      <c r="Y288" s="140">
        <v>44907</v>
      </c>
      <c r="Z288" s="21">
        <v>1.361311020549727</v>
      </c>
      <c r="AA288" s="23">
        <v>3</v>
      </c>
      <c r="AB288" s="32" t="s">
        <v>194</v>
      </c>
      <c r="AC288" s="32" t="s">
        <v>195</v>
      </c>
      <c r="AD288" s="9" t="s">
        <v>164</v>
      </c>
      <c r="AE288" s="9" t="s">
        <v>210</v>
      </c>
      <c r="AF288" s="9">
        <v>110</v>
      </c>
      <c r="AG288" s="138" t="s">
        <v>675</v>
      </c>
      <c r="AH288" s="9" t="s">
        <v>1760</v>
      </c>
      <c r="AI288" s="9" t="s">
        <v>1790</v>
      </c>
    </row>
    <row r="289" spans="1:35">
      <c r="A289" s="138" t="s">
        <v>736</v>
      </c>
      <c r="B289" s="139">
        <v>44749</v>
      </c>
      <c r="C289" s="138" t="s">
        <v>487</v>
      </c>
      <c r="D289" s="138"/>
      <c r="E289" s="9">
        <v>4</v>
      </c>
      <c r="F289" s="138"/>
      <c r="G289" s="9" t="s">
        <v>14</v>
      </c>
      <c r="H289" s="9" t="s">
        <v>230</v>
      </c>
      <c r="J289" s="9" t="s">
        <v>40</v>
      </c>
      <c r="L289" s="9" t="s">
        <v>493</v>
      </c>
      <c r="M289" s="9" t="s">
        <v>493</v>
      </c>
      <c r="N289" s="9" t="s">
        <v>493</v>
      </c>
      <c r="O289" s="9" t="s">
        <v>493</v>
      </c>
      <c r="P289" s="21">
        <v>10.7399</v>
      </c>
      <c r="Q289" s="116">
        <v>44749</v>
      </c>
      <c r="R289" s="140">
        <v>44861</v>
      </c>
      <c r="S289" s="141">
        <v>112</v>
      </c>
      <c r="T289" s="21">
        <v>3.93</v>
      </c>
      <c r="V289" s="9" t="s">
        <v>32</v>
      </c>
      <c r="W289" s="9">
        <v>1</v>
      </c>
      <c r="X289" s="121" t="s">
        <v>90</v>
      </c>
      <c r="Y289" s="140">
        <v>44907</v>
      </c>
      <c r="Z289" s="21">
        <v>1.1540795976762335</v>
      </c>
      <c r="AA289" s="23">
        <v>3</v>
      </c>
      <c r="AB289" s="32" t="s">
        <v>202</v>
      </c>
      <c r="AC289" s="32" t="s">
        <v>203</v>
      </c>
      <c r="AD289" s="9" t="s">
        <v>165</v>
      </c>
      <c r="AE289" s="9" t="s">
        <v>211</v>
      </c>
      <c r="AF289" s="9">
        <v>159</v>
      </c>
      <c r="AG289" s="138" t="s">
        <v>677</v>
      </c>
      <c r="AH289" s="9" t="s">
        <v>1760</v>
      </c>
      <c r="AI289" s="9" t="s">
        <v>1790</v>
      </c>
    </row>
    <row r="290" spans="1:35">
      <c r="A290" s="138" t="s">
        <v>738</v>
      </c>
      <c r="B290" s="139">
        <v>44749</v>
      </c>
      <c r="C290" s="138" t="s">
        <v>487</v>
      </c>
      <c r="D290" s="138"/>
      <c r="E290" s="9">
        <v>6</v>
      </c>
      <c r="F290" s="138"/>
      <c r="G290" s="9" t="s">
        <v>16</v>
      </c>
      <c r="H290" s="9" t="s">
        <v>3</v>
      </c>
      <c r="J290" s="9" t="s">
        <v>254</v>
      </c>
      <c r="L290" s="9" t="s">
        <v>493</v>
      </c>
      <c r="M290" s="9" t="s">
        <v>493</v>
      </c>
      <c r="N290" s="9" t="s">
        <v>493</v>
      </c>
      <c r="O290" s="9" t="s">
        <v>493</v>
      </c>
      <c r="P290" s="21">
        <v>10.7729</v>
      </c>
      <c r="Q290" s="116">
        <v>44749</v>
      </c>
      <c r="R290" s="140">
        <v>44865</v>
      </c>
      <c r="S290" s="141">
        <v>116</v>
      </c>
      <c r="T290" s="21">
        <v>9.67</v>
      </c>
      <c r="V290" s="9" t="s">
        <v>32</v>
      </c>
      <c r="W290" s="9">
        <v>1</v>
      </c>
      <c r="X290" s="121" t="s">
        <v>141</v>
      </c>
      <c r="Y290" s="140">
        <v>44907</v>
      </c>
      <c r="Z290" s="21">
        <v>2.8674239139859532</v>
      </c>
      <c r="AA290" s="23">
        <v>3</v>
      </c>
      <c r="AB290" s="32" t="s">
        <v>198</v>
      </c>
      <c r="AC290" s="32" t="s">
        <v>199</v>
      </c>
      <c r="AD290" s="9" t="s">
        <v>43</v>
      </c>
      <c r="AE290" s="9" t="s">
        <v>213</v>
      </c>
      <c r="AF290" s="9">
        <v>137</v>
      </c>
      <c r="AG290" s="138" t="s">
        <v>679</v>
      </c>
      <c r="AH290" s="9" t="s">
        <v>1760</v>
      </c>
      <c r="AI290" s="9" t="s">
        <v>1790</v>
      </c>
    </row>
    <row r="291" spans="1:35">
      <c r="A291" s="138" t="s">
        <v>739</v>
      </c>
      <c r="B291" s="139">
        <v>44749</v>
      </c>
      <c r="C291" s="138" t="s">
        <v>487</v>
      </c>
      <c r="D291" s="138"/>
      <c r="E291" s="9">
        <v>7</v>
      </c>
      <c r="F291" s="138"/>
      <c r="G291" s="9" t="s">
        <v>14</v>
      </c>
      <c r="H291" s="9" t="s">
        <v>230</v>
      </c>
      <c r="J291" s="9" t="s">
        <v>40</v>
      </c>
      <c r="L291" s="9" t="s">
        <v>493</v>
      </c>
      <c r="M291" s="9" t="s">
        <v>493</v>
      </c>
      <c r="N291" s="9" t="s">
        <v>493</v>
      </c>
      <c r="O291" s="9" t="s">
        <v>493</v>
      </c>
      <c r="P291" s="21">
        <v>11.781599999999999</v>
      </c>
      <c r="Q291" s="116">
        <v>44749</v>
      </c>
      <c r="R291" s="140">
        <v>44861</v>
      </c>
      <c r="S291" s="141">
        <v>112</v>
      </c>
      <c r="T291" s="21">
        <v>13</v>
      </c>
      <c r="V291" s="9" t="s">
        <v>32</v>
      </c>
      <c r="W291" s="9">
        <v>1</v>
      </c>
      <c r="X291" s="121" t="s">
        <v>106</v>
      </c>
      <c r="Y291" s="140">
        <v>44907</v>
      </c>
      <c r="Z291" s="21">
        <v>2.6957426515217202</v>
      </c>
      <c r="AA291" s="23">
        <v>3</v>
      </c>
      <c r="AB291" s="32" t="s">
        <v>196</v>
      </c>
      <c r="AC291" s="32" t="s">
        <v>197</v>
      </c>
      <c r="AD291" s="9" t="s">
        <v>168</v>
      </c>
      <c r="AE291" s="9" t="s">
        <v>216</v>
      </c>
      <c r="AF291" s="9">
        <v>126</v>
      </c>
      <c r="AG291" s="138" t="s">
        <v>680</v>
      </c>
      <c r="AH291" s="9" t="s">
        <v>1760</v>
      </c>
      <c r="AI291" s="9" t="s">
        <v>1790</v>
      </c>
    </row>
    <row r="292" spans="1:35">
      <c r="A292" s="138" t="s">
        <v>740</v>
      </c>
      <c r="B292" s="139">
        <v>44749</v>
      </c>
      <c r="C292" s="138" t="s">
        <v>487</v>
      </c>
      <c r="D292" s="138"/>
      <c r="E292" s="9">
        <v>8</v>
      </c>
      <c r="F292" s="138"/>
      <c r="G292" s="9" t="s">
        <v>15</v>
      </c>
      <c r="H292" s="9" t="s">
        <v>230</v>
      </c>
      <c r="J292" s="9" t="s">
        <v>253</v>
      </c>
      <c r="L292" s="9" t="s">
        <v>493</v>
      </c>
      <c r="M292" s="9" t="s">
        <v>493</v>
      </c>
      <c r="N292" s="9" t="s">
        <v>493</v>
      </c>
      <c r="O292" s="9" t="s">
        <v>493</v>
      </c>
      <c r="P292" s="21">
        <v>10.1836</v>
      </c>
      <c r="Q292" s="116">
        <v>44749</v>
      </c>
      <c r="R292" s="140">
        <v>44865</v>
      </c>
      <c r="S292" s="141">
        <v>116</v>
      </c>
      <c r="T292" s="21">
        <v>7.28</v>
      </c>
      <c r="V292" s="9" t="s">
        <v>32</v>
      </c>
      <c r="W292" s="9">
        <v>1</v>
      </c>
      <c r="X292" s="121" t="s">
        <v>111</v>
      </c>
      <c r="Y292" s="140">
        <v>44907</v>
      </c>
      <c r="Z292" s="21">
        <v>2.8370762160756091</v>
      </c>
      <c r="AA292" s="23">
        <v>3</v>
      </c>
      <c r="AB292" s="32" t="s">
        <v>206</v>
      </c>
      <c r="AC292" s="32" t="s">
        <v>207</v>
      </c>
      <c r="AD292" s="9" t="s">
        <v>168</v>
      </c>
      <c r="AE292" s="9" t="s">
        <v>216</v>
      </c>
      <c r="AF292" s="9">
        <v>186</v>
      </c>
      <c r="AG292" s="138" t="s">
        <v>681</v>
      </c>
      <c r="AH292" s="9" t="s">
        <v>1760</v>
      </c>
      <c r="AI292" s="9" t="s">
        <v>1790</v>
      </c>
    </row>
    <row r="293" spans="1:35">
      <c r="A293" s="138" t="s">
        <v>741</v>
      </c>
      <c r="B293" s="139">
        <v>44749</v>
      </c>
      <c r="C293" s="138" t="s">
        <v>487</v>
      </c>
      <c r="D293" s="138"/>
      <c r="E293" s="9">
        <v>9</v>
      </c>
      <c r="F293" s="138"/>
      <c r="G293" s="9" t="s">
        <v>12</v>
      </c>
      <c r="H293" s="9" t="s">
        <v>230</v>
      </c>
      <c r="J293" s="9" t="s">
        <v>254</v>
      </c>
      <c r="L293" s="9" t="s">
        <v>493</v>
      </c>
      <c r="M293" s="9" t="s">
        <v>493</v>
      </c>
      <c r="N293" s="9" t="s">
        <v>493</v>
      </c>
      <c r="O293" s="9" t="s">
        <v>493</v>
      </c>
      <c r="P293" s="21">
        <v>12.233000000000001</v>
      </c>
      <c r="Q293" s="116">
        <v>44749</v>
      </c>
      <c r="R293" s="140">
        <v>44886</v>
      </c>
      <c r="S293" s="141">
        <v>137</v>
      </c>
      <c r="T293" s="21">
        <v>7.4</v>
      </c>
      <c r="V293" s="9" t="s">
        <v>32</v>
      </c>
      <c r="W293" s="9">
        <v>1</v>
      </c>
      <c r="X293" s="121" t="s">
        <v>142</v>
      </c>
      <c r="Y293" s="140">
        <v>44907</v>
      </c>
      <c r="Z293" s="21">
        <v>4.7715251885892656</v>
      </c>
      <c r="AA293" s="23">
        <v>3</v>
      </c>
      <c r="AB293" s="32" t="s">
        <v>206</v>
      </c>
      <c r="AC293" s="32" t="s">
        <v>207</v>
      </c>
      <c r="AD293" s="9" t="s">
        <v>169</v>
      </c>
      <c r="AE293" s="9" t="s">
        <v>217</v>
      </c>
      <c r="AF293" s="9">
        <v>187</v>
      </c>
      <c r="AG293" s="138" t="s">
        <v>682</v>
      </c>
      <c r="AH293" s="9" t="s">
        <v>1760</v>
      </c>
      <c r="AI293" s="9" t="s">
        <v>1790</v>
      </c>
    </row>
    <row r="294" spans="1:35">
      <c r="A294" s="138" t="s">
        <v>742</v>
      </c>
      <c r="B294" s="139">
        <v>44749</v>
      </c>
      <c r="C294" s="138" t="s">
        <v>487</v>
      </c>
      <c r="D294" s="138"/>
      <c r="E294" s="9">
        <v>10</v>
      </c>
      <c r="F294" s="138"/>
      <c r="G294" s="9" t="s">
        <v>11</v>
      </c>
      <c r="H294" s="9" t="s">
        <v>3</v>
      </c>
      <c r="J294" s="9" t="s">
        <v>40</v>
      </c>
      <c r="L294" s="9" t="s">
        <v>493</v>
      </c>
      <c r="M294" s="9" t="s">
        <v>493</v>
      </c>
      <c r="N294" s="9" t="s">
        <v>493</v>
      </c>
      <c r="O294" s="9" t="s">
        <v>493</v>
      </c>
      <c r="P294" s="21">
        <v>12.7402</v>
      </c>
      <c r="Q294" s="116">
        <v>44749</v>
      </c>
      <c r="R294" s="140">
        <v>44861</v>
      </c>
      <c r="S294" s="141">
        <v>112</v>
      </c>
      <c r="T294" s="21">
        <v>9.8000000000000007</v>
      </c>
      <c r="V294" s="9" t="s">
        <v>32</v>
      </c>
      <c r="W294" s="9">
        <v>1</v>
      </c>
      <c r="X294" s="121" t="s">
        <v>121</v>
      </c>
      <c r="Y294" s="140">
        <v>44907</v>
      </c>
      <c r="Z294" s="21">
        <v>3.1544264285094945</v>
      </c>
      <c r="AA294" s="23">
        <v>3</v>
      </c>
      <c r="AB294" s="32" t="s">
        <v>202</v>
      </c>
      <c r="AC294" s="32" t="s">
        <v>203</v>
      </c>
      <c r="AD294" s="9" t="s">
        <v>172</v>
      </c>
      <c r="AE294" s="9" t="s">
        <v>220</v>
      </c>
      <c r="AF294" s="9">
        <v>164</v>
      </c>
      <c r="AG294" s="138" t="s">
        <v>683</v>
      </c>
      <c r="AH294" s="9" t="s">
        <v>1760</v>
      </c>
      <c r="AI294" s="9" t="s">
        <v>1790</v>
      </c>
    </row>
    <row r="295" spans="1:35">
      <c r="A295" s="138" t="s">
        <v>743</v>
      </c>
      <c r="B295" s="139">
        <v>44749</v>
      </c>
      <c r="C295" s="138" t="s">
        <v>487</v>
      </c>
      <c r="D295" s="138"/>
      <c r="E295" s="9">
        <v>11</v>
      </c>
      <c r="F295" s="138"/>
      <c r="G295" s="9" t="s">
        <v>9</v>
      </c>
      <c r="H295" s="9" t="s">
        <v>3</v>
      </c>
      <c r="J295" s="9" t="s">
        <v>253</v>
      </c>
      <c r="L295" s="9" t="s">
        <v>493</v>
      </c>
      <c r="M295" s="9" t="s">
        <v>493</v>
      </c>
      <c r="N295" s="9" t="s">
        <v>493</v>
      </c>
      <c r="O295" s="9" t="s">
        <v>493</v>
      </c>
      <c r="P295" s="21">
        <v>9.8937000000000008</v>
      </c>
      <c r="Q295" s="116">
        <v>44749</v>
      </c>
      <c r="R295" s="140">
        <v>44886</v>
      </c>
      <c r="S295" s="141">
        <v>137</v>
      </c>
      <c r="T295" s="21">
        <v>14.2</v>
      </c>
      <c r="V295" s="9" t="s">
        <v>32</v>
      </c>
      <c r="W295" s="9">
        <v>1</v>
      </c>
      <c r="X295" s="121" t="s">
        <v>125</v>
      </c>
      <c r="Y295" s="140">
        <v>44907</v>
      </c>
      <c r="Z295" s="21">
        <v>3.08</v>
      </c>
      <c r="AA295" s="23">
        <v>3</v>
      </c>
      <c r="AB295" s="32" t="s">
        <v>202</v>
      </c>
      <c r="AC295" s="32" t="s">
        <v>203</v>
      </c>
      <c r="AD295" s="9" t="s">
        <v>170</v>
      </c>
      <c r="AE295" s="9" t="s">
        <v>218</v>
      </c>
      <c r="AF295" s="9">
        <v>165</v>
      </c>
      <c r="AG295" s="138" t="s">
        <v>684</v>
      </c>
      <c r="AH295" s="9" t="s">
        <v>1760</v>
      </c>
      <c r="AI295" s="9" t="s">
        <v>1790</v>
      </c>
    </row>
    <row r="296" spans="1:35">
      <c r="A296" s="138" t="s">
        <v>744</v>
      </c>
      <c r="B296" s="139">
        <v>44749</v>
      </c>
      <c r="C296" s="138" t="s">
        <v>487</v>
      </c>
      <c r="D296" s="138"/>
      <c r="E296" s="9">
        <v>12</v>
      </c>
      <c r="F296" s="138"/>
      <c r="G296" s="9" t="s">
        <v>16</v>
      </c>
      <c r="H296" s="9" t="s">
        <v>3</v>
      </c>
      <c r="J296" s="9" t="s">
        <v>254</v>
      </c>
      <c r="L296" s="9" t="s">
        <v>493</v>
      </c>
      <c r="M296" s="9" t="s">
        <v>493</v>
      </c>
      <c r="N296" s="9" t="s">
        <v>493</v>
      </c>
      <c r="O296" s="9" t="s">
        <v>493</v>
      </c>
      <c r="P296" s="21">
        <v>11.0032</v>
      </c>
      <c r="Q296" s="116">
        <v>44749</v>
      </c>
      <c r="R296" s="140">
        <v>44861</v>
      </c>
      <c r="S296" s="141">
        <v>112</v>
      </c>
      <c r="T296" s="21">
        <v>6.9</v>
      </c>
      <c r="V296" s="9" t="s">
        <v>32</v>
      </c>
      <c r="W296" s="9">
        <v>1</v>
      </c>
      <c r="X296" s="121" t="s">
        <v>132</v>
      </c>
      <c r="Y296" s="140">
        <v>44907</v>
      </c>
      <c r="Z296" s="21">
        <v>3.8454868637821904</v>
      </c>
      <c r="AA296" s="23">
        <v>3</v>
      </c>
      <c r="AB296" s="32" t="s">
        <v>202</v>
      </c>
      <c r="AC296" s="32" t="s">
        <v>203</v>
      </c>
      <c r="AD296" s="9" t="s">
        <v>171</v>
      </c>
      <c r="AE296" s="9" t="s">
        <v>219</v>
      </c>
      <c r="AF296" s="9">
        <v>166</v>
      </c>
      <c r="AG296" s="138" t="s">
        <v>685</v>
      </c>
      <c r="AH296" s="9" t="s">
        <v>1760</v>
      </c>
      <c r="AI296" s="9" t="s">
        <v>1790</v>
      </c>
    </row>
    <row r="297" spans="1:35">
      <c r="A297" s="138" t="s">
        <v>745</v>
      </c>
      <c r="B297" s="139">
        <v>44749</v>
      </c>
      <c r="C297" s="138" t="s">
        <v>487</v>
      </c>
      <c r="D297" s="138"/>
      <c r="E297" s="9">
        <v>13</v>
      </c>
      <c r="F297" s="138"/>
      <c r="G297" s="9" t="s">
        <v>11</v>
      </c>
      <c r="H297" s="9" t="s">
        <v>3</v>
      </c>
      <c r="J297" s="9" t="s">
        <v>40</v>
      </c>
      <c r="L297" s="9" t="s">
        <v>493</v>
      </c>
      <c r="M297" s="9" t="s">
        <v>493</v>
      </c>
      <c r="N297" s="9" t="s">
        <v>493</v>
      </c>
      <c r="O297" s="9" t="s">
        <v>493</v>
      </c>
      <c r="P297" s="21">
        <v>11.5428</v>
      </c>
      <c r="Q297" s="116">
        <v>44749</v>
      </c>
      <c r="R297" s="140">
        <v>44890</v>
      </c>
      <c r="S297" s="141">
        <v>141</v>
      </c>
      <c r="T297" s="21">
        <v>12.7</v>
      </c>
      <c r="V297" s="9" t="s">
        <v>32</v>
      </c>
      <c r="W297" s="9">
        <v>1</v>
      </c>
      <c r="X297" s="121" t="s">
        <v>72</v>
      </c>
      <c r="Y297" s="140">
        <v>44907</v>
      </c>
      <c r="Z297" s="21">
        <v>1.474031041359577</v>
      </c>
      <c r="AA297" s="23">
        <v>3</v>
      </c>
      <c r="AB297" s="32" t="s">
        <v>198</v>
      </c>
      <c r="AC297" s="32" t="s">
        <v>199</v>
      </c>
      <c r="AD297" s="9" t="s">
        <v>69</v>
      </c>
      <c r="AE297" s="9" t="s">
        <v>214</v>
      </c>
      <c r="AF297" s="9">
        <v>143</v>
      </c>
      <c r="AG297" s="138" t="s">
        <v>686</v>
      </c>
      <c r="AH297" s="9" t="s">
        <v>1760</v>
      </c>
      <c r="AI297" s="9" t="s">
        <v>1790</v>
      </c>
    </row>
    <row r="298" spans="1:35">
      <c r="A298" s="138" t="s">
        <v>746</v>
      </c>
      <c r="B298" s="139">
        <v>44749</v>
      </c>
      <c r="C298" s="138" t="s">
        <v>487</v>
      </c>
      <c r="D298" s="138"/>
      <c r="E298" s="9">
        <v>14</v>
      </c>
      <c r="F298" s="138"/>
      <c r="G298" s="9" t="s">
        <v>16</v>
      </c>
      <c r="H298" s="9" t="s">
        <v>3</v>
      </c>
      <c r="J298" s="9" t="s">
        <v>254</v>
      </c>
      <c r="L298" s="9" t="s">
        <v>493</v>
      </c>
      <c r="M298" s="9" t="s">
        <v>493</v>
      </c>
      <c r="N298" s="9" t="s">
        <v>493</v>
      </c>
      <c r="O298" s="9" t="s">
        <v>493</v>
      </c>
      <c r="P298" s="21">
        <v>11.964</v>
      </c>
      <c r="Q298" s="116">
        <v>44749</v>
      </c>
      <c r="R298" s="140">
        <v>44890</v>
      </c>
      <c r="S298" s="141">
        <v>141</v>
      </c>
      <c r="T298" s="21">
        <v>9.14</v>
      </c>
      <c r="V298" s="9" t="s">
        <v>32</v>
      </c>
      <c r="W298" s="9">
        <v>1</v>
      </c>
      <c r="X298" s="121" t="s">
        <v>129</v>
      </c>
      <c r="Y298" s="140">
        <v>44907</v>
      </c>
      <c r="Z298" s="21">
        <v>4.47</v>
      </c>
      <c r="AA298" s="23">
        <v>3</v>
      </c>
      <c r="AB298" s="32" t="s">
        <v>198</v>
      </c>
      <c r="AC298" s="32" t="s">
        <v>199</v>
      </c>
      <c r="AD298" s="9" t="s">
        <v>167</v>
      </c>
      <c r="AE298" s="9" t="s">
        <v>215</v>
      </c>
      <c r="AF298" s="9">
        <v>144</v>
      </c>
      <c r="AG298" s="138" t="s">
        <v>687</v>
      </c>
      <c r="AH298" s="9" t="s">
        <v>1760</v>
      </c>
      <c r="AI298" s="9" t="s">
        <v>1790</v>
      </c>
    </row>
    <row r="299" spans="1:35">
      <c r="A299" s="138" t="s">
        <v>747</v>
      </c>
      <c r="B299" s="139">
        <v>44749</v>
      </c>
      <c r="C299" s="138" t="s">
        <v>487</v>
      </c>
      <c r="D299" s="138"/>
      <c r="E299" s="9">
        <v>15</v>
      </c>
      <c r="F299" s="138"/>
      <c r="G299" s="9" t="s">
        <v>9</v>
      </c>
      <c r="H299" s="9" t="s">
        <v>3</v>
      </c>
      <c r="J299" s="9" t="s">
        <v>253</v>
      </c>
      <c r="L299" s="9" t="s">
        <v>493</v>
      </c>
      <c r="M299" s="9" t="s">
        <v>493</v>
      </c>
      <c r="N299" s="9" t="s">
        <v>493</v>
      </c>
      <c r="O299" s="9" t="s">
        <v>493</v>
      </c>
      <c r="P299" s="21">
        <v>9.7195</v>
      </c>
      <c r="Q299" s="116">
        <v>44749</v>
      </c>
      <c r="R299" s="140">
        <v>44890</v>
      </c>
      <c r="S299" s="141">
        <v>141</v>
      </c>
      <c r="T299" s="21">
        <v>10</v>
      </c>
      <c r="V299" s="9" t="s">
        <v>32</v>
      </c>
      <c r="W299" s="9">
        <v>2</v>
      </c>
      <c r="X299" s="121" t="s">
        <v>50</v>
      </c>
      <c r="Y299" s="140">
        <v>44908</v>
      </c>
      <c r="Z299" s="21">
        <v>14.29</v>
      </c>
      <c r="AA299" s="23">
        <v>2</v>
      </c>
      <c r="AB299" s="32" t="s">
        <v>159</v>
      </c>
      <c r="AC299" s="32" t="s">
        <v>188</v>
      </c>
      <c r="AD299" s="9" t="s">
        <v>173</v>
      </c>
      <c r="AE299" s="9" t="s">
        <v>221</v>
      </c>
      <c r="AF299" s="9">
        <v>241</v>
      </c>
      <c r="AG299" s="138" t="s">
        <v>688</v>
      </c>
      <c r="AH299" s="9" t="s">
        <v>1760</v>
      </c>
      <c r="AI299" s="9" t="s">
        <v>1790</v>
      </c>
    </row>
    <row r="300" spans="1:35">
      <c r="A300" s="138" t="s">
        <v>748</v>
      </c>
      <c r="B300" s="139">
        <v>44749</v>
      </c>
      <c r="C300" s="138" t="s">
        <v>487</v>
      </c>
      <c r="D300" s="138"/>
      <c r="E300" s="9">
        <v>16</v>
      </c>
      <c r="F300" s="138"/>
      <c r="G300" s="9" t="s">
        <v>15</v>
      </c>
      <c r="H300" s="9" t="s">
        <v>230</v>
      </c>
      <c r="J300" s="9" t="s">
        <v>253</v>
      </c>
      <c r="L300" s="9" t="s">
        <v>493</v>
      </c>
      <c r="M300" s="9" t="s">
        <v>493</v>
      </c>
      <c r="N300" s="9" t="s">
        <v>493</v>
      </c>
      <c r="O300" s="9" t="s">
        <v>493</v>
      </c>
      <c r="P300" s="21">
        <v>11.140499999999999</v>
      </c>
      <c r="Q300" s="116">
        <v>44749</v>
      </c>
      <c r="R300" s="140">
        <v>44890</v>
      </c>
      <c r="S300" s="141">
        <v>141</v>
      </c>
      <c r="T300" s="21">
        <v>10.7</v>
      </c>
      <c r="V300" s="9" t="s">
        <v>32</v>
      </c>
      <c r="W300" s="9">
        <v>2</v>
      </c>
      <c r="X300" s="121" t="s">
        <v>143</v>
      </c>
      <c r="Y300" s="140">
        <v>44908</v>
      </c>
      <c r="Z300" s="21">
        <v>7.2046337476049009</v>
      </c>
      <c r="AA300" s="23">
        <v>2</v>
      </c>
      <c r="AB300" s="32" t="s">
        <v>158</v>
      </c>
      <c r="AC300" s="32" t="s">
        <v>187</v>
      </c>
      <c r="AD300" s="9" t="s">
        <v>174</v>
      </c>
      <c r="AE300" s="9" t="s">
        <v>222</v>
      </c>
      <c r="AF300" s="9">
        <v>230</v>
      </c>
      <c r="AG300" s="138" t="s">
        <v>689</v>
      </c>
      <c r="AH300" s="9" t="s">
        <v>1760</v>
      </c>
      <c r="AI300" s="9" t="s">
        <v>1790</v>
      </c>
    </row>
    <row r="301" spans="1:35">
      <c r="A301" s="138" t="s">
        <v>750</v>
      </c>
      <c r="B301" s="139">
        <v>44749</v>
      </c>
      <c r="C301" s="138" t="s">
        <v>487</v>
      </c>
      <c r="D301" s="138"/>
      <c r="E301" s="9">
        <v>18</v>
      </c>
      <c r="F301" s="138"/>
      <c r="G301" s="9" t="s">
        <v>12</v>
      </c>
      <c r="H301" s="9" t="s">
        <v>230</v>
      </c>
      <c r="J301" s="9" t="s">
        <v>254</v>
      </c>
      <c r="L301" s="9" t="s">
        <v>493</v>
      </c>
      <c r="M301" s="9" t="s">
        <v>493</v>
      </c>
      <c r="N301" s="9" t="s">
        <v>493</v>
      </c>
      <c r="O301" s="9" t="s">
        <v>493</v>
      </c>
      <c r="P301" s="21">
        <v>13.8733</v>
      </c>
      <c r="Q301" s="116">
        <v>44749</v>
      </c>
      <c r="R301" s="140">
        <v>44893</v>
      </c>
      <c r="S301" s="141">
        <v>144</v>
      </c>
      <c r="T301" s="21">
        <v>8.77</v>
      </c>
      <c r="V301" s="9" t="s">
        <v>32</v>
      </c>
      <c r="W301" s="9">
        <v>2</v>
      </c>
      <c r="X301" s="121" t="s">
        <v>147</v>
      </c>
      <c r="Y301" s="140">
        <v>44908</v>
      </c>
      <c r="Z301" s="21">
        <v>8.7911122048974288</v>
      </c>
      <c r="AA301" s="23">
        <v>2</v>
      </c>
      <c r="AB301" s="32" t="s">
        <v>162</v>
      </c>
      <c r="AC301" s="32" t="s">
        <v>192</v>
      </c>
      <c r="AD301" s="9" t="s">
        <v>175</v>
      </c>
      <c r="AE301" s="9" t="s">
        <v>223</v>
      </c>
      <c r="AF301" s="9">
        <v>279</v>
      </c>
      <c r="AG301" s="138" t="s">
        <v>691</v>
      </c>
      <c r="AH301" s="9" t="s">
        <v>1760</v>
      </c>
      <c r="AI301" s="9" t="s">
        <v>1790</v>
      </c>
    </row>
    <row r="302" spans="1:35">
      <c r="A302" s="138" t="s">
        <v>751</v>
      </c>
      <c r="B302" s="139">
        <v>44749</v>
      </c>
      <c r="C302" s="138" t="s">
        <v>487</v>
      </c>
      <c r="D302" s="138"/>
      <c r="E302" s="9">
        <v>19</v>
      </c>
      <c r="F302" s="138"/>
      <c r="G302" s="9" t="s">
        <v>9</v>
      </c>
      <c r="H302" s="9" t="s">
        <v>3</v>
      </c>
      <c r="J302" s="9" t="s">
        <v>253</v>
      </c>
      <c r="L302" s="9" t="s">
        <v>493</v>
      </c>
      <c r="M302" s="9" t="s">
        <v>493</v>
      </c>
      <c r="N302" s="9" t="s">
        <v>493</v>
      </c>
      <c r="O302" s="9" t="s">
        <v>493</v>
      </c>
      <c r="P302" s="21">
        <v>10.461</v>
      </c>
      <c r="Q302" s="116">
        <v>44749</v>
      </c>
      <c r="R302" s="140">
        <v>44893</v>
      </c>
      <c r="S302" s="141">
        <v>144</v>
      </c>
      <c r="T302" s="21">
        <v>7.19</v>
      </c>
      <c r="V302" s="9" t="s">
        <v>32</v>
      </c>
      <c r="W302" s="9">
        <v>2</v>
      </c>
      <c r="X302" s="121" t="s">
        <v>96</v>
      </c>
      <c r="Y302" s="140">
        <v>44908</v>
      </c>
      <c r="Z302" s="21">
        <v>8.5564364441788108</v>
      </c>
      <c r="AA302" s="23">
        <v>2</v>
      </c>
      <c r="AB302" s="32" t="s">
        <v>191</v>
      </c>
      <c r="AC302" s="32" t="s">
        <v>190</v>
      </c>
      <c r="AD302" s="9" t="s">
        <v>176</v>
      </c>
      <c r="AE302" s="9" t="s">
        <v>224</v>
      </c>
      <c r="AF302" s="9">
        <v>268</v>
      </c>
      <c r="AG302" s="138" t="s">
        <v>692</v>
      </c>
      <c r="AH302" s="9" t="s">
        <v>1760</v>
      </c>
      <c r="AI302" s="9" t="s">
        <v>1790</v>
      </c>
    </row>
    <row r="303" spans="1:35">
      <c r="A303" s="138" t="s">
        <v>754</v>
      </c>
      <c r="B303" s="139">
        <v>44749</v>
      </c>
      <c r="C303" s="138" t="s">
        <v>487</v>
      </c>
      <c r="D303" s="138"/>
      <c r="E303" s="9">
        <v>22</v>
      </c>
      <c r="F303" s="138"/>
      <c r="G303" s="9" t="s">
        <v>12</v>
      </c>
      <c r="H303" s="9" t="s">
        <v>230</v>
      </c>
      <c r="J303" s="9" t="s">
        <v>254</v>
      </c>
      <c r="L303" s="9" t="s">
        <v>493</v>
      </c>
      <c r="M303" s="9" t="s">
        <v>493</v>
      </c>
      <c r="N303" s="9" t="s">
        <v>493</v>
      </c>
      <c r="O303" s="9" t="s">
        <v>493</v>
      </c>
      <c r="P303" s="21">
        <v>12.96</v>
      </c>
      <c r="Q303" s="116">
        <v>44749</v>
      </c>
      <c r="R303" s="140">
        <v>44894</v>
      </c>
      <c r="S303" s="141">
        <v>145</v>
      </c>
      <c r="T303" s="21">
        <v>3.04</v>
      </c>
      <c r="V303" s="9" t="s">
        <v>32</v>
      </c>
      <c r="W303" s="9">
        <v>2</v>
      </c>
      <c r="X303" s="121" t="s">
        <v>151</v>
      </c>
      <c r="Y303" s="140">
        <v>44908</v>
      </c>
      <c r="Z303" s="21">
        <v>6.79</v>
      </c>
      <c r="AA303" s="23">
        <v>2</v>
      </c>
      <c r="AB303" s="32" t="s">
        <v>157</v>
      </c>
      <c r="AC303" s="32" t="s">
        <v>186</v>
      </c>
      <c r="AD303" s="9" t="s">
        <v>178</v>
      </c>
      <c r="AE303" s="9" t="s">
        <v>226</v>
      </c>
      <c r="AF303" s="9">
        <v>223</v>
      </c>
      <c r="AG303" s="138" t="s">
        <v>695</v>
      </c>
      <c r="AH303" s="9" t="s">
        <v>1760</v>
      </c>
      <c r="AI303" s="9" t="s">
        <v>1790</v>
      </c>
    </row>
    <row r="304" spans="1:35">
      <c r="A304" s="138" t="s">
        <v>698</v>
      </c>
      <c r="B304" s="139">
        <v>44756</v>
      </c>
      <c r="C304" s="138" t="s">
        <v>487</v>
      </c>
      <c r="D304" s="138"/>
      <c r="E304" s="9">
        <v>1</v>
      </c>
      <c r="F304" s="138"/>
      <c r="G304" s="9" t="s">
        <v>9</v>
      </c>
      <c r="H304" s="9" t="s">
        <v>3</v>
      </c>
      <c r="J304" s="9" t="s">
        <v>253</v>
      </c>
      <c r="L304" s="9" t="s">
        <v>493</v>
      </c>
      <c r="M304" s="9" t="s">
        <v>493</v>
      </c>
      <c r="N304" s="9" t="s">
        <v>493</v>
      </c>
      <c r="O304" s="9" t="s">
        <v>493</v>
      </c>
      <c r="P304" s="21">
        <v>13.3093</v>
      </c>
      <c r="Q304" s="116">
        <v>44756</v>
      </c>
      <c r="R304" s="140">
        <v>44860</v>
      </c>
      <c r="S304" s="141">
        <v>104</v>
      </c>
      <c r="T304" s="21">
        <v>7.31</v>
      </c>
      <c r="V304" s="9" t="s">
        <v>32</v>
      </c>
      <c r="W304" s="9">
        <v>1</v>
      </c>
      <c r="X304" s="121" t="s">
        <v>52</v>
      </c>
      <c r="Y304" s="140">
        <v>44907</v>
      </c>
      <c r="Z304" s="21">
        <v>0.93644324980490767</v>
      </c>
      <c r="AA304" s="23">
        <v>3</v>
      </c>
      <c r="AB304" s="32" t="s">
        <v>202</v>
      </c>
      <c r="AC304" s="32" t="s">
        <v>203</v>
      </c>
      <c r="AD304" s="9" t="s">
        <v>163</v>
      </c>
      <c r="AE304" s="9" t="s">
        <v>209</v>
      </c>
      <c r="AF304" s="9">
        <v>157</v>
      </c>
      <c r="AG304" s="138" t="s">
        <v>698</v>
      </c>
      <c r="AH304" s="9" t="s">
        <v>1760</v>
      </c>
      <c r="AI304" s="9" t="s">
        <v>1790</v>
      </c>
    </row>
    <row r="305" spans="1:35">
      <c r="A305" s="138" t="s">
        <v>699</v>
      </c>
      <c r="B305" s="139">
        <v>44756</v>
      </c>
      <c r="C305" s="138" t="s">
        <v>487</v>
      </c>
      <c r="D305" s="138"/>
      <c r="E305" s="9">
        <v>2</v>
      </c>
      <c r="F305" s="138"/>
      <c r="G305" s="9" t="s">
        <v>11</v>
      </c>
      <c r="H305" s="9" t="s">
        <v>3</v>
      </c>
      <c r="J305" s="9" t="s">
        <v>40</v>
      </c>
      <c r="L305" s="9" t="s">
        <v>493</v>
      </c>
      <c r="M305" s="9" t="s">
        <v>493</v>
      </c>
      <c r="N305" s="9" t="s">
        <v>493</v>
      </c>
      <c r="O305" s="9" t="s">
        <v>493</v>
      </c>
      <c r="P305" s="21">
        <v>15.1561</v>
      </c>
      <c r="Q305" s="116">
        <v>44756</v>
      </c>
      <c r="R305" s="140">
        <v>44861</v>
      </c>
      <c r="S305" s="141">
        <v>105</v>
      </c>
      <c r="T305" s="21">
        <v>12.1</v>
      </c>
      <c r="V305" s="9" t="s">
        <v>32</v>
      </c>
      <c r="W305" s="9">
        <v>1</v>
      </c>
      <c r="X305" s="121" t="s">
        <v>80</v>
      </c>
      <c r="Y305" s="140">
        <v>44907</v>
      </c>
      <c r="Z305" s="21">
        <v>2.121737622474638</v>
      </c>
      <c r="AA305" s="23">
        <v>3</v>
      </c>
      <c r="AB305" s="32" t="s">
        <v>196</v>
      </c>
      <c r="AC305" s="32" t="s">
        <v>197</v>
      </c>
      <c r="AD305" s="9" t="s">
        <v>164</v>
      </c>
      <c r="AE305" s="9" t="s">
        <v>210</v>
      </c>
      <c r="AF305" s="9">
        <v>122</v>
      </c>
      <c r="AG305" s="138" t="s">
        <v>699</v>
      </c>
      <c r="AH305" s="9" t="s">
        <v>1760</v>
      </c>
      <c r="AI305" s="9" t="s">
        <v>1790</v>
      </c>
    </row>
    <row r="306" spans="1:35">
      <c r="A306" s="138" t="s">
        <v>700</v>
      </c>
      <c r="B306" s="139">
        <v>44756</v>
      </c>
      <c r="C306" s="138" t="s">
        <v>487</v>
      </c>
      <c r="D306" s="138"/>
      <c r="E306" s="9">
        <v>3</v>
      </c>
      <c r="F306" s="138"/>
      <c r="G306" s="9" t="s">
        <v>12</v>
      </c>
      <c r="H306" s="9" t="s">
        <v>230</v>
      </c>
      <c r="J306" s="9" t="s">
        <v>254</v>
      </c>
      <c r="L306" s="9" t="s">
        <v>493</v>
      </c>
      <c r="M306" s="9" t="s">
        <v>493</v>
      </c>
      <c r="N306" s="9" t="s">
        <v>493</v>
      </c>
      <c r="O306" s="9" t="s">
        <v>493</v>
      </c>
      <c r="P306" s="21">
        <v>14.0321</v>
      </c>
      <c r="Q306" s="116">
        <v>44756</v>
      </c>
      <c r="R306" s="140">
        <v>44860</v>
      </c>
      <c r="S306" s="141">
        <v>104</v>
      </c>
      <c r="T306" s="21">
        <v>10</v>
      </c>
      <c r="V306" s="9" t="s">
        <v>32</v>
      </c>
      <c r="W306" s="9">
        <v>1</v>
      </c>
      <c r="X306" s="121" t="s">
        <v>81</v>
      </c>
      <c r="Y306" s="140">
        <v>44907</v>
      </c>
      <c r="Z306" s="21">
        <v>2.1113326974768101</v>
      </c>
      <c r="AA306" s="23">
        <v>3</v>
      </c>
      <c r="AB306" s="32" t="s">
        <v>42</v>
      </c>
      <c r="AC306" s="32" t="s">
        <v>193</v>
      </c>
      <c r="AD306" s="9" t="s">
        <v>165</v>
      </c>
      <c r="AE306" s="9" t="s">
        <v>211</v>
      </c>
      <c r="AF306" s="9">
        <v>99</v>
      </c>
      <c r="AG306" s="138" t="s">
        <v>700</v>
      </c>
      <c r="AH306" s="9" t="s">
        <v>1760</v>
      </c>
      <c r="AI306" s="9" t="s">
        <v>1790</v>
      </c>
    </row>
    <row r="307" spans="1:35">
      <c r="A307" s="138" t="s">
        <v>702</v>
      </c>
      <c r="B307" s="139">
        <v>44756</v>
      </c>
      <c r="C307" s="138" t="s">
        <v>487</v>
      </c>
      <c r="D307" s="138"/>
      <c r="E307" s="9">
        <v>5</v>
      </c>
      <c r="F307" s="138"/>
      <c r="G307" s="9" t="s">
        <v>15</v>
      </c>
      <c r="H307" s="9" t="s">
        <v>230</v>
      </c>
      <c r="J307" s="9" t="s">
        <v>253</v>
      </c>
      <c r="L307" s="9" t="s">
        <v>493</v>
      </c>
      <c r="M307" s="9" t="s">
        <v>493</v>
      </c>
      <c r="N307" s="9" t="s">
        <v>493</v>
      </c>
      <c r="O307" s="9" t="s">
        <v>493</v>
      </c>
      <c r="P307" s="21">
        <v>14.8302</v>
      </c>
      <c r="Q307" s="116">
        <v>44756</v>
      </c>
      <c r="R307" s="140">
        <v>44861</v>
      </c>
      <c r="S307" s="141">
        <v>105</v>
      </c>
      <c r="T307" s="21">
        <v>19.899999999999999</v>
      </c>
      <c r="V307" s="9" t="s">
        <v>32</v>
      </c>
      <c r="W307" s="9">
        <v>1</v>
      </c>
      <c r="X307" s="121" t="s">
        <v>88</v>
      </c>
      <c r="Y307" s="140">
        <v>44907</v>
      </c>
      <c r="Z307" s="21">
        <v>1.4</v>
      </c>
      <c r="AA307" s="23">
        <v>3</v>
      </c>
      <c r="AB307" s="32" t="s">
        <v>200</v>
      </c>
      <c r="AC307" s="32" t="s">
        <v>201</v>
      </c>
      <c r="AD307" s="9" t="s">
        <v>166</v>
      </c>
      <c r="AE307" s="9" t="s">
        <v>212</v>
      </c>
      <c r="AF307" s="9">
        <v>148</v>
      </c>
      <c r="AG307" s="138" t="s">
        <v>702</v>
      </c>
      <c r="AH307" s="9" t="s">
        <v>1760</v>
      </c>
      <c r="AI307" s="9" t="s">
        <v>1790</v>
      </c>
    </row>
    <row r="308" spans="1:35">
      <c r="A308" s="138" t="s">
        <v>703</v>
      </c>
      <c r="B308" s="139">
        <v>44756</v>
      </c>
      <c r="C308" s="138" t="s">
        <v>487</v>
      </c>
      <c r="D308" s="138"/>
      <c r="E308" s="9">
        <v>6</v>
      </c>
      <c r="F308" s="138"/>
      <c r="G308" s="9" t="s">
        <v>16</v>
      </c>
      <c r="H308" s="9" t="s">
        <v>3</v>
      </c>
      <c r="J308" s="9" t="s">
        <v>254</v>
      </c>
      <c r="L308" s="9" t="s">
        <v>493</v>
      </c>
      <c r="M308" s="9" t="s">
        <v>493</v>
      </c>
      <c r="N308" s="9" t="s">
        <v>493</v>
      </c>
      <c r="O308" s="9" t="s">
        <v>493</v>
      </c>
      <c r="P308" s="21">
        <v>13.0677</v>
      </c>
      <c r="Q308" s="116">
        <v>44756</v>
      </c>
      <c r="R308" s="140">
        <v>44865</v>
      </c>
      <c r="S308" s="141">
        <v>109</v>
      </c>
      <c r="T308" s="21">
        <v>7.42</v>
      </c>
      <c r="V308" s="9" t="s">
        <v>32</v>
      </c>
      <c r="W308" s="9">
        <v>1</v>
      </c>
      <c r="X308" s="121" t="s">
        <v>101</v>
      </c>
      <c r="Y308" s="140">
        <v>44907</v>
      </c>
      <c r="Z308" s="21">
        <v>2.1174022370588745</v>
      </c>
      <c r="AA308" s="23">
        <v>3</v>
      </c>
      <c r="AB308" s="32" t="s">
        <v>200</v>
      </c>
      <c r="AC308" s="32" t="s">
        <v>201</v>
      </c>
      <c r="AD308" s="9" t="s">
        <v>43</v>
      </c>
      <c r="AE308" s="9" t="s">
        <v>213</v>
      </c>
      <c r="AF308" s="9">
        <v>149</v>
      </c>
      <c r="AG308" s="138" t="s">
        <v>703</v>
      </c>
      <c r="AH308" s="9" t="s">
        <v>1760</v>
      </c>
      <c r="AI308" s="9" t="s">
        <v>1790</v>
      </c>
    </row>
    <row r="309" spans="1:35">
      <c r="A309" s="138" t="s">
        <v>704</v>
      </c>
      <c r="B309" s="139">
        <v>44756</v>
      </c>
      <c r="C309" s="138" t="s">
        <v>487</v>
      </c>
      <c r="D309" s="138"/>
      <c r="E309" s="9">
        <v>7</v>
      </c>
      <c r="F309" s="138"/>
      <c r="G309" s="9" t="s">
        <v>14</v>
      </c>
      <c r="H309" s="9" t="s">
        <v>230</v>
      </c>
      <c r="J309" s="9" t="s">
        <v>40</v>
      </c>
      <c r="L309" s="9" t="s">
        <v>493</v>
      </c>
      <c r="M309" s="9" t="s">
        <v>493</v>
      </c>
      <c r="N309" s="9" t="s">
        <v>493</v>
      </c>
      <c r="O309" s="9" t="s">
        <v>493</v>
      </c>
      <c r="P309" s="21">
        <v>13.4596</v>
      </c>
      <c r="Q309" s="116">
        <v>44756</v>
      </c>
      <c r="R309" s="140">
        <v>44861</v>
      </c>
      <c r="S309" s="141">
        <v>105</v>
      </c>
      <c r="T309" s="21">
        <v>10.3</v>
      </c>
      <c r="V309" s="9" t="s">
        <v>32</v>
      </c>
      <c r="W309" s="9">
        <v>1</v>
      </c>
      <c r="X309" s="121" t="s">
        <v>107</v>
      </c>
      <c r="Y309" s="140">
        <v>44907</v>
      </c>
      <c r="Z309" s="21">
        <v>3.6477932888233764</v>
      </c>
      <c r="AA309" s="23">
        <v>3</v>
      </c>
      <c r="AB309" s="32" t="s">
        <v>194</v>
      </c>
      <c r="AC309" s="32" t="s">
        <v>195</v>
      </c>
      <c r="AD309" s="9" t="s">
        <v>168</v>
      </c>
      <c r="AE309" s="9" t="s">
        <v>216</v>
      </c>
      <c r="AF309" s="9">
        <v>114</v>
      </c>
      <c r="AG309" s="138" t="s">
        <v>704</v>
      </c>
      <c r="AH309" s="9" t="s">
        <v>1760</v>
      </c>
      <c r="AI309" s="9" t="s">
        <v>1790</v>
      </c>
    </row>
    <row r="310" spans="1:35">
      <c r="A310" s="138" t="s">
        <v>705</v>
      </c>
      <c r="B310" s="139">
        <v>44756</v>
      </c>
      <c r="C310" s="138" t="s">
        <v>487</v>
      </c>
      <c r="D310" s="138"/>
      <c r="E310" s="9">
        <v>8</v>
      </c>
      <c r="F310" s="138"/>
      <c r="G310" s="9" t="s">
        <v>15</v>
      </c>
      <c r="H310" s="9" t="s">
        <v>230</v>
      </c>
      <c r="J310" s="9" t="s">
        <v>253</v>
      </c>
      <c r="L310" s="9" t="s">
        <v>493</v>
      </c>
      <c r="M310" s="9" t="s">
        <v>493</v>
      </c>
      <c r="N310" s="9" t="s">
        <v>493</v>
      </c>
      <c r="O310" s="9" t="s">
        <v>493</v>
      </c>
      <c r="P310" s="21">
        <v>12.942</v>
      </c>
      <c r="Q310" s="116">
        <v>44756</v>
      </c>
      <c r="R310" s="140">
        <v>44865</v>
      </c>
      <c r="S310" s="141">
        <v>109</v>
      </c>
      <c r="T310" s="21">
        <v>5.41</v>
      </c>
      <c r="V310" s="9" t="s">
        <v>32</v>
      </c>
      <c r="W310" s="9">
        <v>1</v>
      </c>
      <c r="X310" s="121" t="s">
        <v>112</v>
      </c>
      <c r="Y310" s="140">
        <v>44907</v>
      </c>
      <c r="Z310" s="21">
        <v>5.6065204196653085</v>
      </c>
      <c r="AA310" s="23">
        <v>3</v>
      </c>
      <c r="AB310" s="32" t="s">
        <v>194</v>
      </c>
      <c r="AC310" s="32" t="s">
        <v>195</v>
      </c>
      <c r="AD310" s="9" t="s">
        <v>169</v>
      </c>
      <c r="AE310" s="9" t="s">
        <v>217</v>
      </c>
      <c r="AF310" s="9">
        <v>115</v>
      </c>
      <c r="AG310" s="138" t="s">
        <v>705</v>
      </c>
      <c r="AH310" s="9" t="s">
        <v>1760</v>
      </c>
      <c r="AI310" s="9" t="s">
        <v>1790</v>
      </c>
    </row>
    <row r="311" spans="1:35">
      <c r="A311" s="138" t="s">
        <v>706</v>
      </c>
      <c r="B311" s="139">
        <v>44756</v>
      </c>
      <c r="C311" s="138" t="s">
        <v>487</v>
      </c>
      <c r="D311" s="138"/>
      <c r="E311" s="9">
        <v>10</v>
      </c>
      <c r="F311" s="138"/>
      <c r="G311" s="9" t="s">
        <v>11</v>
      </c>
      <c r="H311" s="9" t="s">
        <v>3</v>
      </c>
      <c r="J311" s="9" t="s">
        <v>40</v>
      </c>
      <c r="L311" s="9" t="s">
        <v>493</v>
      </c>
      <c r="M311" s="9" t="s">
        <v>493</v>
      </c>
      <c r="N311" s="9" t="s">
        <v>493</v>
      </c>
      <c r="O311" s="9" t="s">
        <v>493</v>
      </c>
      <c r="P311" s="21">
        <v>12.9176</v>
      </c>
      <c r="Q311" s="116">
        <v>44756</v>
      </c>
      <c r="R311" s="140">
        <v>44861</v>
      </c>
      <c r="S311" s="141">
        <v>105</v>
      </c>
      <c r="T311" s="21">
        <v>6.81</v>
      </c>
      <c r="V311" s="9" t="s">
        <v>32</v>
      </c>
      <c r="W311" s="9">
        <v>1</v>
      </c>
      <c r="X311" s="121" t="s">
        <v>122</v>
      </c>
      <c r="Y311" s="140">
        <v>44907</v>
      </c>
      <c r="Z311" s="21">
        <v>1.2381860747420446</v>
      </c>
      <c r="AA311" s="23">
        <v>3</v>
      </c>
      <c r="AB311" s="32" t="s">
        <v>204</v>
      </c>
      <c r="AC311" s="32" t="s">
        <v>205</v>
      </c>
      <c r="AD311" s="9" t="s">
        <v>172</v>
      </c>
      <c r="AE311" s="9" t="s">
        <v>220</v>
      </c>
      <c r="AF311" s="9">
        <v>176</v>
      </c>
      <c r="AG311" s="138" t="s">
        <v>706</v>
      </c>
      <c r="AH311" s="9" t="s">
        <v>1760</v>
      </c>
      <c r="AI311" s="9" t="s">
        <v>1790</v>
      </c>
    </row>
    <row r="312" spans="1:35">
      <c r="A312" s="138" t="s">
        <v>707</v>
      </c>
      <c r="B312" s="139">
        <v>44756</v>
      </c>
      <c r="C312" s="138" t="s">
        <v>487</v>
      </c>
      <c r="D312" s="138"/>
      <c r="E312" s="9">
        <v>11</v>
      </c>
      <c r="F312" s="138"/>
      <c r="G312" s="9" t="s">
        <v>9</v>
      </c>
      <c r="H312" s="9" t="s">
        <v>3</v>
      </c>
      <c r="J312" s="9" t="s">
        <v>253</v>
      </c>
      <c r="L312" s="9" t="s">
        <v>493</v>
      </c>
      <c r="M312" s="9" t="s">
        <v>493</v>
      </c>
      <c r="N312" s="9" t="s">
        <v>493</v>
      </c>
      <c r="O312" s="9" t="s">
        <v>493</v>
      </c>
      <c r="P312" s="21">
        <v>12.7502</v>
      </c>
      <c r="Q312" s="116">
        <v>44756</v>
      </c>
      <c r="R312" s="140">
        <v>44886</v>
      </c>
      <c r="S312" s="141">
        <v>130</v>
      </c>
      <c r="T312" s="21">
        <v>6.59</v>
      </c>
      <c r="V312" s="9" t="s">
        <v>32</v>
      </c>
      <c r="W312" s="9">
        <v>1</v>
      </c>
      <c r="X312" s="121" t="s">
        <v>126</v>
      </c>
      <c r="Y312" s="140">
        <v>44907</v>
      </c>
      <c r="Z312" s="21">
        <v>1.61</v>
      </c>
      <c r="AA312" s="23">
        <v>3</v>
      </c>
      <c r="AB312" s="32" t="s">
        <v>204</v>
      </c>
      <c r="AC312" s="32" t="s">
        <v>205</v>
      </c>
      <c r="AD312" s="9" t="s">
        <v>170</v>
      </c>
      <c r="AE312" s="9" t="s">
        <v>218</v>
      </c>
      <c r="AF312" s="9">
        <v>177</v>
      </c>
      <c r="AG312" s="138" t="s">
        <v>707</v>
      </c>
      <c r="AH312" s="9" t="s">
        <v>1760</v>
      </c>
      <c r="AI312" s="9" t="s">
        <v>1790</v>
      </c>
    </row>
    <row r="313" spans="1:35">
      <c r="A313" s="138" t="s">
        <v>708</v>
      </c>
      <c r="B313" s="139">
        <v>44756</v>
      </c>
      <c r="C313" s="138" t="s">
        <v>487</v>
      </c>
      <c r="D313" s="138"/>
      <c r="E313" s="9">
        <v>12</v>
      </c>
      <c r="F313" s="138"/>
      <c r="G313" s="9" t="s">
        <v>16</v>
      </c>
      <c r="H313" s="9" t="s">
        <v>3</v>
      </c>
      <c r="J313" s="9" t="s">
        <v>254</v>
      </c>
      <c r="L313" s="9" t="s">
        <v>493</v>
      </c>
      <c r="M313" s="9" t="s">
        <v>493</v>
      </c>
      <c r="N313" s="9" t="s">
        <v>493</v>
      </c>
      <c r="O313" s="9" t="s">
        <v>493</v>
      </c>
      <c r="P313" s="21">
        <v>13.8323</v>
      </c>
      <c r="Q313" s="116">
        <v>44756</v>
      </c>
      <c r="R313" s="140">
        <v>44861</v>
      </c>
      <c r="S313" s="141">
        <v>105</v>
      </c>
      <c r="T313" s="21">
        <v>10.1</v>
      </c>
      <c r="V313" s="9" t="s">
        <v>32</v>
      </c>
      <c r="W313" s="9">
        <v>1</v>
      </c>
      <c r="X313" s="121" t="s">
        <v>133</v>
      </c>
      <c r="Y313" s="140">
        <v>44907</v>
      </c>
      <c r="Z313" s="21">
        <v>3.0867944160235843</v>
      </c>
      <c r="AA313" s="23">
        <v>3</v>
      </c>
      <c r="AB313" s="32" t="s">
        <v>204</v>
      </c>
      <c r="AC313" s="32" t="s">
        <v>205</v>
      </c>
      <c r="AD313" s="9" t="s">
        <v>171</v>
      </c>
      <c r="AE313" s="9" t="s">
        <v>219</v>
      </c>
      <c r="AF313" s="9">
        <v>178</v>
      </c>
      <c r="AG313" s="138" t="s">
        <v>708</v>
      </c>
      <c r="AH313" s="9" t="s">
        <v>1760</v>
      </c>
      <c r="AI313" s="9" t="s">
        <v>1790</v>
      </c>
    </row>
    <row r="314" spans="1:35">
      <c r="A314" s="138" t="s">
        <v>709</v>
      </c>
      <c r="B314" s="139">
        <v>44756</v>
      </c>
      <c r="C314" s="138" t="s">
        <v>487</v>
      </c>
      <c r="D314" s="138"/>
      <c r="E314" s="9">
        <v>13</v>
      </c>
      <c r="F314" s="138"/>
      <c r="G314" s="9" t="s">
        <v>11</v>
      </c>
      <c r="H314" s="9" t="s">
        <v>3</v>
      </c>
      <c r="J314" s="9" t="s">
        <v>40</v>
      </c>
      <c r="L314" s="9" t="s">
        <v>493</v>
      </c>
      <c r="M314" s="9" t="s">
        <v>493</v>
      </c>
      <c r="N314" s="9" t="s">
        <v>493</v>
      </c>
      <c r="O314" s="9" t="s">
        <v>493</v>
      </c>
      <c r="P314" s="21">
        <v>13.8224</v>
      </c>
      <c r="Q314" s="116">
        <v>44756</v>
      </c>
      <c r="R314" s="140">
        <v>44890</v>
      </c>
      <c r="S314" s="141">
        <v>134</v>
      </c>
      <c r="T314" s="21">
        <v>9.52</v>
      </c>
      <c r="V314" s="9" t="s">
        <v>32</v>
      </c>
      <c r="W314" s="9">
        <v>1</v>
      </c>
      <c r="X314" s="121" t="s">
        <v>73</v>
      </c>
      <c r="Y314" s="140">
        <v>44907</v>
      </c>
      <c r="Z314" s="21">
        <v>3.1934448972513656</v>
      </c>
      <c r="AA314" s="23">
        <v>3</v>
      </c>
      <c r="AB314" s="32" t="s">
        <v>200</v>
      </c>
      <c r="AC314" s="32" t="s">
        <v>201</v>
      </c>
      <c r="AD314" s="9" t="s">
        <v>69</v>
      </c>
      <c r="AE314" s="9" t="s">
        <v>214</v>
      </c>
      <c r="AF314" s="9">
        <v>155</v>
      </c>
      <c r="AG314" s="138" t="s">
        <v>709</v>
      </c>
      <c r="AH314" s="9" t="s">
        <v>1760</v>
      </c>
      <c r="AI314" s="9" t="s">
        <v>1790</v>
      </c>
    </row>
    <row r="315" spans="1:35">
      <c r="A315" s="138" t="s">
        <v>710</v>
      </c>
      <c r="B315" s="139">
        <v>44756</v>
      </c>
      <c r="C315" s="138" t="s">
        <v>487</v>
      </c>
      <c r="D315" s="138"/>
      <c r="E315" s="9">
        <v>14</v>
      </c>
      <c r="F315" s="138"/>
      <c r="G315" s="9" t="s">
        <v>16</v>
      </c>
      <c r="H315" s="9" t="s">
        <v>3</v>
      </c>
      <c r="J315" s="9" t="s">
        <v>254</v>
      </c>
      <c r="L315" s="9" t="s">
        <v>493</v>
      </c>
      <c r="M315" s="9" t="s">
        <v>493</v>
      </c>
      <c r="N315" s="9" t="s">
        <v>493</v>
      </c>
      <c r="O315" s="9" t="s">
        <v>493</v>
      </c>
      <c r="P315" s="21">
        <v>14.4657</v>
      </c>
      <c r="Q315" s="116">
        <v>44756</v>
      </c>
      <c r="R315" s="140">
        <v>44890</v>
      </c>
      <c r="S315" s="141">
        <v>134</v>
      </c>
      <c r="T315" s="21">
        <v>15.3</v>
      </c>
      <c r="V315" s="9" t="s">
        <v>32</v>
      </c>
      <c r="W315" s="9">
        <v>1</v>
      </c>
      <c r="X315" s="121" t="s">
        <v>137</v>
      </c>
      <c r="Y315" s="140">
        <v>44907</v>
      </c>
      <c r="Z315" s="21">
        <v>6.94</v>
      </c>
      <c r="AA315" s="23">
        <v>3</v>
      </c>
      <c r="AB315" s="32" t="s">
        <v>200</v>
      </c>
      <c r="AC315" s="32" t="s">
        <v>201</v>
      </c>
      <c r="AD315" s="9" t="s">
        <v>167</v>
      </c>
      <c r="AE315" s="9" t="s">
        <v>215</v>
      </c>
      <c r="AF315" s="9">
        <v>156</v>
      </c>
      <c r="AG315" s="138" t="s">
        <v>710</v>
      </c>
      <c r="AH315" s="9" t="s">
        <v>1760</v>
      </c>
      <c r="AI315" s="9" t="s">
        <v>1790</v>
      </c>
    </row>
    <row r="316" spans="1:35">
      <c r="A316" s="138" t="s">
        <v>713</v>
      </c>
      <c r="B316" s="139">
        <v>44756</v>
      </c>
      <c r="C316" s="138" t="s">
        <v>487</v>
      </c>
      <c r="D316" s="138"/>
      <c r="E316" s="9">
        <v>17</v>
      </c>
      <c r="F316" s="138"/>
      <c r="G316" s="9" t="s">
        <v>14</v>
      </c>
      <c r="H316" s="9" t="s">
        <v>230</v>
      </c>
      <c r="J316" s="9" t="s">
        <v>40</v>
      </c>
      <c r="L316" s="9" t="s">
        <v>493</v>
      </c>
      <c r="M316" s="9" t="s">
        <v>493</v>
      </c>
      <c r="N316" s="9" t="s">
        <v>493</v>
      </c>
      <c r="O316" s="9" t="s">
        <v>493</v>
      </c>
      <c r="P316" s="21">
        <v>15.281599999999999</v>
      </c>
      <c r="Q316" s="116">
        <v>44756</v>
      </c>
      <c r="R316" s="140">
        <v>44893</v>
      </c>
      <c r="S316" s="141">
        <v>137</v>
      </c>
      <c r="T316" s="21">
        <v>5.01</v>
      </c>
      <c r="V316" s="9" t="s">
        <v>32</v>
      </c>
      <c r="W316" s="9">
        <v>2</v>
      </c>
      <c r="X316" s="121" t="s">
        <v>83</v>
      </c>
      <c r="Y316" s="140">
        <v>44908</v>
      </c>
      <c r="Z316" s="21">
        <v>6.7959287710724769</v>
      </c>
      <c r="AA316" s="23">
        <v>2</v>
      </c>
      <c r="AB316" s="32" t="s">
        <v>157</v>
      </c>
      <c r="AC316" s="32" t="s">
        <v>186</v>
      </c>
      <c r="AD316" s="9" t="s">
        <v>175</v>
      </c>
      <c r="AE316" s="9" t="s">
        <v>223</v>
      </c>
      <c r="AF316" s="9">
        <v>219</v>
      </c>
      <c r="AG316" s="138" t="s">
        <v>713</v>
      </c>
      <c r="AH316" s="9" t="s">
        <v>1760</v>
      </c>
      <c r="AI316" s="9" t="s">
        <v>1790</v>
      </c>
    </row>
    <row r="317" spans="1:35">
      <c r="A317" s="138" t="s">
        <v>718</v>
      </c>
      <c r="B317" s="139">
        <v>44756</v>
      </c>
      <c r="C317" s="138" t="s">
        <v>487</v>
      </c>
      <c r="D317" s="138"/>
      <c r="E317" s="9">
        <v>22</v>
      </c>
      <c r="F317" s="138"/>
      <c r="G317" s="9" t="s">
        <v>12</v>
      </c>
      <c r="H317" s="9" t="s">
        <v>230</v>
      </c>
      <c r="J317" s="9" t="s">
        <v>254</v>
      </c>
      <c r="L317" s="9" t="s">
        <v>493</v>
      </c>
      <c r="M317" s="9" t="s">
        <v>493</v>
      </c>
      <c r="N317" s="9" t="s">
        <v>493</v>
      </c>
      <c r="O317" s="9" t="s">
        <v>493</v>
      </c>
      <c r="P317" s="21">
        <v>15.5319</v>
      </c>
      <c r="Q317" s="116">
        <v>44756</v>
      </c>
      <c r="R317" s="140">
        <v>44894</v>
      </c>
      <c r="S317" s="141">
        <v>138</v>
      </c>
      <c r="T317" s="21">
        <v>0.02</v>
      </c>
      <c r="V317" s="9" t="s">
        <v>32</v>
      </c>
      <c r="W317" s="9">
        <v>2</v>
      </c>
      <c r="X317" s="121" t="s">
        <v>152</v>
      </c>
      <c r="Y317" s="140">
        <v>44908</v>
      </c>
      <c r="Z317" s="21">
        <v>7.25</v>
      </c>
      <c r="AA317" s="23">
        <v>2</v>
      </c>
      <c r="AB317" s="32" t="s">
        <v>158</v>
      </c>
      <c r="AC317" s="32" t="s">
        <v>187</v>
      </c>
      <c r="AD317" s="9" t="s">
        <v>178</v>
      </c>
      <c r="AE317" s="9" t="s">
        <v>226</v>
      </c>
      <c r="AF317" s="9">
        <v>235</v>
      </c>
      <c r="AG317" s="138" t="s">
        <v>718</v>
      </c>
      <c r="AH317" s="9" t="s">
        <v>1760</v>
      </c>
      <c r="AI317" s="9" t="s">
        <v>1790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7E39-107A-E74D-B1D1-4FE8BDADB71E}">
  <dimension ref="A1:AK149"/>
  <sheetViews>
    <sheetView topLeftCell="S1" zoomScaleNormal="100" workbookViewId="0">
      <pane ySplit="1" topLeftCell="A58" activePane="bottomLeft" state="frozen"/>
      <selection pane="bottomLeft" activeCell="S1" sqref="A1:XFD1"/>
    </sheetView>
  </sheetViews>
  <sheetFormatPr baseColWidth="10" defaultRowHeight="16"/>
  <cols>
    <col min="1" max="1" width="17" customWidth="1"/>
    <col min="2" max="2" width="17" style="11" customWidth="1"/>
    <col min="3" max="3" width="17" customWidth="1"/>
    <col min="4" max="4" width="5.5" bestFit="1" customWidth="1"/>
    <col min="5" max="5" width="4.33203125" bestFit="1" customWidth="1"/>
    <col min="6" max="6" width="7.1640625" bestFit="1" customWidth="1"/>
    <col min="7" max="7" width="5.6640625" bestFit="1" customWidth="1"/>
    <col min="8" max="8" width="5.5" bestFit="1" customWidth="1"/>
    <col min="9" max="9" width="8" bestFit="1" customWidth="1"/>
    <col min="10" max="10" width="9.6640625" bestFit="1" customWidth="1"/>
    <col min="11" max="11" width="7.5" bestFit="1" customWidth="1"/>
    <col min="12" max="15" width="7.5" customWidth="1"/>
    <col min="16" max="16" width="14.83203125" style="7" bestFit="1" customWidth="1"/>
    <col min="17" max="17" width="11.83203125" style="11" bestFit="1" customWidth="1"/>
    <col min="18" max="18" width="12.6640625" style="11" bestFit="1" customWidth="1"/>
    <col min="19" max="19" width="19" style="7" bestFit="1" customWidth="1"/>
    <col min="20" max="20" width="18.5" style="7" bestFit="1" customWidth="1"/>
    <col min="21" max="21" width="14.6640625" style="7" bestFit="1" customWidth="1"/>
    <col min="22" max="22" width="8.6640625" bestFit="1" customWidth="1"/>
    <col min="23" max="23" width="15.1640625" bestFit="1" customWidth="1"/>
    <col min="24" max="24" width="12.6640625" style="11" bestFit="1" customWidth="1"/>
    <col min="25" max="26" width="10.1640625" style="11" bestFit="1" customWidth="1"/>
    <col min="27" max="27" width="12.5" style="7" bestFit="1" customWidth="1"/>
    <col min="28" max="28" width="8.83203125" style="7" bestFit="1" customWidth="1"/>
    <col min="29" max="29" width="11" style="26" bestFit="1" customWidth="1"/>
    <col min="30" max="30" width="10.33203125" style="26" bestFit="1" customWidth="1"/>
    <col min="31" max="31" width="11.33203125" style="26" bestFit="1" customWidth="1"/>
    <col min="32" max="32" width="11" style="26" bestFit="1" customWidth="1"/>
    <col min="33" max="33" width="9.5" bestFit="1" customWidth="1"/>
    <col min="34" max="34" width="18" bestFit="1" customWidth="1"/>
    <col min="35" max="35" width="16.83203125" bestFit="1" customWidth="1"/>
    <col min="36" max="36" width="25" bestFit="1" customWidth="1"/>
    <col min="37" max="37" width="20.33203125" bestFit="1" customWidth="1"/>
    <col min="38" max="40" width="11.1640625" customWidth="1"/>
  </cols>
  <sheetData>
    <row r="1" spans="1:37" s="2" customFormat="1">
      <c r="A1" s="5" t="s">
        <v>732</v>
      </c>
      <c r="B1" s="1" t="s">
        <v>482</v>
      </c>
      <c r="C1" s="1" t="s">
        <v>483</v>
      </c>
      <c r="D1" s="1" t="s">
        <v>231</v>
      </c>
      <c r="E1" s="2" t="s">
        <v>0</v>
      </c>
      <c r="F1" s="24" t="s">
        <v>246</v>
      </c>
      <c r="G1" s="24" t="s">
        <v>488</v>
      </c>
      <c r="H1" s="24" t="s">
        <v>60</v>
      </c>
      <c r="I1" s="24" t="s">
        <v>232</v>
      </c>
      <c r="J1" s="2" t="s">
        <v>1</v>
      </c>
      <c r="K1" s="24" t="s">
        <v>233</v>
      </c>
      <c r="L1" s="24" t="s">
        <v>489</v>
      </c>
      <c r="M1" s="24" t="s">
        <v>490</v>
      </c>
      <c r="N1" s="24" t="s">
        <v>491</v>
      </c>
      <c r="O1" s="24" t="s">
        <v>492</v>
      </c>
      <c r="P1" s="19" t="s">
        <v>8</v>
      </c>
      <c r="Q1" s="20" t="s">
        <v>61</v>
      </c>
      <c r="R1" s="20" t="s">
        <v>62</v>
      </c>
      <c r="S1" s="19" t="s">
        <v>242</v>
      </c>
      <c r="T1" s="13" t="s">
        <v>7</v>
      </c>
      <c r="U1" s="13" t="s">
        <v>21</v>
      </c>
      <c r="V1" s="5" t="s">
        <v>22</v>
      </c>
      <c r="W1" s="5" t="s">
        <v>23</v>
      </c>
      <c r="X1" s="12" t="s">
        <v>63</v>
      </c>
      <c r="Y1" s="12" t="s">
        <v>24</v>
      </c>
      <c r="Z1" s="17" t="s">
        <v>25</v>
      </c>
      <c r="AA1" s="13" t="s">
        <v>30</v>
      </c>
      <c r="AB1" s="16" t="s">
        <v>64</v>
      </c>
      <c r="AC1" s="1" t="s">
        <v>183</v>
      </c>
      <c r="AD1" s="1" t="s">
        <v>65</v>
      </c>
      <c r="AE1" s="1" t="s">
        <v>182</v>
      </c>
      <c r="AF1" s="1" t="s">
        <v>66</v>
      </c>
      <c r="AG1" s="5" t="s">
        <v>26</v>
      </c>
      <c r="AH1" s="5" t="s">
        <v>27</v>
      </c>
      <c r="AI1" s="5" t="s">
        <v>28</v>
      </c>
      <c r="AJ1" s="5" t="s">
        <v>29</v>
      </c>
      <c r="AK1" s="2" t="s">
        <v>245</v>
      </c>
    </row>
    <row r="2" spans="1:37">
      <c r="A2" s="5" t="s">
        <v>650</v>
      </c>
      <c r="B2" s="103">
        <v>44746</v>
      </c>
      <c r="C2" s="5" t="s">
        <v>487</v>
      </c>
      <c r="D2" s="1" t="s">
        <v>256</v>
      </c>
      <c r="E2" s="2">
        <v>1</v>
      </c>
      <c r="F2" s="1" t="s">
        <v>256</v>
      </c>
      <c r="G2" s="2" t="s">
        <v>9</v>
      </c>
      <c r="H2" s="2" t="s">
        <v>10</v>
      </c>
      <c r="I2" s="1"/>
      <c r="J2" s="2" t="s">
        <v>253</v>
      </c>
      <c r="K2" s="1" t="s">
        <v>256</v>
      </c>
      <c r="L2" s="1" t="s">
        <v>493</v>
      </c>
      <c r="M2" s="1" t="s">
        <v>493</v>
      </c>
      <c r="N2" s="1" t="s">
        <v>493</v>
      </c>
      <c r="O2" s="1" t="s">
        <v>493</v>
      </c>
      <c r="P2" s="8">
        <v>12.436400000000001</v>
      </c>
      <c r="Q2" s="117">
        <f>B2</f>
        <v>44746</v>
      </c>
      <c r="R2" s="20">
        <v>44860</v>
      </c>
      <c r="S2" s="33">
        <f>R2-Q2</f>
        <v>114</v>
      </c>
      <c r="T2" s="7">
        <v>13.6</v>
      </c>
      <c r="V2" t="s">
        <v>35</v>
      </c>
      <c r="W2">
        <v>1</v>
      </c>
      <c r="X2" s="11" t="s">
        <v>41</v>
      </c>
      <c r="Y2" s="28">
        <v>45043</v>
      </c>
      <c r="Z2" s="28">
        <v>45047</v>
      </c>
      <c r="AA2" s="29">
        <v>35.566778502980334</v>
      </c>
      <c r="AB2" s="22">
        <v>4</v>
      </c>
      <c r="AC2" s="30" t="s">
        <v>42</v>
      </c>
      <c r="AD2" s="30" t="s">
        <v>193</v>
      </c>
      <c r="AE2" s="30" t="s">
        <v>173</v>
      </c>
      <c r="AF2" s="30" t="s">
        <v>221</v>
      </c>
      <c r="AG2">
        <v>289</v>
      </c>
      <c r="AH2" t="s">
        <v>760</v>
      </c>
      <c r="AI2" t="s">
        <v>1698</v>
      </c>
    </row>
    <row r="3" spans="1:37">
      <c r="A3" s="5" t="s">
        <v>651</v>
      </c>
      <c r="B3" s="103">
        <v>44746</v>
      </c>
      <c r="C3" s="5" t="s">
        <v>487</v>
      </c>
      <c r="D3" s="1" t="s">
        <v>256</v>
      </c>
      <c r="E3" s="2">
        <v>2</v>
      </c>
      <c r="F3" s="1" t="s">
        <v>256</v>
      </c>
      <c r="G3" s="2" t="s">
        <v>11</v>
      </c>
      <c r="H3" s="2" t="s">
        <v>10</v>
      </c>
      <c r="I3" s="1"/>
      <c r="J3" s="2" t="s">
        <v>40</v>
      </c>
      <c r="K3" s="1" t="s">
        <v>256</v>
      </c>
      <c r="L3" s="1" t="s">
        <v>493</v>
      </c>
      <c r="M3" s="1" t="s">
        <v>493</v>
      </c>
      <c r="N3" s="1" t="s">
        <v>493</v>
      </c>
      <c r="O3" s="1" t="s">
        <v>493</v>
      </c>
      <c r="P3" s="8">
        <v>13.9336</v>
      </c>
      <c r="Q3" s="117">
        <f t="shared" ref="Q3:Q66" si="0">B3</f>
        <v>44746</v>
      </c>
      <c r="R3" s="20">
        <v>44861</v>
      </c>
      <c r="S3" s="33">
        <f t="shared" ref="S3:S66" si="1">R3-Q3</f>
        <v>115</v>
      </c>
      <c r="T3" s="7">
        <v>9.34</v>
      </c>
      <c r="V3" t="s">
        <v>35</v>
      </c>
      <c r="W3">
        <v>1</v>
      </c>
      <c r="X3" s="11" t="s">
        <v>48</v>
      </c>
      <c r="Y3" s="28">
        <v>45043</v>
      </c>
      <c r="Z3" s="28">
        <v>45047</v>
      </c>
      <c r="AA3" s="29">
        <v>24.43102337196672</v>
      </c>
      <c r="AB3" s="22">
        <v>4</v>
      </c>
      <c r="AC3" s="30" t="s">
        <v>198</v>
      </c>
      <c r="AD3" s="30" t="s">
        <v>199</v>
      </c>
      <c r="AE3" s="30" t="s">
        <v>173</v>
      </c>
      <c r="AF3" s="30" t="s">
        <v>221</v>
      </c>
      <c r="AG3">
        <v>325</v>
      </c>
      <c r="AH3" t="s">
        <v>761</v>
      </c>
      <c r="AI3" t="s">
        <v>1698</v>
      </c>
    </row>
    <row r="4" spans="1:37">
      <c r="A4" s="5" t="s">
        <v>652</v>
      </c>
      <c r="B4" s="103">
        <v>44746</v>
      </c>
      <c r="C4" s="5" t="s">
        <v>487</v>
      </c>
      <c r="D4" s="1" t="s">
        <v>256</v>
      </c>
      <c r="E4" s="2">
        <v>3</v>
      </c>
      <c r="F4" s="1" t="s">
        <v>256</v>
      </c>
      <c r="G4" s="2" t="s">
        <v>12</v>
      </c>
      <c r="H4" s="2" t="s">
        <v>13</v>
      </c>
      <c r="I4" s="1"/>
      <c r="J4" s="2" t="s">
        <v>254</v>
      </c>
      <c r="K4" s="1" t="s">
        <v>256</v>
      </c>
      <c r="L4" s="1" t="s">
        <v>493</v>
      </c>
      <c r="M4" s="1" t="s">
        <v>493</v>
      </c>
      <c r="N4" s="1" t="s">
        <v>493</v>
      </c>
      <c r="O4" s="1" t="s">
        <v>493</v>
      </c>
      <c r="P4" s="8">
        <v>12.9116</v>
      </c>
      <c r="Q4" s="117">
        <f t="shared" si="0"/>
        <v>44746</v>
      </c>
      <c r="R4" s="20">
        <v>44860</v>
      </c>
      <c r="S4" s="33">
        <f t="shared" si="1"/>
        <v>114</v>
      </c>
      <c r="T4" s="7">
        <v>16.7</v>
      </c>
      <c r="V4" t="s">
        <v>35</v>
      </c>
      <c r="W4">
        <v>1</v>
      </c>
      <c r="X4" s="11" t="s">
        <v>54</v>
      </c>
      <c r="Y4" s="28">
        <v>45043</v>
      </c>
      <c r="Z4" s="28">
        <v>45047</v>
      </c>
      <c r="AA4" s="29">
        <v>24.442153390527476</v>
      </c>
      <c r="AB4" s="22">
        <v>4</v>
      </c>
      <c r="AC4" s="30" t="s">
        <v>204</v>
      </c>
      <c r="AD4" s="30" t="s">
        <v>205</v>
      </c>
      <c r="AE4" s="30" t="s">
        <v>173</v>
      </c>
      <c r="AF4" s="30" t="s">
        <v>221</v>
      </c>
      <c r="AG4">
        <v>361</v>
      </c>
      <c r="AH4" t="s">
        <v>762</v>
      </c>
      <c r="AI4" t="s">
        <v>1698</v>
      </c>
    </row>
    <row r="5" spans="1:37">
      <c r="A5" s="5" t="s">
        <v>653</v>
      </c>
      <c r="B5" s="103">
        <v>44746</v>
      </c>
      <c r="C5" s="5" t="s">
        <v>487</v>
      </c>
      <c r="D5" s="1" t="s">
        <v>256</v>
      </c>
      <c r="E5" s="2">
        <v>4</v>
      </c>
      <c r="F5" s="1" t="s">
        <v>256</v>
      </c>
      <c r="G5" s="2" t="s">
        <v>14</v>
      </c>
      <c r="H5" s="2" t="s">
        <v>13</v>
      </c>
      <c r="I5" s="1"/>
      <c r="J5" s="2" t="s">
        <v>40</v>
      </c>
      <c r="K5" s="1" t="s">
        <v>256</v>
      </c>
      <c r="L5" s="1" t="s">
        <v>493</v>
      </c>
      <c r="M5" s="1" t="s">
        <v>493</v>
      </c>
      <c r="N5" s="1" t="s">
        <v>493</v>
      </c>
      <c r="O5" s="1" t="s">
        <v>493</v>
      </c>
      <c r="P5" s="8">
        <v>13.4499</v>
      </c>
      <c r="Q5" s="117">
        <f t="shared" si="0"/>
        <v>44746</v>
      </c>
      <c r="R5" s="20">
        <v>44861</v>
      </c>
      <c r="S5" s="33">
        <f t="shared" si="1"/>
        <v>115</v>
      </c>
      <c r="T5" s="7">
        <v>45.6</v>
      </c>
      <c r="V5" t="s">
        <v>35</v>
      </c>
      <c r="W5">
        <v>1</v>
      </c>
      <c r="X5" s="11" t="s">
        <v>78</v>
      </c>
      <c r="Y5" s="28">
        <v>45043</v>
      </c>
      <c r="Z5" s="28">
        <v>45047</v>
      </c>
      <c r="AA5" s="29">
        <v>27.804319691018677</v>
      </c>
      <c r="AB5" s="22">
        <v>4</v>
      </c>
      <c r="AC5" s="30" t="s">
        <v>194</v>
      </c>
      <c r="AD5" s="30" t="s">
        <v>195</v>
      </c>
      <c r="AE5" s="30" t="s">
        <v>234</v>
      </c>
      <c r="AF5" s="30" t="s">
        <v>235</v>
      </c>
      <c r="AG5">
        <v>310</v>
      </c>
      <c r="AH5" t="s">
        <v>763</v>
      </c>
      <c r="AI5" t="s">
        <v>1698</v>
      </c>
    </row>
    <row r="6" spans="1:37">
      <c r="A6" s="5" t="s">
        <v>654</v>
      </c>
      <c r="B6" s="103">
        <v>44746</v>
      </c>
      <c r="C6" s="5" t="s">
        <v>487</v>
      </c>
      <c r="D6" s="1" t="s">
        <v>256</v>
      </c>
      <c r="E6" s="2">
        <v>5</v>
      </c>
      <c r="F6" s="1" t="s">
        <v>256</v>
      </c>
      <c r="G6" s="2" t="s">
        <v>15</v>
      </c>
      <c r="H6" s="2" t="s">
        <v>13</v>
      </c>
      <c r="I6" s="1"/>
      <c r="J6" s="2" t="s">
        <v>253</v>
      </c>
      <c r="K6" s="1" t="s">
        <v>256</v>
      </c>
      <c r="L6" s="1" t="s">
        <v>493</v>
      </c>
      <c r="M6" s="1" t="s">
        <v>493</v>
      </c>
      <c r="N6" s="1" t="s">
        <v>493</v>
      </c>
      <c r="O6" s="1" t="s">
        <v>493</v>
      </c>
      <c r="P6" s="8">
        <v>12.716799999999999</v>
      </c>
      <c r="Q6" s="117">
        <f t="shared" si="0"/>
        <v>44746</v>
      </c>
      <c r="R6" s="20">
        <v>44861</v>
      </c>
      <c r="S6" s="33">
        <f t="shared" si="1"/>
        <v>115</v>
      </c>
      <c r="T6" s="7">
        <v>11.5</v>
      </c>
      <c r="V6" t="s">
        <v>35</v>
      </c>
      <c r="W6">
        <v>1</v>
      </c>
      <c r="X6" s="11" t="s">
        <v>144</v>
      </c>
      <c r="Y6" s="28">
        <v>45043</v>
      </c>
      <c r="Z6" s="28">
        <v>45047</v>
      </c>
      <c r="AA6" s="29">
        <v>18.3370272556784</v>
      </c>
      <c r="AB6" s="22">
        <v>4</v>
      </c>
      <c r="AC6" s="30" t="s">
        <v>200</v>
      </c>
      <c r="AD6" s="30" t="s">
        <v>201</v>
      </c>
      <c r="AE6" s="30" t="s">
        <v>234</v>
      </c>
      <c r="AF6" s="30" t="s">
        <v>235</v>
      </c>
      <c r="AG6">
        <v>346</v>
      </c>
      <c r="AH6" t="s">
        <v>764</v>
      </c>
      <c r="AI6" t="s">
        <v>1698</v>
      </c>
    </row>
    <row r="7" spans="1:37">
      <c r="A7" s="5" t="s">
        <v>655</v>
      </c>
      <c r="B7" s="103">
        <v>44746</v>
      </c>
      <c r="C7" s="5" t="s">
        <v>487</v>
      </c>
      <c r="D7" s="1" t="s">
        <v>256</v>
      </c>
      <c r="E7" s="2">
        <v>6</v>
      </c>
      <c r="F7" s="1" t="s">
        <v>256</v>
      </c>
      <c r="G7" s="2" t="s">
        <v>16</v>
      </c>
      <c r="H7" s="2" t="s">
        <v>10</v>
      </c>
      <c r="I7" s="1"/>
      <c r="J7" s="2" t="s">
        <v>254</v>
      </c>
      <c r="K7" s="1" t="s">
        <v>256</v>
      </c>
      <c r="L7" s="1" t="s">
        <v>493</v>
      </c>
      <c r="M7" s="1" t="s">
        <v>493</v>
      </c>
      <c r="N7" s="1" t="s">
        <v>493</v>
      </c>
      <c r="O7" s="1" t="s">
        <v>493</v>
      </c>
      <c r="P7" s="8">
        <v>13.0137</v>
      </c>
      <c r="Q7" s="117">
        <f t="shared" si="0"/>
        <v>44746</v>
      </c>
      <c r="R7" s="20">
        <v>44865</v>
      </c>
      <c r="S7" s="33">
        <f t="shared" si="1"/>
        <v>119</v>
      </c>
      <c r="T7" s="7">
        <v>8.4</v>
      </c>
      <c r="V7" t="s">
        <v>35</v>
      </c>
      <c r="W7">
        <v>1</v>
      </c>
      <c r="X7" s="11" t="s">
        <v>85</v>
      </c>
      <c r="Y7" s="28">
        <v>45043</v>
      </c>
      <c r="Z7" s="28">
        <v>45047</v>
      </c>
      <c r="AA7" s="29">
        <v>28.929062751645109</v>
      </c>
      <c r="AB7" s="22">
        <v>4</v>
      </c>
      <c r="AC7" s="30" t="s">
        <v>206</v>
      </c>
      <c r="AD7" s="30" t="s">
        <v>207</v>
      </c>
      <c r="AE7" s="30" t="s">
        <v>234</v>
      </c>
      <c r="AF7" s="30" t="s">
        <v>235</v>
      </c>
      <c r="AG7">
        <v>382</v>
      </c>
      <c r="AH7" t="s">
        <v>765</v>
      </c>
      <c r="AI7" t="s">
        <v>1698</v>
      </c>
    </row>
    <row r="8" spans="1:37">
      <c r="A8" s="5" t="s">
        <v>656</v>
      </c>
      <c r="B8" s="103">
        <v>44746</v>
      </c>
      <c r="C8" s="5" t="s">
        <v>487</v>
      </c>
      <c r="D8" s="1" t="s">
        <v>256</v>
      </c>
      <c r="E8" s="2">
        <v>7</v>
      </c>
      <c r="F8" s="1" t="s">
        <v>256</v>
      </c>
      <c r="G8" s="2" t="s">
        <v>14</v>
      </c>
      <c r="H8" s="2" t="s">
        <v>13</v>
      </c>
      <c r="I8" s="1"/>
      <c r="J8" s="2" t="s">
        <v>40</v>
      </c>
      <c r="K8" s="1" t="s">
        <v>256</v>
      </c>
      <c r="L8" s="1" t="s">
        <v>493</v>
      </c>
      <c r="M8" s="1" t="s">
        <v>493</v>
      </c>
      <c r="N8" s="1" t="s">
        <v>493</v>
      </c>
      <c r="O8" s="1" t="s">
        <v>493</v>
      </c>
      <c r="P8" s="8">
        <v>12.9778</v>
      </c>
      <c r="Q8" s="117">
        <f t="shared" si="0"/>
        <v>44746</v>
      </c>
      <c r="R8" s="20">
        <v>44861</v>
      </c>
      <c r="S8" s="33">
        <f t="shared" si="1"/>
        <v>115</v>
      </c>
      <c r="T8" s="7">
        <v>19.600000000000001</v>
      </c>
      <c r="V8" t="s">
        <v>35</v>
      </c>
      <c r="W8">
        <v>1</v>
      </c>
      <c r="X8" s="11" t="s">
        <v>83</v>
      </c>
      <c r="Y8" s="28">
        <v>45043</v>
      </c>
      <c r="Z8" s="28">
        <v>45047</v>
      </c>
      <c r="AA8" s="29">
        <v>26.623637028435159</v>
      </c>
      <c r="AB8" s="22">
        <v>4</v>
      </c>
      <c r="AC8" s="30" t="s">
        <v>196</v>
      </c>
      <c r="AD8" s="30" t="s">
        <v>197</v>
      </c>
      <c r="AE8" s="30" t="s">
        <v>236</v>
      </c>
      <c r="AF8" s="30" t="s">
        <v>237</v>
      </c>
      <c r="AG8">
        <v>323</v>
      </c>
      <c r="AH8" t="s">
        <v>766</v>
      </c>
      <c r="AI8" t="s">
        <v>1698</v>
      </c>
    </row>
    <row r="9" spans="1:37">
      <c r="A9" s="5" t="s">
        <v>657</v>
      </c>
      <c r="B9" s="103">
        <v>44746</v>
      </c>
      <c r="C9" s="5" t="s">
        <v>487</v>
      </c>
      <c r="D9" s="1" t="s">
        <v>256</v>
      </c>
      <c r="E9" s="2">
        <v>8</v>
      </c>
      <c r="F9" s="1" t="s">
        <v>256</v>
      </c>
      <c r="G9" s="2" t="s">
        <v>15</v>
      </c>
      <c r="H9" s="2" t="s">
        <v>13</v>
      </c>
      <c r="I9" s="1"/>
      <c r="J9" s="2" t="s">
        <v>253</v>
      </c>
      <c r="K9" s="1" t="s">
        <v>256</v>
      </c>
      <c r="L9" s="1" t="s">
        <v>493</v>
      </c>
      <c r="M9" s="1" t="s">
        <v>493</v>
      </c>
      <c r="N9" s="1" t="s">
        <v>493</v>
      </c>
      <c r="O9" s="1" t="s">
        <v>493</v>
      </c>
      <c r="P9" s="8">
        <v>12.31</v>
      </c>
      <c r="Q9" s="117">
        <f t="shared" si="0"/>
        <v>44746</v>
      </c>
      <c r="R9" s="20">
        <v>44865</v>
      </c>
      <c r="S9" s="33">
        <f t="shared" si="1"/>
        <v>119</v>
      </c>
      <c r="T9" s="7">
        <v>11.8</v>
      </c>
      <c r="V9" t="s">
        <v>35</v>
      </c>
      <c r="W9">
        <v>1</v>
      </c>
      <c r="X9" s="11" t="s">
        <v>90</v>
      </c>
      <c r="Y9" s="28">
        <v>45043</v>
      </c>
      <c r="Z9" s="28">
        <v>45047</v>
      </c>
      <c r="AA9" s="29">
        <v>23.463312220610263</v>
      </c>
      <c r="AB9" s="22">
        <v>4</v>
      </c>
      <c r="AC9" s="30" t="s">
        <v>202</v>
      </c>
      <c r="AD9" s="30" t="s">
        <v>203</v>
      </c>
      <c r="AE9" s="30" t="s">
        <v>236</v>
      </c>
      <c r="AF9" s="30" t="s">
        <v>237</v>
      </c>
      <c r="AG9">
        <v>359</v>
      </c>
      <c r="AH9" t="s">
        <v>767</v>
      </c>
      <c r="AI9" t="s">
        <v>1698</v>
      </c>
    </row>
    <row r="10" spans="1:37">
      <c r="A10" s="5" t="s">
        <v>658</v>
      </c>
      <c r="B10" s="103">
        <v>44746</v>
      </c>
      <c r="C10" s="5" t="s">
        <v>487</v>
      </c>
      <c r="D10" s="1" t="s">
        <v>256</v>
      </c>
      <c r="E10" s="2">
        <v>9</v>
      </c>
      <c r="F10" s="1" t="s">
        <v>256</v>
      </c>
      <c r="G10" s="2" t="s">
        <v>12</v>
      </c>
      <c r="H10" s="2" t="s">
        <v>13</v>
      </c>
      <c r="I10" s="1"/>
      <c r="J10" s="2" t="s">
        <v>254</v>
      </c>
      <c r="K10" s="1" t="s">
        <v>256</v>
      </c>
      <c r="L10" s="1" t="s">
        <v>493</v>
      </c>
      <c r="M10" s="1" t="s">
        <v>493</v>
      </c>
      <c r="N10" s="1" t="s">
        <v>493</v>
      </c>
      <c r="O10" s="1" t="s">
        <v>493</v>
      </c>
      <c r="P10" s="8">
        <v>12.4062</v>
      </c>
      <c r="Q10" s="117">
        <f t="shared" si="0"/>
        <v>44746</v>
      </c>
      <c r="R10" s="20">
        <v>44886</v>
      </c>
      <c r="S10" s="33">
        <f t="shared" si="1"/>
        <v>140</v>
      </c>
      <c r="T10" s="7">
        <v>7.49</v>
      </c>
      <c r="V10" t="s">
        <v>35</v>
      </c>
      <c r="W10">
        <v>1</v>
      </c>
      <c r="X10" s="11" t="s">
        <v>86</v>
      </c>
      <c r="Y10" s="28">
        <v>45043</v>
      </c>
      <c r="Z10" s="28">
        <v>45047</v>
      </c>
      <c r="AA10" s="29">
        <v>28.158228547103676</v>
      </c>
      <c r="AB10" s="22">
        <v>4</v>
      </c>
      <c r="AC10" s="30" t="s">
        <v>42</v>
      </c>
      <c r="AD10" s="30" t="s">
        <v>193</v>
      </c>
      <c r="AE10" s="30" t="s">
        <v>238</v>
      </c>
      <c r="AF10" s="30" t="s">
        <v>239</v>
      </c>
      <c r="AG10">
        <v>300</v>
      </c>
      <c r="AH10" t="s">
        <v>658</v>
      </c>
      <c r="AI10" t="s">
        <v>1698</v>
      </c>
      <c r="AK10" t="s">
        <v>809</v>
      </c>
    </row>
    <row r="11" spans="1:37">
      <c r="A11" s="5" t="s">
        <v>659</v>
      </c>
      <c r="B11" s="103">
        <v>44746</v>
      </c>
      <c r="C11" s="5" t="s">
        <v>487</v>
      </c>
      <c r="D11" s="1" t="s">
        <v>256</v>
      </c>
      <c r="E11" s="2">
        <v>10</v>
      </c>
      <c r="F11" s="1" t="s">
        <v>256</v>
      </c>
      <c r="G11" s="2" t="s">
        <v>11</v>
      </c>
      <c r="H11" s="2" t="s">
        <v>10</v>
      </c>
      <c r="I11" s="1"/>
      <c r="J11" s="2" t="s">
        <v>40</v>
      </c>
      <c r="K11" s="1" t="s">
        <v>256</v>
      </c>
      <c r="L11" s="1" t="s">
        <v>493</v>
      </c>
      <c r="M11" s="1" t="s">
        <v>493</v>
      </c>
      <c r="N11" s="1" t="s">
        <v>493</v>
      </c>
      <c r="O11" s="1" t="s">
        <v>493</v>
      </c>
      <c r="P11" s="8">
        <v>11.5768</v>
      </c>
      <c r="Q11" s="117">
        <f t="shared" si="0"/>
        <v>44746</v>
      </c>
      <c r="R11" s="20">
        <v>44861</v>
      </c>
      <c r="S11" s="33">
        <f t="shared" si="1"/>
        <v>115</v>
      </c>
      <c r="T11" s="7">
        <v>5.47</v>
      </c>
      <c r="V11" t="s">
        <v>35</v>
      </c>
      <c r="W11">
        <v>1</v>
      </c>
      <c r="X11" s="11" t="s">
        <v>94</v>
      </c>
      <c r="Y11" s="28">
        <v>45043</v>
      </c>
      <c r="Z11" s="28">
        <v>45047</v>
      </c>
      <c r="AA11" s="29">
        <v>18.836076700625018</v>
      </c>
      <c r="AB11" s="22">
        <v>4</v>
      </c>
      <c r="AC11" s="30" t="s">
        <v>196</v>
      </c>
      <c r="AD11" s="30" t="s">
        <v>197</v>
      </c>
      <c r="AE11" s="30" t="s">
        <v>238</v>
      </c>
      <c r="AF11" s="30" t="s">
        <v>239</v>
      </c>
      <c r="AG11">
        <v>324</v>
      </c>
      <c r="AH11" t="s">
        <v>659</v>
      </c>
      <c r="AI11" t="s">
        <v>1698</v>
      </c>
      <c r="AK11" t="s">
        <v>810</v>
      </c>
    </row>
    <row r="12" spans="1:37">
      <c r="A12" s="5" t="s">
        <v>660</v>
      </c>
      <c r="B12" s="103">
        <v>44746</v>
      </c>
      <c r="C12" s="5" t="s">
        <v>487</v>
      </c>
      <c r="D12" s="1" t="s">
        <v>256</v>
      </c>
      <c r="E12" s="2">
        <v>11</v>
      </c>
      <c r="F12" s="1" t="s">
        <v>256</v>
      </c>
      <c r="G12" s="2" t="s">
        <v>9</v>
      </c>
      <c r="H12" s="2" t="s">
        <v>10</v>
      </c>
      <c r="I12" s="1"/>
      <c r="J12" s="2" t="s">
        <v>253</v>
      </c>
      <c r="K12" s="1" t="s">
        <v>256</v>
      </c>
      <c r="L12" s="1" t="s">
        <v>493</v>
      </c>
      <c r="M12" s="1" t="s">
        <v>493</v>
      </c>
      <c r="N12" s="1" t="s">
        <v>493</v>
      </c>
      <c r="O12" s="1" t="s">
        <v>493</v>
      </c>
      <c r="P12" s="8">
        <v>12.589700000000001</v>
      </c>
      <c r="Q12" s="117">
        <f t="shared" si="0"/>
        <v>44746</v>
      </c>
      <c r="R12" s="20">
        <v>44886</v>
      </c>
      <c r="S12" s="33">
        <f t="shared" si="1"/>
        <v>140</v>
      </c>
      <c r="T12" s="7">
        <v>3</v>
      </c>
      <c r="V12" t="s">
        <v>35</v>
      </c>
      <c r="W12">
        <v>1</v>
      </c>
      <c r="X12" s="11" t="s">
        <v>148</v>
      </c>
      <c r="Y12" s="28">
        <v>45043</v>
      </c>
      <c r="Z12" s="28">
        <v>45047</v>
      </c>
      <c r="AA12" s="29">
        <v>27.000706616785312</v>
      </c>
      <c r="AB12" s="22">
        <v>4</v>
      </c>
      <c r="AC12" s="30" t="s">
        <v>202</v>
      </c>
      <c r="AD12" s="30" t="s">
        <v>203</v>
      </c>
      <c r="AE12" s="30" t="s">
        <v>238</v>
      </c>
      <c r="AF12" s="30" t="s">
        <v>239</v>
      </c>
      <c r="AG12">
        <v>360</v>
      </c>
      <c r="AH12" t="s">
        <v>660</v>
      </c>
      <c r="AI12" t="s">
        <v>1698</v>
      </c>
      <c r="AK12" t="s">
        <v>811</v>
      </c>
    </row>
    <row r="13" spans="1:37">
      <c r="A13" s="5" t="s">
        <v>661</v>
      </c>
      <c r="B13" s="103">
        <v>44746</v>
      </c>
      <c r="C13" s="5" t="s">
        <v>487</v>
      </c>
      <c r="D13" s="1" t="s">
        <v>256</v>
      </c>
      <c r="E13" s="2">
        <v>12</v>
      </c>
      <c r="F13" s="1" t="s">
        <v>256</v>
      </c>
      <c r="G13" s="2" t="s">
        <v>16</v>
      </c>
      <c r="H13" s="2" t="s">
        <v>10</v>
      </c>
      <c r="I13" s="1"/>
      <c r="J13" s="2" t="s">
        <v>254</v>
      </c>
      <c r="K13" s="1" t="s">
        <v>256</v>
      </c>
      <c r="L13" s="1" t="s">
        <v>493</v>
      </c>
      <c r="M13" s="1" t="s">
        <v>493</v>
      </c>
      <c r="N13" s="1" t="s">
        <v>493</v>
      </c>
      <c r="O13" s="1" t="s">
        <v>493</v>
      </c>
      <c r="P13" s="8">
        <v>13.649900000000001</v>
      </c>
      <c r="Q13" s="117">
        <f t="shared" si="0"/>
        <v>44746</v>
      </c>
      <c r="R13" s="20">
        <v>44861</v>
      </c>
      <c r="S13" s="33">
        <f t="shared" si="1"/>
        <v>115</v>
      </c>
      <c r="T13" s="7">
        <v>0.74</v>
      </c>
      <c r="V13" t="s">
        <v>35</v>
      </c>
      <c r="W13">
        <v>1</v>
      </c>
      <c r="X13" s="11" t="s">
        <v>92</v>
      </c>
      <c r="Y13" s="28">
        <v>45043</v>
      </c>
      <c r="Z13" s="28">
        <v>45047</v>
      </c>
      <c r="AA13" s="29">
        <v>26.803979785827561</v>
      </c>
      <c r="AB13" s="22">
        <v>4</v>
      </c>
      <c r="AC13" s="30" t="s">
        <v>42</v>
      </c>
      <c r="AD13" s="30" t="s">
        <v>193</v>
      </c>
      <c r="AE13" s="30" t="s">
        <v>181</v>
      </c>
      <c r="AF13" s="30" t="s">
        <v>229</v>
      </c>
      <c r="AG13">
        <v>293</v>
      </c>
      <c r="AH13" t="s">
        <v>661</v>
      </c>
      <c r="AI13" t="s">
        <v>1698</v>
      </c>
      <c r="AK13" t="s">
        <v>812</v>
      </c>
    </row>
    <row r="14" spans="1:37">
      <c r="A14" s="5" t="s">
        <v>662</v>
      </c>
      <c r="B14" s="103">
        <v>44746</v>
      </c>
      <c r="C14" s="5" t="s">
        <v>487</v>
      </c>
      <c r="D14" s="1" t="s">
        <v>256</v>
      </c>
      <c r="E14" s="2">
        <v>13</v>
      </c>
      <c r="F14" s="1" t="s">
        <v>256</v>
      </c>
      <c r="G14" s="2" t="s">
        <v>11</v>
      </c>
      <c r="H14" s="2" t="s">
        <v>10</v>
      </c>
      <c r="I14" s="1"/>
      <c r="J14" s="2" t="s">
        <v>40</v>
      </c>
      <c r="K14" s="1" t="s">
        <v>256</v>
      </c>
      <c r="L14" s="1" t="s">
        <v>493</v>
      </c>
      <c r="M14" s="1" t="s">
        <v>493</v>
      </c>
      <c r="N14" s="1" t="s">
        <v>493</v>
      </c>
      <c r="O14" s="1" t="s">
        <v>493</v>
      </c>
      <c r="P14" s="8">
        <v>12.9434</v>
      </c>
      <c r="Q14" s="117">
        <f t="shared" si="0"/>
        <v>44746</v>
      </c>
      <c r="R14" s="20">
        <v>44890</v>
      </c>
      <c r="S14" s="33">
        <f t="shared" si="1"/>
        <v>144</v>
      </c>
      <c r="T14" s="7">
        <v>0.82499999999999996</v>
      </c>
      <c r="V14" t="s">
        <v>35</v>
      </c>
      <c r="W14">
        <v>1</v>
      </c>
      <c r="X14" s="11" t="s">
        <v>141</v>
      </c>
      <c r="Y14" s="28">
        <v>45043</v>
      </c>
      <c r="Z14" s="28">
        <v>45047</v>
      </c>
      <c r="AA14" s="29">
        <v>12.214755745416372</v>
      </c>
      <c r="AB14" s="22">
        <v>4</v>
      </c>
      <c r="AC14" s="30" t="s">
        <v>198</v>
      </c>
      <c r="AD14" s="30" t="s">
        <v>199</v>
      </c>
      <c r="AE14" s="30" t="s">
        <v>181</v>
      </c>
      <c r="AF14" s="30" t="s">
        <v>229</v>
      </c>
      <c r="AG14">
        <v>329</v>
      </c>
      <c r="AH14" t="s">
        <v>662</v>
      </c>
      <c r="AI14" t="s">
        <v>1698</v>
      </c>
      <c r="AK14" t="s">
        <v>813</v>
      </c>
    </row>
    <row r="15" spans="1:37">
      <c r="A15" s="5" t="s">
        <v>663</v>
      </c>
      <c r="B15" s="103">
        <v>44746</v>
      </c>
      <c r="C15" s="5" t="s">
        <v>487</v>
      </c>
      <c r="D15" s="1" t="s">
        <v>256</v>
      </c>
      <c r="E15" s="2">
        <v>14</v>
      </c>
      <c r="F15" s="1" t="s">
        <v>256</v>
      </c>
      <c r="G15" s="2" t="s">
        <v>16</v>
      </c>
      <c r="H15" s="2" t="s">
        <v>10</v>
      </c>
      <c r="I15" s="1"/>
      <c r="J15" s="2" t="s">
        <v>254</v>
      </c>
      <c r="K15" s="1" t="s">
        <v>256</v>
      </c>
      <c r="L15" s="1" t="s">
        <v>493</v>
      </c>
      <c r="M15" s="1" t="s">
        <v>493</v>
      </c>
      <c r="N15" s="1" t="s">
        <v>493</v>
      </c>
      <c r="O15" s="1" t="s">
        <v>493</v>
      </c>
      <c r="P15" s="8">
        <v>13.630599999999999</v>
      </c>
      <c r="Q15" s="117">
        <f t="shared" si="0"/>
        <v>44746</v>
      </c>
      <c r="R15" s="20">
        <v>44890</v>
      </c>
      <c r="S15" s="33">
        <f t="shared" si="1"/>
        <v>144</v>
      </c>
      <c r="T15" s="7">
        <v>5.21</v>
      </c>
      <c r="V15" t="s">
        <v>35</v>
      </c>
      <c r="W15">
        <v>1</v>
      </c>
      <c r="X15" s="11" t="s">
        <v>104</v>
      </c>
      <c r="Y15" s="28">
        <v>45043</v>
      </c>
      <c r="Z15" s="28">
        <v>45047</v>
      </c>
      <c r="AA15" s="29">
        <v>26.564984618485909</v>
      </c>
      <c r="AB15" s="22">
        <v>4</v>
      </c>
      <c r="AC15" s="30" t="s">
        <v>204</v>
      </c>
      <c r="AD15" s="30" t="s">
        <v>205</v>
      </c>
      <c r="AE15" s="30" t="s">
        <v>181</v>
      </c>
      <c r="AF15" s="30" t="s">
        <v>229</v>
      </c>
      <c r="AG15">
        <v>365</v>
      </c>
      <c r="AH15" t="s">
        <v>663</v>
      </c>
      <c r="AI15" t="s">
        <v>1698</v>
      </c>
      <c r="AK15" t="s">
        <v>814</v>
      </c>
    </row>
    <row r="16" spans="1:37">
      <c r="A16" s="5" t="s">
        <v>664</v>
      </c>
      <c r="B16" s="103">
        <v>44746</v>
      </c>
      <c r="C16" s="5" t="s">
        <v>487</v>
      </c>
      <c r="D16" s="1" t="s">
        <v>256</v>
      </c>
      <c r="E16" s="2">
        <v>15</v>
      </c>
      <c r="F16" s="1" t="s">
        <v>256</v>
      </c>
      <c r="G16" s="2" t="s">
        <v>9</v>
      </c>
      <c r="H16" s="2" t="s">
        <v>10</v>
      </c>
      <c r="I16" s="1"/>
      <c r="J16" s="2" t="s">
        <v>253</v>
      </c>
      <c r="K16" s="1" t="s">
        <v>256</v>
      </c>
      <c r="L16" s="1" t="s">
        <v>493</v>
      </c>
      <c r="M16" s="1" t="s">
        <v>493</v>
      </c>
      <c r="N16" s="1" t="s">
        <v>493</v>
      </c>
      <c r="O16" s="1" t="s">
        <v>493</v>
      </c>
      <c r="P16" s="8">
        <v>12.42</v>
      </c>
      <c r="Q16" s="117">
        <f t="shared" si="0"/>
        <v>44746</v>
      </c>
      <c r="R16" s="20">
        <v>44890</v>
      </c>
      <c r="S16" s="33">
        <f t="shared" si="1"/>
        <v>144</v>
      </c>
      <c r="T16" s="7">
        <v>1.72</v>
      </c>
      <c r="V16" t="s">
        <v>35</v>
      </c>
      <c r="W16">
        <v>1</v>
      </c>
      <c r="X16" s="11" t="s">
        <v>106</v>
      </c>
      <c r="Y16" s="28">
        <v>45043</v>
      </c>
      <c r="Z16" s="28">
        <v>45047</v>
      </c>
      <c r="AA16" s="29">
        <v>19.682258342956832</v>
      </c>
      <c r="AB16" s="22">
        <v>4</v>
      </c>
      <c r="AC16" s="30" t="s">
        <v>194</v>
      </c>
      <c r="AD16" s="30" t="s">
        <v>195</v>
      </c>
      <c r="AE16" s="30" t="s">
        <v>177</v>
      </c>
      <c r="AF16" s="30" t="s">
        <v>225</v>
      </c>
      <c r="AG16">
        <v>306</v>
      </c>
      <c r="AH16" t="s">
        <v>664</v>
      </c>
      <c r="AI16" t="s">
        <v>1698</v>
      </c>
      <c r="AK16" t="s">
        <v>815</v>
      </c>
    </row>
    <row r="17" spans="1:37">
      <c r="A17" s="5" t="s">
        <v>665</v>
      </c>
      <c r="B17" s="103">
        <v>44746</v>
      </c>
      <c r="C17" s="5" t="s">
        <v>487</v>
      </c>
      <c r="D17" s="1" t="s">
        <v>256</v>
      </c>
      <c r="E17" s="2">
        <v>16</v>
      </c>
      <c r="F17" s="1" t="s">
        <v>256</v>
      </c>
      <c r="G17" s="2" t="s">
        <v>15</v>
      </c>
      <c r="H17" s="2" t="s">
        <v>13</v>
      </c>
      <c r="I17" s="1"/>
      <c r="J17" s="2" t="s">
        <v>253</v>
      </c>
      <c r="K17" s="1" t="s">
        <v>256</v>
      </c>
      <c r="L17" s="1" t="s">
        <v>493</v>
      </c>
      <c r="M17" s="1" t="s">
        <v>493</v>
      </c>
      <c r="N17" s="1" t="s">
        <v>493</v>
      </c>
      <c r="O17" s="1" t="s">
        <v>493</v>
      </c>
      <c r="P17" s="8">
        <v>12.292999999999999</v>
      </c>
      <c r="Q17" s="117">
        <f t="shared" si="0"/>
        <v>44746</v>
      </c>
      <c r="R17" s="20">
        <v>44890</v>
      </c>
      <c r="S17" s="33">
        <f t="shared" si="1"/>
        <v>144</v>
      </c>
      <c r="T17" s="7">
        <v>4.72</v>
      </c>
      <c r="V17" t="s">
        <v>35</v>
      </c>
      <c r="W17">
        <v>1</v>
      </c>
      <c r="X17" s="11" t="s">
        <v>98</v>
      </c>
      <c r="Y17" s="28">
        <v>45043</v>
      </c>
      <c r="Z17" s="28">
        <v>45047</v>
      </c>
      <c r="AA17" s="29">
        <v>18.512255351362249</v>
      </c>
      <c r="AB17" s="22">
        <v>4</v>
      </c>
      <c r="AC17" s="30" t="s">
        <v>200</v>
      </c>
      <c r="AD17" s="30" t="s">
        <v>201</v>
      </c>
      <c r="AE17" s="30" t="s">
        <v>177</v>
      </c>
      <c r="AF17" s="30" t="s">
        <v>225</v>
      </c>
      <c r="AG17">
        <v>342</v>
      </c>
      <c r="AH17" t="s">
        <v>665</v>
      </c>
      <c r="AI17" t="s">
        <v>1698</v>
      </c>
      <c r="AK17" t="s">
        <v>816</v>
      </c>
    </row>
    <row r="18" spans="1:37">
      <c r="A18" s="5" t="s">
        <v>666</v>
      </c>
      <c r="B18" s="103">
        <v>44746</v>
      </c>
      <c r="C18" s="5" t="s">
        <v>487</v>
      </c>
      <c r="D18" s="1" t="s">
        <v>256</v>
      </c>
      <c r="E18" s="2">
        <v>17</v>
      </c>
      <c r="F18" s="1" t="s">
        <v>256</v>
      </c>
      <c r="G18" s="2" t="s">
        <v>14</v>
      </c>
      <c r="H18" s="2" t="s">
        <v>13</v>
      </c>
      <c r="I18" s="1"/>
      <c r="J18" s="2" t="s">
        <v>40</v>
      </c>
      <c r="K18" s="1" t="s">
        <v>256</v>
      </c>
      <c r="L18" s="1" t="s">
        <v>493</v>
      </c>
      <c r="M18" s="1" t="s">
        <v>493</v>
      </c>
      <c r="N18" s="1" t="s">
        <v>493</v>
      </c>
      <c r="O18" s="1" t="s">
        <v>493</v>
      </c>
      <c r="P18" s="8">
        <v>11.5108</v>
      </c>
      <c r="Q18" s="117">
        <f t="shared" si="0"/>
        <v>44746</v>
      </c>
      <c r="R18" s="20">
        <v>44893</v>
      </c>
      <c r="S18" s="33">
        <f t="shared" si="1"/>
        <v>147</v>
      </c>
      <c r="T18" s="7">
        <v>3.2</v>
      </c>
      <c r="V18" t="s">
        <v>35</v>
      </c>
      <c r="W18">
        <v>1</v>
      </c>
      <c r="X18" s="11" t="s">
        <v>150</v>
      </c>
      <c r="Y18" s="28">
        <v>45043</v>
      </c>
      <c r="Z18" s="28">
        <v>45047</v>
      </c>
      <c r="AA18" s="29">
        <v>6.0360942856254418</v>
      </c>
      <c r="AB18" s="22">
        <v>4</v>
      </c>
      <c r="AC18" s="30" t="s">
        <v>206</v>
      </c>
      <c r="AD18" s="30" t="s">
        <v>207</v>
      </c>
      <c r="AE18" s="30" t="s">
        <v>177</v>
      </c>
      <c r="AF18" s="30" t="s">
        <v>225</v>
      </c>
      <c r="AG18">
        <v>378</v>
      </c>
      <c r="AH18" t="s">
        <v>666</v>
      </c>
      <c r="AI18" t="s">
        <v>1698</v>
      </c>
      <c r="AK18" t="s">
        <v>817</v>
      </c>
    </row>
    <row r="19" spans="1:37">
      <c r="A19" s="5" t="s">
        <v>667</v>
      </c>
      <c r="B19" s="103">
        <v>44746</v>
      </c>
      <c r="C19" s="5" t="s">
        <v>487</v>
      </c>
      <c r="D19" s="1" t="s">
        <v>256</v>
      </c>
      <c r="E19" s="2">
        <v>18</v>
      </c>
      <c r="F19" s="1" t="s">
        <v>256</v>
      </c>
      <c r="G19" s="2" t="s">
        <v>12</v>
      </c>
      <c r="H19" s="2" t="s">
        <v>13</v>
      </c>
      <c r="I19" s="1"/>
      <c r="J19" s="2" t="s">
        <v>254</v>
      </c>
      <c r="K19" s="1" t="s">
        <v>256</v>
      </c>
      <c r="L19" s="1" t="s">
        <v>493</v>
      </c>
      <c r="M19" s="1" t="s">
        <v>493</v>
      </c>
      <c r="N19" s="1" t="s">
        <v>493</v>
      </c>
      <c r="O19" s="1" t="s">
        <v>493</v>
      </c>
      <c r="P19" s="8">
        <v>12.6816</v>
      </c>
      <c r="Q19" s="117">
        <f t="shared" si="0"/>
        <v>44746</v>
      </c>
      <c r="R19" s="20">
        <v>44893</v>
      </c>
      <c r="S19" s="33">
        <f t="shared" si="1"/>
        <v>147</v>
      </c>
      <c r="T19" s="7">
        <v>1.47</v>
      </c>
      <c r="V19" t="s">
        <v>35</v>
      </c>
      <c r="W19">
        <v>1</v>
      </c>
      <c r="X19" s="11" t="s">
        <v>151</v>
      </c>
      <c r="Y19" s="28">
        <v>45043</v>
      </c>
      <c r="Z19" s="28">
        <v>45047</v>
      </c>
      <c r="AA19" s="29">
        <v>12.322753382163878</v>
      </c>
      <c r="AB19" s="22">
        <v>4</v>
      </c>
      <c r="AC19" s="30" t="s">
        <v>196</v>
      </c>
      <c r="AD19" s="30" t="s">
        <v>197</v>
      </c>
      <c r="AE19" s="30" t="s">
        <v>178</v>
      </c>
      <c r="AF19" s="30" t="s">
        <v>226</v>
      </c>
      <c r="AG19">
        <v>319</v>
      </c>
      <c r="AH19" t="s">
        <v>667</v>
      </c>
      <c r="AI19" t="s">
        <v>1698</v>
      </c>
      <c r="AK19" t="s">
        <v>818</v>
      </c>
    </row>
    <row r="20" spans="1:37">
      <c r="A20" s="5" t="s">
        <v>668</v>
      </c>
      <c r="B20" s="103">
        <v>44746</v>
      </c>
      <c r="C20" s="5" t="s">
        <v>487</v>
      </c>
      <c r="D20" s="1" t="s">
        <v>256</v>
      </c>
      <c r="E20" s="2">
        <v>19</v>
      </c>
      <c r="F20" s="1" t="s">
        <v>256</v>
      </c>
      <c r="G20" s="2" t="s">
        <v>9</v>
      </c>
      <c r="H20" s="2" t="s">
        <v>10</v>
      </c>
      <c r="I20" s="1"/>
      <c r="J20" s="2" t="s">
        <v>253</v>
      </c>
      <c r="K20" s="1" t="s">
        <v>256</v>
      </c>
      <c r="L20" s="1" t="s">
        <v>493</v>
      </c>
      <c r="M20" s="1" t="s">
        <v>493</v>
      </c>
      <c r="N20" s="1" t="s">
        <v>493</v>
      </c>
      <c r="O20" s="1" t="s">
        <v>493</v>
      </c>
      <c r="P20" s="8">
        <v>9.9705999999999992</v>
      </c>
      <c r="Q20" s="117">
        <f t="shared" si="0"/>
        <v>44746</v>
      </c>
      <c r="R20" s="20">
        <v>44893</v>
      </c>
      <c r="S20" s="33">
        <f t="shared" si="1"/>
        <v>147</v>
      </c>
      <c r="T20" s="7">
        <v>0.45600000000000002</v>
      </c>
      <c r="V20" t="s">
        <v>35</v>
      </c>
      <c r="W20">
        <v>1</v>
      </c>
      <c r="X20" s="11" t="s">
        <v>116</v>
      </c>
      <c r="Y20" s="28">
        <v>45043</v>
      </c>
      <c r="Z20" s="28">
        <v>45047</v>
      </c>
      <c r="AA20" s="29">
        <v>13.806058890450808</v>
      </c>
      <c r="AB20" s="22">
        <v>4</v>
      </c>
      <c r="AC20" s="30" t="s">
        <v>202</v>
      </c>
      <c r="AD20" s="30" t="s">
        <v>203</v>
      </c>
      <c r="AE20" s="30" t="s">
        <v>178</v>
      </c>
      <c r="AF20" s="30" t="s">
        <v>226</v>
      </c>
      <c r="AG20">
        <v>355</v>
      </c>
      <c r="AH20" t="s">
        <v>668</v>
      </c>
      <c r="AI20" t="s">
        <v>1698</v>
      </c>
      <c r="AK20" t="s">
        <v>819</v>
      </c>
    </row>
    <row r="21" spans="1:37">
      <c r="A21" s="5" t="s">
        <v>669</v>
      </c>
      <c r="B21" s="103">
        <v>44746</v>
      </c>
      <c r="C21" s="5" t="s">
        <v>487</v>
      </c>
      <c r="D21" s="1" t="s">
        <v>256</v>
      </c>
      <c r="E21" s="2">
        <v>20</v>
      </c>
      <c r="F21" s="1" t="s">
        <v>256</v>
      </c>
      <c r="G21" s="2" t="s">
        <v>11</v>
      </c>
      <c r="H21" s="2" t="s">
        <v>10</v>
      </c>
      <c r="I21" s="1"/>
      <c r="J21" s="2" t="s">
        <v>40</v>
      </c>
      <c r="K21" s="1" t="s">
        <v>256</v>
      </c>
      <c r="L21" s="1" t="s">
        <v>493</v>
      </c>
      <c r="M21" s="1" t="s">
        <v>493</v>
      </c>
      <c r="N21" s="1" t="s">
        <v>493</v>
      </c>
      <c r="O21" s="1" t="s">
        <v>493</v>
      </c>
      <c r="P21" s="8">
        <v>12.6433</v>
      </c>
      <c r="Q21" s="117">
        <f t="shared" si="0"/>
        <v>44746</v>
      </c>
      <c r="R21" s="20">
        <v>44894</v>
      </c>
      <c r="S21" s="33">
        <f t="shared" si="1"/>
        <v>148</v>
      </c>
      <c r="T21" s="7">
        <v>1.59</v>
      </c>
      <c r="V21" t="s">
        <v>35</v>
      </c>
      <c r="W21">
        <v>1</v>
      </c>
      <c r="X21" s="11" t="s">
        <v>108</v>
      </c>
      <c r="Y21" s="28">
        <v>45043</v>
      </c>
      <c r="Z21" s="28">
        <v>45047</v>
      </c>
      <c r="AA21" s="29">
        <v>19.570057462205654</v>
      </c>
      <c r="AB21" s="22">
        <v>4</v>
      </c>
      <c r="AC21" s="30" t="s">
        <v>42</v>
      </c>
      <c r="AD21" s="30" t="s">
        <v>193</v>
      </c>
      <c r="AE21" s="30" t="s">
        <v>179</v>
      </c>
      <c r="AF21" s="30" t="s">
        <v>227</v>
      </c>
      <c r="AG21">
        <v>296</v>
      </c>
      <c r="AH21" t="s">
        <v>669</v>
      </c>
      <c r="AI21" t="s">
        <v>1698</v>
      </c>
      <c r="AK21" t="s">
        <v>820</v>
      </c>
    </row>
    <row r="22" spans="1:37">
      <c r="A22" s="5" t="s">
        <v>670</v>
      </c>
      <c r="B22" s="103">
        <v>44746</v>
      </c>
      <c r="C22" s="5" t="s">
        <v>487</v>
      </c>
      <c r="D22" s="1" t="s">
        <v>256</v>
      </c>
      <c r="E22" s="2">
        <v>21</v>
      </c>
      <c r="F22" s="1" t="s">
        <v>256</v>
      </c>
      <c r="G22" s="2" t="s">
        <v>14</v>
      </c>
      <c r="H22" s="2" t="s">
        <v>13</v>
      </c>
      <c r="I22" s="1"/>
      <c r="J22" s="2" t="s">
        <v>40</v>
      </c>
      <c r="K22" s="1" t="s">
        <v>256</v>
      </c>
      <c r="L22" s="1" t="s">
        <v>493</v>
      </c>
      <c r="M22" s="1" t="s">
        <v>493</v>
      </c>
      <c r="N22" s="1" t="s">
        <v>493</v>
      </c>
      <c r="O22" s="1" t="s">
        <v>493</v>
      </c>
      <c r="P22" s="8">
        <v>11.9725</v>
      </c>
      <c r="Q22" s="117">
        <f t="shared" si="0"/>
        <v>44746</v>
      </c>
      <c r="R22" s="20">
        <v>44893</v>
      </c>
      <c r="S22" s="33">
        <f t="shared" si="1"/>
        <v>147</v>
      </c>
      <c r="U22" s="7">
        <v>0.14299999999999999</v>
      </c>
      <c r="V22" t="s">
        <v>35</v>
      </c>
      <c r="W22">
        <v>1</v>
      </c>
      <c r="X22" s="11" t="s">
        <v>140</v>
      </c>
      <c r="Y22" s="28">
        <v>45043</v>
      </c>
      <c r="Z22" s="28">
        <v>45047</v>
      </c>
      <c r="AA22" s="29">
        <v>13.046354704470129</v>
      </c>
      <c r="AB22" s="22">
        <v>4</v>
      </c>
      <c r="AC22" s="30" t="s">
        <v>198</v>
      </c>
      <c r="AD22" s="30" t="s">
        <v>199</v>
      </c>
      <c r="AE22" s="30" t="s">
        <v>179</v>
      </c>
      <c r="AF22" s="30" t="s">
        <v>227</v>
      </c>
      <c r="AG22">
        <v>332</v>
      </c>
      <c r="AH22" t="s">
        <v>768</v>
      </c>
      <c r="AI22" t="s">
        <v>1698</v>
      </c>
      <c r="AK22" t="s">
        <v>821</v>
      </c>
    </row>
    <row r="23" spans="1:37">
      <c r="A23" s="5" t="s">
        <v>671</v>
      </c>
      <c r="B23" s="103">
        <v>44746</v>
      </c>
      <c r="C23" s="5" t="s">
        <v>487</v>
      </c>
      <c r="D23" s="1" t="s">
        <v>256</v>
      </c>
      <c r="E23" s="2">
        <v>22</v>
      </c>
      <c r="F23" s="1" t="s">
        <v>256</v>
      </c>
      <c r="G23" s="2" t="s">
        <v>12</v>
      </c>
      <c r="H23" s="2" t="s">
        <v>13</v>
      </c>
      <c r="I23" s="1"/>
      <c r="J23" s="2" t="s">
        <v>254</v>
      </c>
      <c r="K23" s="1" t="s">
        <v>256</v>
      </c>
      <c r="L23" s="1" t="s">
        <v>493</v>
      </c>
      <c r="M23" s="1" t="s">
        <v>493</v>
      </c>
      <c r="N23" s="1" t="s">
        <v>493</v>
      </c>
      <c r="O23" s="1" t="s">
        <v>493</v>
      </c>
      <c r="P23" s="8">
        <v>9.9921000000000006</v>
      </c>
      <c r="Q23" s="117">
        <f t="shared" si="0"/>
        <v>44746</v>
      </c>
      <c r="R23" s="20">
        <v>44894</v>
      </c>
      <c r="S23" s="33">
        <f t="shared" si="1"/>
        <v>148</v>
      </c>
      <c r="T23" s="7">
        <v>4.82</v>
      </c>
      <c r="V23" t="s">
        <v>35</v>
      </c>
      <c r="W23">
        <v>1</v>
      </c>
      <c r="X23" s="11" t="s">
        <v>122</v>
      </c>
      <c r="Y23" s="28">
        <v>45043</v>
      </c>
      <c r="Z23" s="28">
        <v>45047</v>
      </c>
      <c r="AA23" s="29">
        <v>17.360898893753358</v>
      </c>
      <c r="AB23" s="22">
        <v>4</v>
      </c>
      <c r="AC23" s="30" t="s">
        <v>204</v>
      </c>
      <c r="AD23" s="30" t="s">
        <v>205</v>
      </c>
      <c r="AE23" s="30" t="s">
        <v>179</v>
      </c>
      <c r="AF23" s="30" t="s">
        <v>227</v>
      </c>
      <c r="AG23">
        <v>368</v>
      </c>
      <c r="AH23" t="s">
        <v>671</v>
      </c>
      <c r="AI23" t="s">
        <v>1698</v>
      </c>
      <c r="AK23" t="s">
        <v>822</v>
      </c>
    </row>
    <row r="24" spans="1:37">
      <c r="A24" s="5" t="s">
        <v>672</v>
      </c>
      <c r="B24" s="103">
        <v>44746</v>
      </c>
      <c r="C24" s="5" t="s">
        <v>487</v>
      </c>
      <c r="D24" s="1" t="s">
        <v>256</v>
      </c>
      <c r="E24" s="2">
        <v>23</v>
      </c>
      <c r="F24" s="1" t="s">
        <v>256</v>
      </c>
      <c r="G24" s="2" t="s">
        <v>15</v>
      </c>
      <c r="H24" s="2" t="s">
        <v>13</v>
      </c>
      <c r="I24" s="1"/>
      <c r="J24" s="2" t="s">
        <v>253</v>
      </c>
      <c r="K24" s="1" t="s">
        <v>256</v>
      </c>
      <c r="L24" s="1" t="s">
        <v>493</v>
      </c>
      <c r="M24" s="1" t="s">
        <v>493</v>
      </c>
      <c r="N24" s="1" t="s">
        <v>493</v>
      </c>
      <c r="O24" s="1" t="s">
        <v>493</v>
      </c>
      <c r="P24" s="8">
        <v>10.2925</v>
      </c>
      <c r="Q24" s="117">
        <f t="shared" si="0"/>
        <v>44746</v>
      </c>
      <c r="R24" s="20">
        <v>44894</v>
      </c>
      <c r="S24" s="33">
        <f t="shared" si="1"/>
        <v>148</v>
      </c>
      <c r="T24" s="7">
        <v>4.63</v>
      </c>
      <c r="V24" t="s">
        <v>35</v>
      </c>
      <c r="W24">
        <v>1</v>
      </c>
      <c r="X24" s="11" t="s">
        <v>113</v>
      </c>
      <c r="Y24" s="28">
        <v>45043</v>
      </c>
      <c r="Z24" s="28">
        <v>45047</v>
      </c>
      <c r="AA24" s="29">
        <v>16.198862765155535</v>
      </c>
      <c r="AB24" s="22">
        <v>4</v>
      </c>
      <c r="AC24" s="30" t="s">
        <v>42</v>
      </c>
      <c r="AD24" s="30" t="s">
        <v>193</v>
      </c>
      <c r="AE24" s="30" t="s">
        <v>180</v>
      </c>
      <c r="AF24" s="30" t="s">
        <v>228</v>
      </c>
      <c r="AG24">
        <v>297</v>
      </c>
      <c r="AH24" t="s">
        <v>672</v>
      </c>
      <c r="AI24" t="s">
        <v>1698</v>
      </c>
      <c r="AK24" t="s">
        <v>823</v>
      </c>
    </row>
    <row r="25" spans="1:37">
      <c r="A25" s="5" t="s">
        <v>673</v>
      </c>
      <c r="B25" s="103">
        <v>44746</v>
      </c>
      <c r="C25" s="5" t="s">
        <v>487</v>
      </c>
      <c r="D25" s="1" t="s">
        <v>256</v>
      </c>
      <c r="E25" s="2">
        <v>24</v>
      </c>
      <c r="F25" s="1" t="s">
        <v>256</v>
      </c>
      <c r="G25" s="2" t="s">
        <v>16</v>
      </c>
      <c r="H25" s="2" t="s">
        <v>10</v>
      </c>
      <c r="I25" s="1"/>
      <c r="J25" s="2" t="s">
        <v>254</v>
      </c>
      <c r="K25" s="1" t="s">
        <v>256</v>
      </c>
      <c r="L25" s="1" t="s">
        <v>493</v>
      </c>
      <c r="M25" s="1" t="s">
        <v>493</v>
      </c>
      <c r="N25" s="1" t="s">
        <v>493</v>
      </c>
      <c r="O25" s="1" t="s">
        <v>493</v>
      </c>
      <c r="P25" s="8">
        <v>9.1378000000000004</v>
      </c>
      <c r="Q25" s="117">
        <f t="shared" si="0"/>
        <v>44746</v>
      </c>
      <c r="R25" s="20">
        <v>44894</v>
      </c>
      <c r="S25" s="33">
        <f t="shared" si="1"/>
        <v>148</v>
      </c>
      <c r="T25" s="7">
        <v>0.57199999999999995</v>
      </c>
      <c r="V25" t="s">
        <v>35</v>
      </c>
      <c r="W25">
        <v>1</v>
      </c>
      <c r="X25" s="11" t="s">
        <v>123</v>
      </c>
      <c r="Y25" s="28">
        <v>45043</v>
      </c>
      <c r="Z25" s="28">
        <v>45047</v>
      </c>
      <c r="AA25" s="29">
        <v>10.444482330827471</v>
      </c>
      <c r="AB25" s="22">
        <v>4</v>
      </c>
      <c r="AC25" s="30" t="s">
        <v>198</v>
      </c>
      <c r="AD25" s="30" t="s">
        <v>199</v>
      </c>
      <c r="AE25" s="30" t="s">
        <v>180</v>
      </c>
      <c r="AF25" s="30" t="s">
        <v>228</v>
      </c>
      <c r="AG25">
        <v>333</v>
      </c>
      <c r="AH25" t="s">
        <v>673</v>
      </c>
      <c r="AI25" t="s">
        <v>1698</v>
      </c>
      <c r="AK25" t="s">
        <v>824</v>
      </c>
    </row>
    <row r="26" spans="1:37">
      <c r="A26" s="5" t="s">
        <v>733</v>
      </c>
      <c r="B26" s="103">
        <v>44749</v>
      </c>
      <c r="C26" s="5" t="s">
        <v>487</v>
      </c>
      <c r="D26" s="1" t="s">
        <v>256</v>
      </c>
      <c r="E26" s="2">
        <v>1</v>
      </c>
      <c r="F26" s="1" t="s">
        <v>256</v>
      </c>
      <c r="G26" s="2" t="s">
        <v>9</v>
      </c>
      <c r="H26" s="2" t="s">
        <v>10</v>
      </c>
      <c r="I26" s="1"/>
      <c r="J26" s="2" t="s">
        <v>253</v>
      </c>
      <c r="K26" s="1" t="s">
        <v>256</v>
      </c>
      <c r="L26" s="1" t="s">
        <v>493</v>
      </c>
      <c r="M26" s="1" t="s">
        <v>493</v>
      </c>
      <c r="N26" s="1" t="s">
        <v>493</v>
      </c>
      <c r="O26" s="1" t="s">
        <v>493</v>
      </c>
      <c r="P26" s="8">
        <v>8.6648999999999994</v>
      </c>
      <c r="Q26" s="117">
        <f t="shared" si="0"/>
        <v>44749</v>
      </c>
      <c r="R26" s="20">
        <v>44860</v>
      </c>
      <c r="S26" s="33">
        <f t="shared" si="1"/>
        <v>111</v>
      </c>
      <c r="T26" s="7">
        <v>4</v>
      </c>
      <c r="V26" t="s">
        <v>35</v>
      </c>
      <c r="W26">
        <v>1</v>
      </c>
      <c r="X26" s="11" t="s">
        <v>44</v>
      </c>
      <c r="Y26" s="28">
        <v>45043</v>
      </c>
      <c r="Z26" s="28">
        <v>45047</v>
      </c>
      <c r="AA26" s="29">
        <v>31.139872594527418</v>
      </c>
      <c r="AB26" s="22">
        <v>4</v>
      </c>
      <c r="AC26" s="30" t="s">
        <v>204</v>
      </c>
      <c r="AD26" s="30" t="s">
        <v>205</v>
      </c>
      <c r="AE26" s="30" t="s">
        <v>180</v>
      </c>
      <c r="AF26" s="30" t="s">
        <v>228</v>
      </c>
      <c r="AG26">
        <v>369</v>
      </c>
      <c r="AH26" t="s">
        <v>769</v>
      </c>
      <c r="AI26" t="s">
        <v>1698</v>
      </c>
      <c r="AK26" t="s">
        <v>1728</v>
      </c>
    </row>
    <row r="27" spans="1:37">
      <c r="A27" s="5" t="s">
        <v>734</v>
      </c>
      <c r="B27" s="103">
        <v>44749</v>
      </c>
      <c r="C27" s="5" t="s">
        <v>487</v>
      </c>
      <c r="D27" s="1" t="s">
        <v>256</v>
      </c>
      <c r="E27" s="2">
        <v>2</v>
      </c>
      <c r="F27" s="1" t="s">
        <v>256</v>
      </c>
      <c r="G27" s="2" t="s">
        <v>11</v>
      </c>
      <c r="H27" s="2" t="s">
        <v>10</v>
      </c>
      <c r="I27" s="1"/>
      <c r="J27" s="2" t="s">
        <v>40</v>
      </c>
      <c r="K27" s="1" t="s">
        <v>256</v>
      </c>
      <c r="L27" s="1" t="s">
        <v>493</v>
      </c>
      <c r="M27" s="1" t="s">
        <v>493</v>
      </c>
      <c r="N27" s="1" t="s">
        <v>493</v>
      </c>
      <c r="O27" s="1" t="s">
        <v>493</v>
      </c>
      <c r="P27" s="8">
        <v>11.2073</v>
      </c>
      <c r="Q27" s="117">
        <f t="shared" si="0"/>
        <v>44749</v>
      </c>
      <c r="R27" s="20">
        <v>44861</v>
      </c>
      <c r="S27" s="33">
        <f t="shared" si="1"/>
        <v>112</v>
      </c>
      <c r="T27" s="7">
        <v>11.6</v>
      </c>
      <c r="V27" t="s">
        <v>35</v>
      </c>
      <c r="W27">
        <v>1</v>
      </c>
      <c r="X27" s="11" t="s">
        <v>50</v>
      </c>
      <c r="Y27" s="28">
        <v>45043</v>
      </c>
      <c r="Z27" s="28">
        <v>45047</v>
      </c>
      <c r="AA27" s="29">
        <v>31.249071158133116</v>
      </c>
      <c r="AB27" s="22">
        <v>4</v>
      </c>
      <c r="AC27" s="30" t="s">
        <v>194</v>
      </c>
      <c r="AD27" s="30" t="s">
        <v>195</v>
      </c>
      <c r="AE27" s="30" t="s">
        <v>173</v>
      </c>
      <c r="AF27" s="30" t="s">
        <v>221</v>
      </c>
      <c r="AG27">
        <v>301</v>
      </c>
      <c r="AH27" t="s">
        <v>770</v>
      </c>
      <c r="AI27" t="s">
        <v>1698</v>
      </c>
      <c r="AK27" t="s">
        <v>1729</v>
      </c>
    </row>
    <row r="28" spans="1:37">
      <c r="A28" s="5" t="s">
        <v>735</v>
      </c>
      <c r="B28" s="103">
        <v>44749</v>
      </c>
      <c r="C28" s="5" t="s">
        <v>487</v>
      </c>
      <c r="D28" s="1" t="s">
        <v>256</v>
      </c>
      <c r="E28" s="2">
        <v>3</v>
      </c>
      <c r="F28" s="1" t="s">
        <v>256</v>
      </c>
      <c r="G28" s="2" t="s">
        <v>12</v>
      </c>
      <c r="H28" s="2" t="s">
        <v>13</v>
      </c>
      <c r="I28" s="1"/>
      <c r="J28" s="2" t="s">
        <v>254</v>
      </c>
      <c r="K28" s="1" t="s">
        <v>256</v>
      </c>
      <c r="L28" s="1" t="s">
        <v>493</v>
      </c>
      <c r="M28" s="1" t="s">
        <v>493</v>
      </c>
      <c r="N28" s="1" t="s">
        <v>493</v>
      </c>
      <c r="O28" s="1" t="s">
        <v>493</v>
      </c>
      <c r="P28" s="8">
        <v>10.408300000000001</v>
      </c>
      <c r="Q28" s="117">
        <f t="shared" si="0"/>
        <v>44749</v>
      </c>
      <c r="R28" s="20">
        <v>44860</v>
      </c>
      <c r="S28" s="33">
        <f t="shared" si="1"/>
        <v>111</v>
      </c>
      <c r="T28" s="7">
        <v>6.27</v>
      </c>
      <c r="V28" t="s">
        <v>35</v>
      </c>
      <c r="W28">
        <v>1</v>
      </c>
      <c r="X28" s="11" t="s">
        <v>56</v>
      </c>
      <c r="Y28" s="28">
        <v>45043</v>
      </c>
      <c r="Z28" s="28">
        <v>45047</v>
      </c>
      <c r="AA28" s="29">
        <v>43.373800279429943</v>
      </c>
      <c r="AB28" s="22">
        <v>4</v>
      </c>
      <c r="AC28" s="30" t="s">
        <v>200</v>
      </c>
      <c r="AD28" s="30" t="s">
        <v>201</v>
      </c>
      <c r="AE28" s="30" t="s">
        <v>173</v>
      </c>
      <c r="AF28" s="30" t="s">
        <v>221</v>
      </c>
      <c r="AG28">
        <v>337</v>
      </c>
      <c r="AH28" t="s">
        <v>771</v>
      </c>
      <c r="AI28" t="s">
        <v>1698</v>
      </c>
      <c r="AK28" t="s">
        <v>1730</v>
      </c>
    </row>
    <row r="29" spans="1:37">
      <c r="A29" s="5" t="s">
        <v>736</v>
      </c>
      <c r="B29" s="103">
        <v>44749</v>
      </c>
      <c r="C29" s="5" t="s">
        <v>487</v>
      </c>
      <c r="D29" s="1" t="s">
        <v>256</v>
      </c>
      <c r="E29" s="2">
        <v>4</v>
      </c>
      <c r="F29" s="1" t="s">
        <v>256</v>
      </c>
      <c r="G29" s="2" t="s">
        <v>14</v>
      </c>
      <c r="H29" s="2" t="s">
        <v>13</v>
      </c>
      <c r="I29" s="1"/>
      <c r="J29" s="2" t="s">
        <v>40</v>
      </c>
      <c r="K29" s="1" t="s">
        <v>256</v>
      </c>
      <c r="L29" s="1" t="s">
        <v>493</v>
      </c>
      <c r="M29" s="1" t="s">
        <v>493</v>
      </c>
      <c r="N29" s="1" t="s">
        <v>493</v>
      </c>
      <c r="O29" s="1" t="s">
        <v>493</v>
      </c>
      <c r="P29" s="8">
        <v>10.7399</v>
      </c>
      <c r="Q29" s="117">
        <f t="shared" si="0"/>
        <v>44749</v>
      </c>
      <c r="R29" s="20">
        <v>44861</v>
      </c>
      <c r="S29" s="33">
        <f t="shared" si="1"/>
        <v>112</v>
      </c>
      <c r="T29" s="7">
        <v>3.93</v>
      </c>
      <c r="V29" t="s">
        <v>35</v>
      </c>
      <c r="W29">
        <v>1</v>
      </c>
      <c r="X29" s="11" t="s">
        <v>80</v>
      </c>
      <c r="Y29" s="28">
        <v>45043</v>
      </c>
      <c r="Z29" s="28">
        <v>45047</v>
      </c>
      <c r="AA29" s="29">
        <v>26.916030550721466</v>
      </c>
      <c r="AB29" s="22">
        <v>4</v>
      </c>
      <c r="AC29" s="30" t="s">
        <v>206</v>
      </c>
      <c r="AD29" s="30" t="s">
        <v>207</v>
      </c>
      <c r="AE29" s="30" t="s">
        <v>173</v>
      </c>
      <c r="AF29" s="30" t="s">
        <v>221</v>
      </c>
      <c r="AG29">
        <v>373</v>
      </c>
      <c r="AH29" t="s">
        <v>772</v>
      </c>
      <c r="AI29" t="s">
        <v>1698</v>
      </c>
      <c r="AK29" t="s">
        <v>1731</v>
      </c>
    </row>
    <row r="30" spans="1:37">
      <c r="A30" s="5" t="s">
        <v>737</v>
      </c>
      <c r="B30" s="103">
        <v>44749</v>
      </c>
      <c r="C30" s="5" t="s">
        <v>487</v>
      </c>
      <c r="D30" s="1" t="s">
        <v>256</v>
      </c>
      <c r="E30" s="2">
        <v>5</v>
      </c>
      <c r="F30" s="1" t="s">
        <v>256</v>
      </c>
      <c r="G30" s="2" t="s">
        <v>15</v>
      </c>
      <c r="H30" s="2" t="s">
        <v>13</v>
      </c>
      <c r="I30" s="1"/>
      <c r="J30" s="2" t="s">
        <v>253</v>
      </c>
      <c r="K30" s="1" t="s">
        <v>256</v>
      </c>
      <c r="L30" s="1" t="s">
        <v>493</v>
      </c>
      <c r="M30" s="1" t="s">
        <v>493</v>
      </c>
      <c r="N30" s="1" t="s">
        <v>493</v>
      </c>
      <c r="O30" s="1" t="s">
        <v>493</v>
      </c>
      <c r="P30" s="8">
        <v>9.9618000000000002</v>
      </c>
      <c r="Q30" s="117">
        <f t="shared" si="0"/>
        <v>44749</v>
      </c>
      <c r="R30" s="20">
        <v>44861</v>
      </c>
      <c r="S30" s="33">
        <f t="shared" si="1"/>
        <v>112</v>
      </c>
      <c r="T30" s="7">
        <v>16</v>
      </c>
      <c r="V30" t="s">
        <v>35</v>
      </c>
      <c r="W30">
        <v>1</v>
      </c>
      <c r="X30" s="11" t="s">
        <v>145</v>
      </c>
      <c r="Y30" s="28">
        <v>45043</v>
      </c>
      <c r="Z30" s="28">
        <v>45047</v>
      </c>
      <c r="AA30" s="29">
        <v>23.894820252344758</v>
      </c>
      <c r="AB30" s="22">
        <v>4</v>
      </c>
      <c r="AC30" s="30" t="s">
        <v>196</v>
      </c>
      <c r="AD30" s="30" t="s">
        <v>197</v>
      </c>
      <c r="AE30" s="30" t="s">
        <v>234</v>
      </c>
      <c r="AF30" s="30" t="s">
        <v>235</v>
      </c>
      <c r="AG30">
        <v>322</v>
      </c>
      <c r="AH30" t="s">
        <v>773</v>
      </c>
      <c r="AI30" t="s">
        <v>1698</v>
      </c>
      <c r="AK30" t="s">
        <v>1732</v>
      </c>
    </row>
    <row r="31" spans="1:37">
      <c r="A31" s="5" t="s">
        <v>738</v>
      </c>
      <c r="B31" s="103">
        <v>44749</v>
      </c>
      <c r="C31" s="5" t="s">
        <v>487</v>
      </c>
      <c r="D31" s="1" t="s">
        <v>256</v>
      </c>
      <c r="E31" s="2">
        <v>6</v>
      </c>
      <c r="F31" s="1" t="s">
        <v>256</v>
      </c>
      <c r="G31" s="2" t="s">
        <v>16</v>
      </c>
      <c r="H31" s="2" t="s">
        <v>10</v>
      </c>
      <c r="I31" s="1"/>
      <c r="J31" s="2" t="s">
        <v>254</v>
      </c>
      <c r="K31" s="1" t="s">
        <v>256</v>
      </c>
      <c r="L31" s="1" t="s">
        <v>493</v>
      </c>
      <c r="M31" s="1" t="s">
        <v>493</v>
      </c>
      <c r="N31" s="1" t="s">
        <v>493</v>
      </c>
      <c r="O31" s="1" t="s">
        <v>493</v>
      </c>
      <c r="P31" s="8">
        <v>10.7729</v>
      </c>
      <c r="Q31" s="117">
        <f t="shared" si="0"/>
        <v>44749</v>
      </c>
      <c r="R31" s="20">
        <v>44865</v>
      </c>
      <c r="S31" s="33">
        <f t="shared" si="1"/>
        <v>116</v>
      </c>
      <c r="T31" s="7">
        <v>9.67</v>
      </c>
      <c r="V31" t="s">
        <v>35</v>
      </c>
      <c r="W31">
        <v>1</v>
      </c>
      <c r="X31" s="11" t="s">
        <v>81</v>
      </c>
      <c r="Y31" s="28">
        <v>45043</v>
      </c>
      <c r="Z31" s="28">
        <v>45047</v>
      </c>
      <c r="AA31" s="29">
        <v>22.691877552639735</v>
      </c>
      <c r="AB31" s="22">
        <v>4</v>
      </c>
      <c r="AC31" s="30" t="s">
        <v>202</v>
      </c>
      <c r="AD31" s="30" t="s">
        <v>203</v>
      </c>
      <c r="AE31" s="30" t="s">
        <v>234</v>
      </c>
      <c r="AF31" s="30" t="s">
        <v>235</v>
      </c>
      <c r="AG31">
        <v>358</v>
      </c>
      <c r="AH31" t="s">
        <v>774</v>
      </c>
      <c r="AI31" t="s">
        <v>1698</v>
      </c>
      <c r="AK31" t="s">
        <v>1733</v>
      </c>
    </row>
    <row r="32" spans="1:37">
      <c r="A32" s="5" t="s">
        <v>739</v>
      </c>
      <c r="B32" s="103">
        <v>44749</v>
      </c>
      <c r="C32" s="5" t="s">
        <v>487</v>
      </c>
      <c r="D32" s="1" t="s">
        <v>256</v>
      </c>
      <c r="E32" s="2">
        <v>7</v>
      </c>
      <c r="F32" s="1" t="s">
        <v>256</v>
      </c>
      <c r="G32" s="2" t="s">
        <v>14</v>
      </c>
      <c r="H32" s="2" t="s">
        <v>13</v>
      </c>
      <c r="I32" s="1"/>
      <c r="J32" s="2" t="s">
        <v>40</v>
      </c>
      <c r="K32" s="1" t="s">
        <v>256</v>
      </c>
      <c r="L32" s="1" t="s">
        <v>493</v>
      </c>
      <c r="M32" s="1" t="s">
        <v>493</v>
      </c>
      <c r="N32" s="1" t="s">
        <v>493</v>
      </c>
      <c r="O32" s="1" t="s">
        <v>493</v>
      </c>
      <c r="P32" s="8">
        <v>11.781599999999999</v>
      </c>
      <c r="Q32" s="117">
        <f t="shared" si="0"/>
        <v>44749</v>
      </c>
      <c r="R32" s="20">
        <v>44861</v>
      </c>
      <c r="S32" s="33">
        <f t="shared" si="1"/>
        <v>112</v>
      </c>
      <c r="T32" s="7">
        <v>13</v>
      </c>
      <c r="V32" t="s">
        <v>35</v>
      </c>
      <c r="W32">
        <v>1</v>
      </c>
      <c r="X32" s="11" t="s">
        <v>146</v>
      </c>
      <c r="Y32" s="28">
        <v>45043</v>
      </c>
      <c r="Z32" s="28">
        <v>45047</v>
      </c>
      <c r="AA32" s="29">
        <v>14.863260537865116</v>
      </c>
      <c r="AB32" s="22">
        <v>4</v>
      </c>
      <c r="AC32" s="30" t="s">
        <v>42</v>
      </c>
      <c r="AD32" s="30" t="s">
        <v>193</v>
      </c>
      <c r="AE32" s="30" t="s">
        <v>236</v>
      </c>
      <c r="AF32" s="30" t="s">
        <v>237</v>
      </c>
      <c r="AG32">
        <v>299</v>
      </c>
      <c r="AH32" t="s">
        <v>775</v>
      </c>
      <c r="AI32" t="s">
        <v>1698</v>
      </c>
      <c r="AK32" t="s">
        <v>1734</v>
      </c>
    </row>
    <row r="33" spans="1:37">
      <c r="A33" s="5" t="s">
        <v>740</v>
      </c>
      <c r="B33" s="103">
        <v>44749</v>
      </c>
      <c r="C33" s="5" t="s">
        <v>487</v>
      </c>
      <c r="D33" s="1" t="s">
        <v>256</v>
      </c>
      <c r="E33" s="2">
        <v>8</v>
      </c>
      <c r="F33" s="1" t="s">
        <v>256</v>
      </c>
      <c r="G33" s="2" t="s">
        <v>15</v>
      </c>
      <c r="H33" s="2" t="s">
        <v>13</v>
      </c>
      <c r="I33" s="1"/>
      <c r="J33" s="2" t="s">
        <v>253</v>
      </c>
      <c r="K33" s="1" t="s">
        <v>256</v>
      </c>
      <c r="L33" s="1" t="s">
        <v>493</v>
      </c>
      <c r="M33" s="1" t="s">
        <v>493</v>
      </c>
      <c r="N33" s="1" t="s">
        <v>493</v>
      </c>
      <c r="O33" s="1" t="s">
        <v>493</v>
      </c>
      <c r="P33" s="8">
        <v>10.1836</v>
      </c>
      <c r="Q33" s="117">
        <f t="shared" si="0"/>
        <v>44749</v>
      </c>
      <c r="R33" s="20">
        <v>44865</v>
      </c>
      <c r="S33" s="33">
        <f t="shared" si="1"/>
        <v>116</v>
      </c>
      <c r="T33" s="7">
        <v>7.28</v>
      </c>
      <c r="V33" t="s">
        <v>35</v>
      </c>
      <c r="W33">
        <v>1</v>
      </c>
      <c r="X33" s="11" t="s">
        <v>91</v>
      </c>
      <c r="Y33" s="28">
        <v>45043</v>
      </c>
      <c r="Z33" s="28">
        <v>45047</v>
      </c>
      <c r="AA33" s="29">
        <v>24.547288103425537</v>
      </c>
      <c r="AB33" s="22">
        <v>4</v>
      </c>
      <c r="AC33" s="30" t="s">
        <v>198</v>
      </c>
      <c r="AD33" s="30" t="s">
        <v>199</v>
      </c>
      <c r="AE33" s="30" t="s">
        <v>236</v>
      </c>
      <c r="AF33" s="30" t="s">
        <v>237</v>
      </c>
      <c r="AG33">
        <v>335</v>
      </c>
      <c r="AH33" t="s">
        <v>776</v>
      </c>
      <c r="AI33" t="s">
        <v>1698</v>
      </c>
      <c r="AK33" t="s">
        <v>1735</v>
      </c>
    </row>
    <row r="34" spans="1:37">
      <c r="A34" s="5" t="s">
        <v>741</v>
      </c>
      <c r="B34" s="103">
        <v>44749</v>
      </c>
      <c r="C34" s="5" t="s">
        <v>487</v>
      </c>
      <c r="D34" s="1" t="s">
        <v>256</v>
      </c>
      <c r="E34" s="2">
        <v>9</v>
      </c>
      <c r="F34" s="1" t="s">
        <v>256</v>
      </c>
      <c r="G34" s="2" t="s">
        <v>12</v>
      </c>
      <c r="H34" s="2" t="s">
        <v>13</v>
      </c>
      <c r="I34" s="1"/>
      <c r="J34" s="2" t="s">
        <v>254</v>
      </c>
      <c r="K34" s="1" t="s">
        <v>256</v>
      </c>
      <c r="L34" s="1" t="s">
        <v>493</v>
      </c>
      <c r="M34" s="1" t="s">
        <v>493</v>
      </c>
      <c r="N34" s="1" t="s">
        <v>493</v>
      </c>
      <c r="O34" s="1" t="s">
        <v>493</v>
      </c>
      <c r="P34" s="8">
        <v>12.233000000000001</v>
      </c>
      <c r="Q34" s="117">
        <f t="shared" si="0"/>
        <v>44749</v>
      </c>
      <c r="R34" s="20">
        <v>44886</v>
      </c>
      <c r="S34" s="33">
        <f t="shared" si="1"/>
        <v>137</v>
      </c>
      <c r="T34" s="7">
        <v>7.4</v>
      </c>
      <c r="V34" t="s">
        <v>35</v>
      </c>
      <c r="W34">
        <v>1</v>
      </c>
      <c r="X34" s="11" t="s">
        <v>87</v>
      </c>
      <c r="Y34" s="28">
        <v>45043</v>
      </c>
      <c r="Z34" s="28">
        <v>45047</v>
      </c>
      <c r="AA34" s="29">
        <v>23.298013216628977</v>
      </c>
      <c r="AB34" s="22">
        <v>4</v>
      </c>
      <c r="AC34" s="30" t="s">
        <v>204</v>
      </c>
      <c r="AD34" s="30" t="s">
        <v>205</v>
      </c>
      <c r="AE34" s="30" t="s">
        <v>236</v>
      </c>
      <c r="AF34" s="30" t="s">
        <v>237</v>
      </c>
      <c r="AG34">
        <v>371</v>
      </c>
      <c r="AH34" t="s">
        <v>682</v>
      </c>
      <c r="AI34" t="s">
        <v>1698</v>
      </c>
      <c r="AK34" t="s">
        <v>1712</v>
      </c>
    </row>
    <row r="35" spans="1:37">
      <c r="A35" s="5" t="s">
        <v>742</v>
      </c>
      <c r="B35" s="103">
        <v>44749</v>
      </c>
      <c r="C35" s="5" t="s">
        <v>487</v>
      </c>
      <c r="D35" s="1" t="s">
        <v>256</v>
      </c>
      <c r="E35" s="2">
        <v>10</v>
      </c>
      <c r="F35" s="1" t="s">
        <v>256</v>
      </c>
      <c r="G35" s="2" t="s">
        <v>11</v>
      </c>
      <c r="H35" s="2" t="s">
        <v>10</v>
      </c>
      <c r="I35" s="1"/>
      <c r="J35" s="2" t="s">
        <v>40</v>
      </c>
      <c r="K35" s="1" t="s">
        <v>256</v>
      </c>
      <c r="L35" s="1" t="s">
        <v>493</v>
      </c>
      <c r="M35" s="1" t="s">
        <v>493</v>
      </c>
      <c r="N35" s="1" t="s">
        <v>493</v>
      </c>
      <c r="O35" s="1" t="s">
        <v>493</v>
      </c>
      <c r="P35" s="8">
        <v>12.7402</v>
      </c>
      <c r="Q35" s="117">
        <f t="shared" si="0"/>
        <v>44749</v>
      </c>
      <c r="R35" s="20">
        <v>44861</v>
      </c>
      <c r="S35" s="33">
        <f t="shared" si="1"/>
        <v>112</v>
      </c>
      <c r="T35" s="7">
        <v>9.8000000000000007</v>
      </c>
      <c r="V35" t="s">
        <v>35</v>
      </c>
      <c r="W35">
        <v>1</v>
      </c>
      <c r="X35" s="11" t="s">
        <v>102</v>
      </c>
      <c r="Y35" s="28">
        <v>45043</v>
      </c>
      <c r="Z35" s="28">
        <v>45047</v>
      </c>
      <c r="AA35" s="29">
        <v>18.796971519805108</v>
      </c>
      <c r="AB35" s="22">
        <v>4</v>
      </c>
      <c r="AC35" s="30" t="s">
        <v>194</v>
      </c>
      <c r="AD35" s="30" t="s">
        <v>195</v>
      </c>
      <c r="AE35" s="30" t="s">
        <v>238</v>
      </c>
      <c r="AF35" s="30" t="s">
        <v>239</v>
      </c>
      <c r="AG35">
        <v>312</v>
      </c>
      <c r="AH35" t="s">
        <v>683</v>
      </c>
      <c r="AI35" t="s">
        <v>1698</v>
      </c>
      <c r="AK35" t="s">
        <v>1713</v>
      </c>
    </row>
    <row r="36" spans="1:37">
      <c r="A36" s="5" t="s">
        <v>743</v>
      </c>
      <c r="B36" s="103">
        <v>44749</v>
      </c>
      <c r="C36" s="5" t="s">
        <v>487</v>
      </c>
      <c r="D36" s="1" t="s">
        <v>256</v>
      </c>
      <c r="E36" s="2">
        <v>11</v>
      </c>
      <c r="F36" s="1" t="s">
        <v>256</v>
      </c>
      <c r="G36" s="2" t="s">
        <v>9</v>
      </c>
      <c r="H36" s="2" t="s">
        <v>10</v>
      </c>
      <c r="I36" s="1"/>
      <c r="J36" s="2" t="s">
        <v>253</v>
      </c>
      <c r="K36" s="1" t="s">
        <v>256</v>
      </c>
      <c r="L36" s="1" t="s">
        <v>493</v>
      </c>
      <c r="M36" s="1" t="s">
        <v>493</v>
      </c>
      <c r="N36" s="1" t="s">
        <v>493</v>
      </c>
      <c r="O36" s="1" t="s">
        <v>493</v>
      </c>
      <c r="P36" s="8">
        <v>9.8937000000000008</v>
      </c>
      <c r="Q36" s="117">
        <f t="shared" si="0"/>
        <v>44749</v>
      </c>
      <c r="R36" s="20">
        <v>44886</v>
      </c>
      <c r="S36" s="33">
        <f t="shared" si="1"/>
        <v>137</v>
      </c>
      <c r="T36" s="7">
        <v>14.2</v>
      </c>
      <c r="V36" t="s">
        <v>35</v>
      </c>
      <c r="W36">
        <v>1</v>
      </c>
      <c r="X36" s="11" t="s">
        <v>96</v>
      </c>
      <c r="Y36" s="28">
        <v>45043</v>
      </c>
      <c r="Z36" s="28">
        <v>45047</v>
      </c>
      <c r="AA36" s="29">
        <v>25.396783017178617</v>
      </c>
      <c r="AB36" s="22">
        <v>4</v>
      </c>
      <c r="AC36" s="30" t="s">
        <v>198</v>
      </c>
      <c r="AD36" s="30" t="s">
        <v>199</v>
      </c>
      <c r="AE36" s="30" t="s">
        <v>238</v>
      </c>
      <c r="AF36" s="30" t="s">
        <v>239</v>
      </c>
      <c r="AG36">
        <v>336</v>
      </c>
      <c r="AH36" t="s">
        <v>684</v>
      </c>
      <c r="AI36" t="s">
        <v>1698</v>
      </c>
      <c r="AK36" t="s">
        <v>1714</v>
      </c>
    </row>
    <row r="37" spans="1:37">
      <c r="A37" s="5" t="s">
        <v>744</v>
      </c>
      <c r="B37" s="103">
        <v>44749</v>
      </c>
      <c r="C37" s="5" t="s">
        <v>487</v>
      </c>
      <c r="D37" s="1" t="s">
        <v>256</v>
      </c>
      <c r="E37" s="2">
        <v>12</v>
      </c>
      <c r="F37" s="1" t="s">
        <v>256</v>
      </c>
      <c r="G37" s="2" t="s">
        <v>16</v>
      </c>
      <c r="H37" s="2" t="s">
        <v>10</v>
      </c>
      <c r="I37" s="1"/>
      <c r="J37" s="2" t="s">
        <v>254</v>
      </c>
      <c r="K37" s="1" t="s">
        <v>256</v>
      </c>
      <c r="L37" s="1" t="s">
        <v>493</v>
      </c>
      <c r="M37" s="1" t="s">
        <v>493</v>
      </c>
      <c r="N37" s="1" t="s">
        <v>493</v>
      </c>
      <c r="O37" s="1" t="s">
        <v>493</v>
      </c>
      <c r="P37" s="8">
        <v>11.0032</v>
      </c>
      <c r="Q37" s="117">
        <f t="shared" si="0"/>
        <v>44749</v>
      </c>
      <c r="R37" s="20">
        <v>44861</v>
      </c>
      <c r="S37" s="33">
        <f t="shared" si="1"/>
        <v>112</v>
      </c>
      <c r="T37" s="7">
        <v>6.9</v>
      </c>
      <c r="V37" t="s">
        <v>35</v>
      </c>
      <c r="W37">
        <v>1</v>
      </c>
      <c r="X37" s="11" t="s">
        <v>99</v>
      </c>
      <c r="Y37" s="28">
        <v>45043</v>
      </c>
      <c r="Z37" s="28">
        <v>45047</v>
      </c>
      <c r="AA37" s="29">
        <v>35.06760038729891</v>
      </c>
      <c r="AB37" s="22">
        <v>4</v>
      </c>
      <c r="AC37" s="30" t="s">
        <v>204</v>
      </c>
      <c r="AD37" s="30" t="s">
        <v>205</v>
      </c>
      <c r="AE37" s="30" t="s">
        <v>238</v>
      </c>
      <c r="AF37" s="30" t="s">
        <v>239</v>
      </c>
      <c r="AG37">
        <v>372</v>
      </c>
      <c r="AH37" t="s">
        <v>685</v>
      </c>
      <c r="AI37" t="s">
        <v>1698</v>
      </c>
      <c r="AK37" t="s">
        <v>1715</v>
      </c>
    </row>
    <row r="38" spans="1:37">
      <c r="A38" s="5" t="s">
        <v>745</v>
      </c>
      <c r="B38" s="103">
        <v>44749</v>
      </c>
      <c r="C38" s="5" t="s">
        <v>487</v>
      </c>
      <c r="D38" s="1" t="s">
        <v>256</v>
      </c>
      <c r="E38" s="2">
        <v>13</v>
      </c>
      <c r="F38" s="1" t="s">
        <v>256</v>
      </c>
      <c r="G38" s="2" t="s">
        <v>11</v>
      </c>
      <c r="H38" s="2" t="s">
        <v>10</v>
      </c>
      <c r="I38" s="1"/>
      <c r="J38" s="2" t="s">
        <v>40</v>
      </c>
      <c r="K38" s="1" t="s">
        <v>256</v>
      </c>
      <c r="L38" s="1" t="s">
        <v>493</v>
      </c>
      <c r="M38" s="1" t="s">
        <v>493</v>
      </c>
      <c r="N38" s="1" t="s">
        <v>493</v>
      </c>
      <c r="O38" s="1" t="s">
        <v>493</v>
      </c>
      <c r="P38" s="8">
        <v>11.5428</v>
      </c>
      <c r="Q38" s="117">
        <f t="shared" si="0"/>
        <v>44749</v>
      </c>
      <c r="R38" s="20">
        <v>44890</v>
      </c>
      <c r="S38" s="33">
        <f t="shared" si="1"/>
        <v>141</v>
      </c>
      <c r="T38" s="7">
        <v>12.7</v>
      </c>
      <c r="V38" t="s">
        <v>35</v>
      </c>
      <c r="W38">
        <v>1</v>
      </c>
      <c r="X38" s="11" t="s">
        <v>101</v>
      </c>
      <c r="Y38" s="28">
        <v>45043</v>
      </c>
      <c r="Z38" s="28">
        <v>45047</v>
      </c>
      <c r="AA38" s="29">
        <v>22.39136705149939</v>
      </c>
      <c r="AB38" s="22">
        <v>4</v>
      </c>
      <c r="AC38" s="30" t="s">
        <v>194</v>
      </c>
      <c r="AD38" s="30" t="s">
        <v>195</v>
      </c>
      <c r="AE38" s="30" t="s">
        <v>181</v>
      </c>
      <c r="AF38" s="30" t="s">
        <v>229</v>
      </c>
      <c r="AG38">
        <v>305</v>
      </c>
      <c r="AH38" t="s">
        <v>686</v>
      </c>
      <c r="AI38" t="s">
        <v>1698</v>
      </c>
      <c r="AK38" t="s">
        <v>1716</v>
      </c>
    </row>
    <row r="39" spans="1:37">
      <c r="A39" s="5" t="s">
        <v>746</v>
      </c>
      <c r="B39" s="103">
        <v>44749</v>
      </c>
      <c r="C39" s="5" t="s">
        <v>487</v>
      </c>
      <c r="D39" s="1" t="s">
        <v>256</v>
      </c>
      <c r="E39" s="2">
        <v>14</v>
      </c>
      <c r="F39" s="1" t="s">
        <v>256</v>
      </c>
      <c r="G39" s="2" t="s">
        <v>16</v>
      </c>
      <c r="H39" s="2" t="s">
        <v>10</v>
      </c>
      <c r="I39" s="1"/>
      <c r="J39" s="2" t="s">
        <v>254</v>
      </c>
      <c r="K39" s="1" t="s">
        <v>256</v>
      </c>
      <c r="L39" s="1" t="s">
        <v>493</v>
      </c>
      <c r="M39" s="1" t="s">
        <v>493</v>
      </c>
      <c r="N39" s="1" t="s">
        <v>493</v>
      </c>
      <c r="O39" s="1" t="s">
        <v>493</v>
      </c>
      <c r="P39" s="8">
        <v>11.964</v>
      </c>
      <c r="Q39" s="117">
        <f t="shared" si="0"/>
        <v>44749</v>
      </c>
      <c r="R39" s="20">
        <v>44890</v>
      </c>
      <c r="S39" s="33">
        <f t="shared" si="1"/>
        <v>141</v>
      </c>
      <c r="T39" s="7">
        <v>9.14</v>
      </c>
      <c r="V39" t="s">
        <v>35</v>
      </c>
      <c r="W39">
        <v>1</v>
      </c>
      <c r="X39" s="11" t="s">
        <v>243</v>
      </c>
      <c r="Y39" s="28">
        <v>45043</v>
      </c>
      <c r="Z39" s="28">
        <v>45047</v>
      </c>
      <c r="AA39" s="29">
        <v>30.316701568603484</v>
      </c>
      <c r="AB39" s="22">
        <v>4</v>
      </c>
      <c r="AC39" s="30" t="s">
        <v>200</v>
      </c>
      <c r="AD39" s="30" t="s">
        <v>201</v>
      </c>
      <c r="AE39" s="30" t="s">
        <v>181</v>
      </c>
      <c r="AF39" s="30" t="s">
        <v>229</v>
      </c>
      <c r="AG39">
        <v>341</v>
      </c>
      <c r="AH39" t="s">
        <v>687</v>
      </c>
      <c r="AI39" t="s">
        <v>1698</v>
      </c>
      <c r="AK39" t="s">
        <v>1717</v>
      </c>
    </row>
    <row r="40" spans="1:37">
      <c r="A40" s="5" t="s">
        <v>747</v>
      </c>
      <c r="B40" s="103">
        <v>44749</v>
      </c>
      <c r="C40" s="5" t="s">
        <v>487</v>
      </c>
      <c r="D40" s="1" t="s">
        <v>256</v>
      </c>
      <c r="E40" s="2">
        <v>15</v>
      </c>
      <c r="F40" s="1" t="s">
        <v>256</v>
      </c>
      <c r="G40" s="2" t="s">
        <v>9</v>
      </c>
      <c r="H40" s="2" t="s">
        <v>10</v>
      </c>
      <c r="I40" s="1"/>
      <c r="J40" s="2" t="s">
        <v>253</v>
      </c>
      <c r="K40" s="1" t="s">
        <v>256</v>
      </c>
      <c r="L40" s="1" t="s">
        <v>493</v>
      </c>
      <c r="M40" s="1" t="s">
        <v>493</v>
      </c>
      <c r="N40" s="1" t="s">
        <v>493</v>
      </c>
      <c r="O40" s="1" t="s">
        <v>493</v>
      </c>
      <c r="P40" s="8">
        <v>9.7195</v>
      </c>
      <c r="Q40" s="117">
        <f t="shared" si="0"/>
        <v>44749</v>
      </c>
      <c r="R40" s="20">
        <v>44890</v>
      </c>
      <c r="S40" s="33">
        <f t="shared" si="1"/>
        <v>141</v>
      </c>
      <c r="T40" s="7">
        <v>10</v>
      </c>
      <c r="V40" t="s">
        <v>35</v>
      </c>
      <c r="W40">
        <v>1</v>
      </c>
      <c r="X40" s="11" t="s">
        <v>107</v>
      </c>
      <c r="Y40" s="28">
        <v>45043</v>
      </c>
      <c r="Z40" s="28">
        <v>45047</v>
      </c>
      <c r="AA40" s="29">
        <v>18.404858178043842</v>
      </c>
      <c r="AB40" s="22">
        <v>4</v>
      </c>
      <c r="AC40" s="30" t="s">
        <v>206</v>
      </c>
      <c r="AD40" s="30" t="s">
        <v>207</v>
      </c>
      <c r="AE40" s="30" t="s">
        <v>181</v>
      </c>
      <c r="AF40" s="30" t="s">
        <v>229</v>
      </c>
      <c r="AG40">
        <v>377</v>
      </c>
      <c r="AH40" t="s">
        <v>688</v>
      </c>
      <c r="AI40" t="s">
        <v>1698</v>
      </c>
      <c r="AK40" t="s">
        <v>1718</v>
      </c>
    </row>
    <row r="41" spans="1:37">
      <c r="A41" s="5" t="s">
        <v>748</v>
      </c>
      <c r="B41" s="103">
        <v>44749</v>
      </c>
      <c r="C41" s="5" t="s">
        <v>487</v>
      </c>
      <c r="D41" s="1" t="s">
        <v>256</v>
      </c>
      <c r="E41" s="2">
        <v>16</v>
      </c>
      <c r="F41" s="1" t="s">
        <v>256</v>
      </c>
      <c r="G41" s="2" t="s">
        <v>15</v>
      </c>
      <c r="H41" s="2" t="s">
        <v>13</v>
      </c>
      <c r="I41" s="1"/>
      <c r="J41" s="2" t="s">
        <v>253</v>
      </c>
      <c r="K41" s="1" t="s">
        <v>256</v>
      </c>
      <c r="L41" s="1" t="s">
        <v>493</v>
      </c>
      <c r="M41" s="1" t="s">
        <v>493</v>
      </c>
      <c r="N41" s="1" t="s">
        <v>493</v>
      </c>
      <c r="O41" s="1" t="s">
        <v>493</v>
      </c>
      <c r="P41" s="8">
        <v>11.140499999999999</v>
      </c>
      <c r="Q41" s="117">
        <f t="shared" si="0"/>
        <v>44749</v>
      </c>
      <c r="R41" s="20">
        <v>44890</v>
      </c>
      <c r="S41" s="33">
        <f t="shared" si="1"/>
        <v>141</v>
      </c>
      <c r="T41" s="7">
        <v>10.7</v>
      </c>
      <c r="V41" t="s">
        <v>35</v>
      </c>
      <c r="W41">
        <v>1</v>
      </c>
      <c r="X41" s="11" t="s">
        <v>109</v>
      </c>
      <c r="Y41" s="28">
        <v>45043</v>
      </c>
      <c r="Z41" s="28">
        <v>45047</v>
      </c>
      <c r="AA41" s="29">
        <v>15.739669080315201</v>
      </c>
      <c r="AB41" s="22">
        <v>4</v>
      </c>
      <c r="AC41" s="30" t="s">
        <v>196</v>
      </c>
      <c r="AD41" s="30" t="s">
        <v>197</v>
      </c>
      <c r="AE41" s="30" t="s">
        <v>177</v>
      </c>
      <c r="AF41" s="30" t="s">
        <v>225</v>
      </c>
      <c r="AG41">
        <v>318</v>
      </c>
      <c r="AH41" t="s">
        <v>689</v>
      </c>
      <c r="AI41" t="s">
        <v>1698</v>
      </c>
      <c r="AK41" t="s">
        <v>1719</v>
      </c>
    </row>
    <row r="42" spans="1:37">
      <c r="A42" s="5" t="s">
        <v>749</v>
      </c>
      <c r="B42" s="103">
        <v>44749</v>
      </c>
      <c r="C42" s="5" t="s">
        <v>487</v>
      </c>
      <c r="D42" s="1" t="s">
        <v>256</v>
      </c>
      <c r="E42" s="2">
        <v>17</v>
      </c>
      <c r="F42" s="1" t="s">
        <v>256</v>
      </c>
      <c r="G42" s="2" t="s">
        <v>14</v>
      </c>
      <c r="H42" s="2" t="s">
        <v>13</v>
      </c>
      <c r="I42" s="1"/>
      <c r="J42" s="2" t="s">
        <v>40</v>
      </c>
      <c r="K42" s="1" t="s">
        <v>256</v>
      </c>
      <c r="L42" s="1" t="s">
        <v>493</v>
      </c>
      <c r="M42" s="1" t="s">
        <v>493</v>
      </c>
      <c r="N42" s="1" t="s">
        <v>493</v>
      </c>
      <c r="O42" s="1" t="s">
        <v>493</v>
      </c>
      <c r="P42" s="8">
        <v>12.7216</v>
      </c>
      <c r="Q42" s="117">
        <f t="shared" si="0"/>
        <v>44749</v>
      </c>
      <c r="R42" s="20">
        <v>44893</v>
      </c>
      <c r="S42" s="33">
        <f t="shared" si="1"/>
        <v>144</v>
      </c>
      <c r="T42" s="7">
        <v>15.7</v>
      </c>
      <c r="V42" t="s">
        <v>35</v>
      </c>
      <c r="W42">
        <v>1</v>
      </c>
      <c r="X42" s="11" t="s">
        <v>103</v>
      </c>
      <c r="Y42" s="28">
        <v>45043</v>
      </c>
      <c r="Z42" s="28">
        <v>45047</v>
      </c>
      <c r="AA42" s="29">
        <v>16.42582721879279</v>
      </c>
      <c r="AB42" s="22">
        <v>4</v>
      </c>
      <c r="AC42" s="30" t="s">
        <v>202</v>
      </c>
      <c r="AD42" s="30" t="s">
        <v>203</v>
      </c>
      <c r="AE42" s="30" t="s">
        <v>177</v>
      </c>
      <c r="AF42" s="30" t="s">
        <v>225</v>
      </c>
      <c r="AG42">
        <v>354</v>
      </c>
      <c r="AH42" t="s">
        <v>690</v>
      </c>
      <c r="AI42" t="s">
        <v>1698</v>
      </c>
      <c r="AK42" t="s">
        <v>1720</v>
      </c>
    </row>
    <row r="43" spans="1:37">
      <c r="A43" s="5" t="s">
        <v>750</v>
      </c>
      <c r="B43" s="103">
        <v>44749</v>
      </c>
      <c r="C43" s="5" t="s">
        <v>487</v>
      </c>
      <c r="D43" s="1" t="s">
        <v>256</v>
      </c>
      <c r="E43" s="2">
        <v>18</v>
      </c>
      <c r="F43" s="1" t="s">
        <v>256</v>
      </c>
      <c r="G43" s="2" t="s">
        <v>12</v>
      </c>
      <c r="H43" s="2" t="s">
        <v>13</v>
      </c>
      <c r="I43" s="1"/>
      <c r="J43" s="2" t="s">
        <v>254</v>
      </c>
      <c r="K43" s="1" t="s">
        <v>256</v>
      </c>
      <c r="L43" s="1" t="s">
        <v>493</v>
      </c>
      <c r="M43" s="1" t="s">
        <v>493</v>
      </c>
      <c r="N43" s="1" t="s">
        <v>493</v>
      </c>
      <c r="O43" s="1" t="s">
        <v>493</v>
      </c>
      <c r="P43" s="8">
        <v>13.8733</v>
      </c>
      <c r="Q43" s="117">
        <f t="shared" si="0"/>
        <v>44749</v>
      </c>
      <c r="R43" s="20">
        <v>44893</v>
      </c>
      <c r="S43" s="33">
        <f t="shared" si="1"/>
        <v>144</v>
      </c>
      <c r="T43" s="7">
        <v>8.77</v>
      </c>
      <c r="V43" t="s">
        <v>35</v>
      </c>
      <c r="W43">
        <v>1</v>
      </c>
      <c r="X43" s="11" t="s">
        <v>152</v>
      </c>
      <c r="Y43" s="28">
        <v>45043</v>
      </c>
      <c r="Z43" s="28">
        <v>45047</v>
      </c>
      <c r="AA43" s="29">
        <v>7.8284776214785765</v>
      </c>
      <c r="AB43" s="22">
        <v>4</v>
      </c>
      <c r="AC43" s="30" t="s">
        <v>42</v>
      </c>
      <c r="AD43" s="30" t="s">
        <v>193</v>
      </c>
      <c r="AE43" s="30" t="s">
        <v>178</v>
      </c>
      <c r="AF43" s="30" t="s">
        <v>226</v>
      </c>
      <c r="AG43">
        <v>295</v>
      </c>
      <c r="AH43" t="s">
        <v>691</v>
      </c>
      <c r="AI43" t="s">
        <v>1698</v>
      </c>
      <c r="AK43" t="s">
        <v>1721</v>
      </c>
    </row>
    <row r="44" spans="1:37">
      <c r="A44" s="5" t="s">
        <v>751</v>
      </c>
      <c r="B44" s="103">
        <v>44749</v>
      </c>
      <c r="C44" s="5" t="s">
        <v>487</v>
      </c>
      <c r="D44" s="1" t="s">
        <v>256</v>
      </c>
      <c r="E44" s="2">
        <v>19</v>
      </c>
      <c r="F44" s="1" t="s">
        <v>256</v>
      </c>
      <c r="G44" s="2" t="s">
        <v>9</v>
      </c>
      <c r="H44" s="2" t="s">
        <v>10</v>
      </c>
      <c r="I44" s="1"/>
      <c r="J44" s="2" t="s">
        <v>253</v>
      </c>
      <c r="K44" s="1" t="s">
        <v>256</v>
      </c>
      <c r="L44" s="1" t="s">
        <v>493</v>
      </c>
      <c r="M44" s="1" t="s">
        <v>493</v>
      </c>
      <c r="N44" s="1" t="s">
        <v>493</v>
      </c>
      <c r="O44" s="1" t="s">
        <v>493</v>
      </c>
      <c r="P44" s="8">
        <v>10.461</v>
      </c>
      <c r="Q44" s="117">
        <f t="shared" si="0"/>
        <v>44749</v>
      </c>
      <c r="R44" s="20">
        <v>44893</v>
      </c>
      <c r="S44" s="33">
        <f t="shared" si="1"/>
        <v>144</v>
      </c>
      <c r="T44" s="7">
        <v>7.19</v>
      </c>
      <c r="V44" t="s">
        <v>35</v>
      </c>
      <c r="W44">
        <v>1</v>
      </c>
      <c r="X44" s="11" t="s">
        <v>117</v>
      </c>
      <c r="Y44" s="28">
        <v>45043</v>
      </c>
      <c r="Z44" s="28">
        <v>45047</v>
      </c>
      <c r="AA44" s="29">
        <v>14.53326299333164</v>
      </c>
      <c r="AB44" s="22">
        <v>4</v>
      </c>
      <c r="AC44" s="30" t="s">
        <v>198</v>
      </c>
      <c r="AD44" s="30" t="s">
        <v>199</v>
      </c>
      <c r="AE44" s="30" t="s">
        <v>178</v>
      </c>
      <c r="AF44" s="30" t="s">
        <v>226</v>
      </c>
      <c r="AG44">
        <v>331</v>
      </c>
      <c r="AH44" t="s">
        <v>692</v>
      </c>
      <c r="AI44" t="s">
        <v>1698</v>
      </c>
      <c r="AK44" t="s">
        <v>1722</v>
      </c>
    </row>
    <row r="45" spans="1:37">
      <c r="A45" s="5" t="s">
        <v>752</v>
      </c>
      <c r="B45" s="103">
        <v>44749</v>
      </c>
      <c r="C45" s="5" t="s">
        <v>487</v>
      </c>
      <c r="D45" s="1" t="s">
        <v>256</v>
      </c>
      <c r="E45" s="2">
        <v>20</v>
      </c>
      <c r="F45" s="1" t="s">
        <v>256</v>
      </c>
      <c r="G45" s="2" t="s">
        <v>11</v>
      </c>
      <c r="H45" s="2" t="s">
        <v>10</v>
      </c>
      <c r="I45" s="1"/>
      <c r="J45" s="2" t="s">
        <v>40</v>
      </c>
      <c r="K45" s="1" t="s">
        <v>256</v>
      </c>
      <c r="L45" s="1" t="s">
        <v>493</v>
      </c>
      <c r="M45" s="1" t="s">
        <v>493</v>
      </c>
      <c r="N45" s="1" t="s">
        <v>493</v>
      </c>
      <c r="O45" s="1" t="s">
        <v>493</v>
      </c>
      <c r="P45" s="8">
        <v>13.087199999999999</v>
      </c>
      <c r="Q45" s="117">
        <f t="shared" si="0"/>
        <v>44749</v>
      </c>
      <c r="R45" s="20">
        <v>44894</v>
      </c>
      <c r="S45" s="33">
        <f t="shared" si="1"/>
        <v>145</v>
      </c>
      <c r="T45" s="7">
        <v>6.5</v>
      </c>
      <c r="V45" t="s">
        <v>35</v>
      </c>
      <c r="W45">
        <v>1</v>
      </c>
      <c r="X45" s="11" t="s">
        <v>153</v>
      </c>
      <c r="Y45" s="28">
        <v>45043</v>
      </c>
      <c r="Z45" s="28">
        <v>45047</v>
      </c>
      <c r="AA45" s="29">
        <v>13.535475057714185</v>
      </c>
      <c r="AB45" s="22">
        <v>4</v>
      </c>
      <c r="AC45" s="30" t="s">
        <v>204</v>
      </c>
      <c r="AD45" s="30" t="s">
        <v>205</v>
      </c>
      <c r="AE45" s="30" t="s">
        <v>178</v>
      </c>
      <c r="AF45" s="30" t="s">
        <v>226</v>
      </c>
      <c r="AG45">
        <v>367</v>
      </c>
      <c r="AH45" t="s">
        <v>693</v>
      </c>
      <c r="AI45" t="s">
        <v>1698</v>
      </c>
      <c r="AK45" t="s">
        <v>1723</v>
      </c>
    </row>
    <row r="46" spans="1:37">
      <c r="A46" s="5" t="s">
        <v>753</v>
      </c>
      <c r="B46" s="103">
        <v>44749</v>
      </c>
      <c r="C46" s="5" t="s">
        <v>487</v>
      </c>
      <c r="D46" s="1" t="s">
        <v>256</v>
      </c>
      <c r="E46" s="2">
        <v>21</v>
      </c>
      <c r="F46" s="1" t="s">
        <v>256</v>
      </c>
      <c r="G46" s="2" t="s">
        <v>14</v>
      </c>
      <c r="H46" s="2" t="s">
        <v>13</v>
      </c>
      <c r="I46" s="1"/>
      <c r="J46" s="2" t="s">
        <v>40</v>
      </c>
      <c r="K46" s="1" t="s">
        <v>256</v>
      </c>
      <c r="L46" s="1" t="s">
        <v>493</v>
      </c>
      <c r="M46" s="1" t="s">
        <v>493</v>
      </c>
      <c r="N46" s="1" t="s">
        <v>493</v>
      </c>
      <c r="O46" s="1" t="s">
        <v>493</v>
      </c>
      <c r="P46" s="8">
        <v>12.626300000000001</v>
      </c>
      <c r="Q46" s="117">
        <f t="shared" si="0"/>
        <v>44749</v>
      </c>
      <c r="R46" s="20">
        <v>44893</v>
      </c>
      <c r="S46" s="33">
        <f t="shared" si="1"/>
        <v>144</v>
      </c>
      <c r="T46" s="7">
        <v>3.46</v>
      </c>
      <c r="V46" t="s">
        <v>35</v>
      </c>
      <c r="W46">
        <v>1</v>
      </c>
      <c r="X46" s="11" t="s">
        <v>120</v>
      </c>
      <c r="Y46" s="28">
        <v>45043</v>
      </c>
      <c r="Z46" s="28">
        <v>45047</v>
      </c>
      <c r="AA46" s="29">
        <v>19.48011661857598</v>
      </c>
      <c r="AB46" s="22">
        <v>4</v>
      </c>
      <c r="AC46" s="30" t="s">
        <v>194</v>
      </c>
      <c r="AD46" s="30" t="s">
        <v>195</v>
      </c>
      <c r="AE46" s="30" t="s">
        <v>179</v>
      </c>
      <c r="AF46" s="30" t="s">
        <v>227</v>
      </c>
      <c r="AG46">
        <v>308</v>
      </c>
      <c r="AH46" t="s">
        <v>694</v>
      </c>
      <c r="AI46" t="s">
        <v>1698</v>
      </c>
      <c r="AK46" t="s">
        <v>1724</v>
      </c>
    </row>
    <row r="47" spans="1:37">
      <c r="A47" s="5" t="s">
        <v>754</v>
      </c>
      <c r="B47" s="103">
        <v>44749</v>
      </c>
      <c r="C47" s="5" t="s">
        <v>487</v>
      </c>
      <c r="D47" s="1" t="s">
        <v>256</v>
      </c>
      <c r="E47" s="2">
        <v>22</v>
      </c>
      <c r="F47" s="1" t="s">
        <v>256</v>
      </c>
      <c r="G47" s="2" t="s">
        <v>12</v>
      </c>
      <c r="H47" s="2" t="s">
        <v>13</v>
      </c>
      <c r="I47" s="1"/>
      <c r="J47" s="2" t="s">
        <v>254</v>
      </c>
      <c r="K47" s="1" t="s">
        <v>256</v>
      </c>
      <c r="L47" s="1" t="s">
        <v>493</v>
      </c>
      <c r="M47" s="1" t="s">
        <v>493</v>
      </c>
      <c r="N47" s="1" t="s">
        <v>493</v>
      </c>
      <c r="O47" s="1" t="s">
        <v>493</v>
      </c>
      <c r="P47" s="8">
        <v>12.96</v>
      </c>
      <c r="Q47" s="117">
        <f t="shared" si="0"/>
        <v>44749</v>
      </c>
      <c r="R47" s="20">
        <v>44894</v>
      </c>
      <c r="S47" s="33">
        <f t="shared" si="1"/>
        <v>145</v>
      </c>
      <c r="T47" s="7">
        <v>3.04</v>
      </c>
      <c r="V47" t="s">
        <v>35</v>
      </c>
      <c r="W47">
        <v>1</v>
      </c>
      <c r="X47" s="11" t="s">
        <v>154</v>
      </c>
      <c r="Y47" s="28">
        <v>45043</v>
      </c>
      <c r="Z47" s="28">
        <v>45047</v>
      </c>
      <c r="AA47" s="29">
        <v>18.856084999887415</v>
      </c>
      <c r="AB47" s="22">
        <v>4</v>
      </c>
      <c r="AC47" s="30" t="s">
        <v>200</v>
      </c>
      <c r="AD47" s="30" t="s">
        <v>201</v>
      </c>
      <c r="AE47" s="30" t="s">
        <v>179</v>
      </c>
      <c r="AF47" s="30" t="s">
        <v>227</v>
      </c>
      <c r="AG47">
        <v>344</v>
      </c>
      <c r="AH47" t="s">
        <v>695</v>
      </c>
      <c r="AI47" t="s">
        <v>1698</v>
      </c>
      <c r="AK47" t="s">
        <v>1725</v>
      </c>
    </row>
    <row r="48" spans="1:37">
      <c r="A48" s="5" t="s">
        <v>755</v>
      </c>
      <c r="B48" s="103">
        <v>44749</v>
      </c>
      <c r="C48" s="5" t="s">
        <v>487</v>
      </c>
      <c r="D48" s="1" t="s">
        <v>256</v>
      </c>
      <c r="E48" s="2">
        <v>23</v>
      </c>
      <c r="F48" s="1" t="s">
        <v>256</v>
      </c>
      <c r="G48" s="2" t="s">
        <v>15</v>
      </c>
      <c r="H48" s="2" t="s">
        <v>13</v>
      </c>
      <c r="I48" s="1"/>
      <c r="J48" s="2" t="s">
        <v>253</v>
      </c>
      <c r="K48" s="1" t="s">
        <v>256</v>
      </c>
      <c r="L48" s="1" t="s">
        <v>493</v>
      </c>
      <c r="M48" s="1" t="s">
        <v>493</v>
      </c>
      <c r="N48" s="1" t="s">
        <v>493</v>
      </c>
      <c r="O48" s="1" t="s">
        <v>493</v>
      </c>
      <c r="P48" s="8">
        <v>9.8821999999999992</v>
      </c>
      <c r="Q48" s="117">
        <f t="shared" si="0"/>
        <v>44749</v>
      </c>
      <c r="R48" s="20">
        <v>44894</v>
      </c>
      <c r="S48" s="33">
        <f t="shared" si="1"/>
        <v>145</v>
      </c>
      <c r="T48" s="7">
        <v>7.89</v>
      </c>
      <c r="V48" t="s">
        <v>35</v>
      </c>
      <c r="W48">
        <v>1</v>
      </c>
      <c r="X48" s="11" t="s">
        <v>114</v>
      </c>
      <c r="Y48" s="28">
        <v>45043</v>
      </c>
      <c r="Z48" s="28">
        <v>45047</v>
      </c>
      <c r="AA48" s="29">
        <v>12.53302280796</v>
      </c>
      <c r="AB48" s="22">
        <v>4</v>
      </c>
      <c r="AC48" s="30" t="s">
        <v>206</v>
      </c>
      <c r="AD48" s="30" t="s">
        <v>207</v>
      </c>
      <c r="AE48" s="30" t="s">
        <v>179</v>
      </c>
      <c r="AF48" s="30" t="s">
        <v>227</v>
      </c>
      <c r="AG48">
        <v>380</v>
      </c>
      <c r="AH48" t="s">
        <v>696</v>
      </c>
      <c r="AI48" t="s">
        <v>1698</v>
      </c>
      <c r="AK48" t="s">
        <v>1726</v>
      </c>
    </row>
    <row r="49" spans="1:37">
      <c r="A49" s="5" t="s">
        <v>756</v>
      </c>
      <c r="B49" s="103">
        <v>44749</v>
      </c>
      <c r="C49" s="5" t="s">
        <v>487</v>
      </c>
      <c r="D49" s="1" t="s">
        <v>256</v>
      </c>
      <c r="E49" s="2">
        <v>24</v>
      </c>
      <c r="F49" s="1" t="s">
        <v>256</v>
      </c>
      <c r="G49" s="2" t="s">
        <v>16</v>
      </c>
      <c r="H49" s="2" t="s">
        <v>10</v>
      </c>
      <c r="I49" s="1"/>
      <c r="J49" s="2" t="s">
        <v>254</v>
      </c>
      <c r="K49" s="1" t="s">
        <v>256</v>
      </c>
      <c r="L49" s="1" t="s">
        <v>493</v>
      </c>
      <c r="M49" s="1" t="s">
        <v>493</v>
      </c>
      <c r="N49" s="1" t="s">
        <v>493</v>
      </c>
      <c r="O49" s="1" t="s">
        <v>493</v>
      </c>
      <c r="P49" s="8">
        <v>13.586499999999999</v>
      </c>
      <c r="Q49" s="117">
        <f t="shared" si="0"/>
        <v>44749</v>
      </c>
      <c r="R49" s="20">
        <v>44894</v>
      </c>
      <c r="S49" s="33">
        <f t="shared" si="1"/>
        <v>145</v>
      </c>
      <c r="T49" s="7">
        <v>6.07</v>
      </c>
      <c r="V49" t="s">
        <v>35</v>
      </c>
      <c r="W49">
        <v>1</v>
      </c>
      <c r="X49" s="11" t="s">
        <v>124</v>
      </c>
      <c r="Y49" s="28">
        <v>45043</v>
      </c>
      <c r="Z49" s="28">
        <v>45047</v>
      </c>
      <c r="AA49" s="29">
        <v>12.530910463396928</v>
      </c>
      <c r="AB49" s="22">
        <v>4</v>
      </c>
      <c r="AC49" s="30" t="s">
        <v>194</v>
      </c>
      <c r="AD49" s="30" t="s">
        <v>195</v>
      </c>
      <c r="AE49" s="30" t="s">
        <v>180</v>
      </c>
      <c r="AF49" s="30" t="s">
        <v>228</v>
      </c>
      <c r="AG49">
        <v>309</v>
      </c>
      <c r="AH49" t="s">
        <v>697</v>
      </c>
      <c r="AI49" t="s">
        <v>1698</v>
      </c>
      <c r="AK49" t="s">
        <v>1727</v>
      </c>
    </row>
    <row r="50" spans="1:37">
      <c r="A50" s="5" t="s">
        <v>698</v>
      </c>
      <c r="B50" s="103">
        <v>44756</v>
      </c>
      <c r="C50" s="5" t="s">
        <v>487</v>
      </c>
      <c r="D50" s="1" t="s">
        <v>256</v>
      </c>
      <c r="E50" s="2">
        <v>1</v>
      </c>
      <c r="F50" s="1" t="s">
        <v>256</v>
      </c>
      <c r="G50" s="2" t="s">
        <v>9</v>
      </c>
      <c r="H50" s="2" t="s">
        <v>10</v>
      </c>
      <c r="I50" s="1"/>
      <c r="J50" s="2" t="s">
        <v>253</v>
      </c>
      <c r="K50" s="1" t="s">
        <v>256</v>
      </c>
      <c r="L50" s="1" t="s">
        <v>493</v>
      </c>
      <c r="M50" s="1" t="s">
        <v>493</v>
      </c>
      <c r="N50" s="1" t="s">
        <v>493</v>
      </c>
      <c r="O50" s="1" t="s">
        <v>493</v>
      </c>
      <c r="P50" s="8">
        <v>13.3093</v>
      </c>
      <c r="Q50" s="117">
        <f t="shared" si="0"/>
        <v>44756</v>
      </c>
      <c r="R50" s="20">
        <v>44860</v>
      </c>
      <c r="S50" s="33">
        <f t="shared" si="1"/>
        <v>104</v>
      </c>
      <c r="T50" s="7">
        <v>7.31</v>
      </c>
      <c r="V50" t="s">
        <v>35</v>
      </c>
      <c r="W50">
        <v>1</v>
      </c>
      <c r="X50" s="11" t="s">
        <v>46</v>
      </c>
      <c r="Y50" s="28">
        <v>45043</v>
      </c>
      <c r="Z50" s="28">
        <v>45047</v>
      </c>
      <c r="AA50" s="29">
        <v>26.646797760700313</v>
      </c>
      <c r="AB50" s="22">
        <v>4</v>
      </c>
      <c r="AC50" s="30" t="s">
        <v>200</v>
      </c>
      <c r="AD50" s="30" t="s">
        <v>201</v>
      </c>
      <c r="AE50" s="30" t="s">
        <v>180</v>
      </c>
      <c r="AF50" s="30" t="s">
        <v>228</v>
      </c>
      <c r="AG50">
        <v>345</v>
      </c>
      <c r="AH50" t="s">
        <v>777</v>
      </c>
      <c r="AI50" t="s">
        <v>1698</v>
      </c>
    </row>
    <row r="51" spans="1:37">
      <c r="A51" s="5" t="s">
        <v>699</v>
      </c>
      <c r="B51" s="103">
        <v>44756</v>
      </c>
      <c r="C51" s="5" t="s">
        <v>487</v>
      </c>
      <c r="D51" s="1" t="s">
        <v>256</v>
      </c>
      <c r="E51" s="2">
        <v>2</v>
      </c>
      <c r="F51" s="1" t="s">
        <v>256</v>
      </c>
      <c r="G51" s="2" t="s">
        <v>11</v>
      </c>
      <c r="H51" s="2" t="s">
        <v>10</v>
      </c>
      <c r="I51" s="1"/>
      <c r="J51" s="2" t="s">
        <v>40</v>
      </c>
      <c r="K51" s="1" t="s">
        <v>256</v>
      </c>
      <c r="L51" s="1" t="s">
        <v>493</v>
      </c>
      <c r="M51" s="1" t="s">
        <v>493</v>
      </c>
      <c r="N51" s="1" t="s">
        <v>493</v>
      </c>
      <c r="O51" s="1" t="s">
        <v>493</v>
      </c>
      <c r="P51" s="8">
        <v>15.1561</v>
      </c>
      <c r="Q51" s="117">
        <f t="shared" si="0"/>
        <v>44756</v>
      </c>
      <c r="R51" s="20">
        <v>44861</v>
      </c>
      <c r="S51" s="33">
        <f t="shared" si="1"/>
        <v>105</v>
      </c>
      <c r="T51" s="7">
        <v>12.1</v>
      </c>
      <c r="V51" t="s">
        <v>35</v>
      </c>
      <c r="W51">
        <v>1</v>
      </c>
      <c r="X51" s="11" t="s">
        <v>52</v>
      </c>
      <c r="Y51" s="28">
        <v>45043</v>
      </c>
      <c r="Z51" s="28">
        <v>45047</v>
      </c>
      <c r="AA51" s="29">
        <v>41.205762733309527</v>
      </c>
      <c r="AB51" s="22">
        <v>4</v>
      </c>
      <c r="AC51" s="30" t="s">
        <v>196</v>
      </c>
      <c r="AD51" s="30" t="s">
        <v>197</v>
      </c>
      <c r="AE51" s="30" t="s">
        <v>173</v>
      </c>
      <c r="AF51" s="30" t="s">
        <v>221</v>
      </c>
      <c r="AG51">
        <v>313</v>
      </c>
      <c r="AH51" t="s">
        <v>778</v>
      </c>
      <c r="AI51" t="s">
        <v>1698</v>
      </c>
    </row>
    <row r="52" spans="1:37">
      <c r="A52" s="5" t="s">
        <v>700</v>
      </c>
      <c r="B52" s="103">
        <v>44756</v>
      </c>
      <c r="C52" s="5" t="s">
        <v>487</v>
      </c>
      <c r="D52" s="1" t="s">
        <v>256</v>
      </c>
      <c r="E52" s="2">
        <v>3</v>
      </c>
      <c r="F52" s="1" t="s">
        <v>256</v>
      </c>
      <c r="G52" s="2" t="s">
        <v>12</v>
      </c>
      <c r="H52" s="2" t="s">
        <v>13</v>
      </c>
      <c r="I52" s="1"/>
      <c r="J52" s="2" t="s">
        <v>254</v>
      </c>
      <c r="K52" s="1" t="s">
        <v>256</v>
      </c>
      <c r="L52" s="1" t="s">
        <v>493</v>
      </c>
      <c r="M52" s="1" t="s">
        <v>493</v>
      </c>
      <c r="N52" s="1" t="s">
        <v>493</v>
      </c>
      <c r="O52" s="1" t="s">
        <v>493</v>
      </c>
      <c r="P52" s="8">
        <v>14.0321</v>
      </c>
      <c r="Q52" s="117">
        <f t="shared" si="0"/>
        <v>44756</v>
      </c>
      <c r="R52" s="20">
        <v>44860</v>
      </c>
      <c r="S52" s="33">
        <f t="shared" si="1"/>
        <v>104</v>
      </c>
      <c r="T52" s="7">
        <v>10</v>
      </c>
      <c r="V52" t="s">
        <v>35</v>
      </c>
      <c r="W52">
        <v>1</v>
      </c>
      <c r="X52" s="11" t="s">
        <v>79</v>
      </c>
      <c r="Y52" s="28">
        <v>45043</v>
      </c>
      <c r="Z52" s="28">
        <v>45047</v>
      </c>
      <c r="AA52" s="29">
        <v>31.328632562488405</v>
      </c>
      <c r="AB52" s="22">
        <v>4</v>
      </c>
      <c r="AC52" s="30" t="s">
        <v>202</v>
      </c>
      <c r="AD52" s="30" t="s">
        <v>203</v>
      </c>
      <c r="AE52" s="30" t="s">
        <v>173</v>
      </c>
      <c r="AF52" s="30" t="s">
        <v>221</v>
      </c>
      <c r="AG52">
        <v>349</v>
      </c>
      <c r="AH52" t="s">
        <v>779</v>
      </c>
      <c r="AI52" t="s">
        <v>1698</v>
      </c>
    </row>
    <row r="53" spans="1:37">
      <c r="A53" s="5" t="s">
        <v>701</v>
      </c>
      <c r="B53" s="103">
        <v>44756</v>
      </c>
      <c r="C53" s="5" t="s">
        <v>487</v>
      </c>
      <c r="D53" s="1" t="s">
        <v>256</v>
      </c>
      <c r="E53" s="2">
        <v>4</v>
      </c>
      <c r="F53" s="1" t="s">
        <v>256</v>
      </c>
      <c r="G53" s="2" t="s">
        <v>14</v>
      </c>
      <c r="H53" s="2" t="s">
        <v>13</v>
      </c>
      <c r="I53" s="1"/>
      <c r="J53" s="2" t="s">
        <v>40</v>
      </c>
      <c r="K53" s="1" t="s">
        <v>256</v>
      </c>
      <c r="L53" s="1" t="s">
        <v>493</v>
      </c>
      <c r="M53" s="1" t="s">
        <v>493</v>
      </c>
      <c r="N53" s="1" t="s">
        <v>493</v>
      </c>
      <c r="O53" s="1" t="s">
        <v>493</v>
      </c>
      <c r="P53" s="8">
        <v>14.9617</v>
      </c>
      <c r="Q53" s="117">
        <f t="shared" si="0"/>
        <v>44756</v>
      </c>
      <c r="R53" s="20">
        <v>44861</v>
      </c>
      <c r="S53" s="33">
        <f t="shared" si="1"/>
        <v>105</v>
      </c>
      <c r="T53" s="7">
        <v>18.2</v>
      </c>
      <c r="V53" t="s">
        <v>35</v>
      </c>
      <c r="W53">
        <v>1</v>
      </c>
      <c r="X53" s="11" t="s">
        <v>143</v>
      </c>
      <c r="Y53" s="28">
        <v>45043</v>
      </c>
      <c r="Z53" s="28">
        <v>45047</v>
      </c>
      <c r="AA53" s="29">
        <v>19.239609570100352</v>
      </c>
      <c r="AB53" s="22">
        <v>4</v>
      </c>
      <c r="AC53" s="30" t="s">
        <v>42</v>
      </c>
      <c r="AD53" s="30" t="s">
        <v>193</v>
      </c>
      <c r="AE53" s="30" t="s">
        <v>234</v>
      </c>
      <c r="AF53" s="30" t="s">
        <v>235</v>
      </c>
      <c r="AG53">
        <v>298</v>
      </c>
      <c r="AH53" t="s">
        <v>780</v>
      </c>
      <c r="AI53" t="s">
        <v>1698</v>
      </c>
    </row>
    <row r="54" spans="1:37">
      <c r="A54" s="5" t="s">
        <v>702</v>
      </c>
      <c r="B54" s="103">
        <v>44756</v>
      </c>
      <c r="C54" s="5" t="s">
        <v>487</v>
      </c>
      <c r="D54" s="1" t="s">
        <v>256</v>
      </c>
      <c r="E54" s="2">
        <v>5</v>
      </c>
      <c r="F54" s="1" t="s">
        <v>256</v>
      </c>
      <c r="G54" s="2" t="s">
        <v>15</v>
      </c>
      <c r="H54" s="2" t="s">
        <v>13</v>
      </c>
      <c r="I54" s="1"/>
      <c r="J54" s="2" t="s">
        <v>253</v>
      </c>
      <c r="K54" s="1" t="s">
        <v>256</v>
      </c>
      <c r="L54" s="1" t="s">
        <v>493</v>
      </c>
      <c r="M54" s="1" t="s">
        <v>493</v>
      </c>
      <c r="N54" s="1" t="s">
        <v>493</v>
      </c>
      <c r="O54" s="1" t="s">
        <v>493</v>
      </c>
      <c r="P54" s="8">
        <v>14.8302</v>
      </c>
      <c r="Q54" s="117">
        <f t="shared" si="0"/>
        <v>44756</v>
      </c>
      <c r="R54" s="20">
        <v>44861</v>
      </c>
      <c r="S54" s="33">
        <f t="shared" si="1"/>
        <v>105</v>
      </c>
      <c r="T54" s="7">
        <v>19.899999999999999</v>
      </c>
      <c r="V54" t="s">
        <v>35</v>
      </c>
      <c r="W54">
        <v>1</v>
      </c>
      <c r="X54" s="11" t="s">
        <v>84</v>
      </c>
      <c r="Y54" s="28">
        <v>45043</v>
      </c>
      <c r="Z54" s="28">
        <v>45047</v>
      </c>
      <c r="AA54" s="29">
        <v>26.289436239898006</v>
      </c>
      <c r="AB54" s="22">
        <v>4</v>
      </c>
      <c r="AC54" s="30" t="s">
        <v>198</v>
      </c>
      <c r="AD54" s="30" t="s">
        <v>199</v>
      </c>
      <c r="AE54" s="30" t="s">
        <v>234</v>
      </c>
      <c r="AF54" s="30" t="s">
        <v>235</v>
      </c>
      <c r="AG54">
        <v>334</v>
      </c>
      <c r="AH54" t="s">
        <v>781</v>
      </c>
      <c r="AI54" t="s">
        <v>1698</v>
      </c>
    </row>
    <row r="55" spans="1:37">
      <c r="A55" s="5" t="s">
        <v>703</v>
      </c>
      <c r="B55" s="103">
        <v>44756</v>
      </c>
      <c r="C55" s="5" t="s">
        <v>487</v>
      </c>
      <c r="D55" s="1" t="s">
        <v>256</v>
      </c>
      <c r="E55" s="2">
        <v>6</v>
      </c>
      <c r="F55" s="1" t="s">
        <v>256</v>
      </c>
      <c r="G55" s="2" t="s">
        <v>16</v>
      </c>
      <c r="H55" s="2" t="s">
        <v>10</v>
      </c>
      <c r="I55" s="1"/>
      <c r="J55" s="2" t="s">
        <v>254</v>
      </c>
      <c r="K55" s="1" t="s">
        <v>256</v>
      </c>
      <c r="L55" s="1" t="s">
        <v>493</v>
      </c>
      <c r="M55" s="1" t="s">
        <v>493</v>
      </c>
      <c r="N55" s="1" t="s">
        <v>493</v>
      </c>
      <c r="O55" s="1" t="s">
        <v>493</v>
      </c>
      <c r="P55" s="8">
        <v>13.0677</v>
      </c>
      <c r="Q55" s="117">
        <f t="shared" si="0"/>
        <v>44756</v>
      </c>
      <c r="R55" s="20">
        <v>44865</v>
      </c>
      <c r="S55" s="33">
        <f t="shared" si="1"/>
        <v>109</v>
      </c>
      <c r="T55" s="7">
        <v>7.42</v>
      </c>
      <c r="V55" t="s">
        <v>35</v>
      </c>
      <c r="W55">
        <v>1</v>
      </c>
      <c r="X55" s="11" t="s">
        <v>82</v>
      </c>
      <c r="Y55" s="28">
        <v>45043</v>
      </c>
      <c r="Z55" s="28">
        <v>45047</v>
      </c>
      <c r="AA55" s="29">
        <v>17.444524148816281</v>
      </c>
      <c r="AB55" s="22">
        <v>4</v>
      </c>
      <c r="AC55" s="30" t="s">
        <v>204</v>
      </c>
      <c r="AD55" s="30" t="s">
        <v>205</v>
      </c>
      <c r="AE55" s="30" t="s">
        <v>234</v>
      </c>
      <c r="AF55" s="30" t="s">
        <v>235</v>
      </c>
      <c r="AG55">
        <v>370</v>
      </c>
      <c r="AH55" t="s">
        <v>782</v>
      </c>
      <c r="AI55" t="s">
        <v>1698</v>
      </c>
    </row>
    <row r="56" spans="1:37">
      <c r="A56" s="5" t="s">
        <v>704</v>
      </c>
      <c r="B56" s="103">
        <v>44756</v>
      </c>
      <c r="C56" s="5" t="s">
        <v>487</v>
      </c>
      <c r="D56" s="1" t="s">
        <v>256</v>
      </c>
      <c r="E56" s="2">
        <v>7</v>
      </c>
      <c r="F56" s="1" t="s">
        <v>256</v>
      </c>
      <c r="G56" s="2" t="s">
        <v>14</v>
      </c>
      <c r="H56" s="2" t="s">
        <v>13</v>
      </c>
      <c r="I56" s="1"/>
      <c r="J56" s="2" t="s">
        <v>40</v>
      </c>
      <c r="K56" s="1" t="s">
        <v>256</v>
      </c>
      <c r="L56" s="1" t="s">
        <v>493</v>
      </c>
      <c r="M56" s="1" t="s">
        <v>493</v>
      </c>
      <c r="N56" s="1" t="s">
        <v>493</v>
      </c>
      <c r="O56" s="1" t="s">
        <v>493</v>
      </c>
      <c r="P56" s="8">
        <v>13.4596</v>
      </c>
      <c r="Q56" s="117">
        <f t="shared" si="0"/>
        <v>44756</v>
      </c>
      <c r="R56" s="20">
        <v>44861</v>
      </c>
      <c r="S56" s="33">
        <f t="shared" si="1"/>
        <v>105</v>
      </c>
      <c r="T56" s="7">
        <v>10.3</v>
      </c>
      <c r="V56" t="s">
        <v>35</v>
      </c>
      <c r="W56">
        <v>1</v>
      </c>
      <c r="X56" s="11" t="s">
        <v>89</v>
      </c>
      <c r="Y56" s="28">
        <v>45043</v>
      </c>
      <c r="Z56" s="28">
        <v>45047</v>
      </c>
      <c r="AA56" s="29">
        <v>25.013247724404444</v>
      </c>
      <c r="AB56" s="22">
        <v>4</v>
      </c>
      <c r="AC56" s="30" t="s">
        <v>194</v>
      </c>
      <c r="AD56" s="30" t="s">
        <v>195</v>
      </c>
      <c r="AE56" s="30" t="s">
        <v>236</v>
      </c>
      <c r="AF56" s="30" t="s">
        <v>237</v>
      </c>
      <c r="AG56">
        <v>311</v>
      </c>
      <c r="AH56" t="s">
        <v>783</v>
      </c>
      <c r="AI56" t="s">
        <v>1698</v>
      </c>
    </row>
    <row r="57" spans="1:37">
      <c r="A57" s="5" t="s">
        <v>705</v>
      </c>
      <c r="B57" s="103">
        <v>44756</v>
      </c>
      <c r="C57" s="5" t="s">
        <v>487</v>
      </c>
      <c r="D57" s="1" t="s">
        <v>256</v>
      </c>
      <c r="E57" s="2">
        <v>8</v>
      </c>
      <c r="F57" s="1" t="s">
        <v>256</v>
      </c>
      <c r="G57" s="2" t="s">
        <v>15</v>
      </c>
      <c r="H57" s="2" t="s">
        <v>13</v>
      </c>
      <c r="I57" s="1"/>
      <c r="J57" s="2" t="s">
        <v>253</v>
      </c>
      <c r="K57" s="1" t="s">
        <v>256</v>
      </c>
      <c r="L57" s="1" t="s">
        <v>493</v>
      </c>
      <c r="M57" s="1" t="s">
        <v>493</v>
      </c>
      <c r="N57" s="1" t="s">
        <v>493</v>
      </c>
      <c r="O57" s="1" t="s">
        <v>493</v>
      </c>
      <c r="P57" s="8">
        <v>12.942</v>
      </c>
      <c r="Q57" s="117">
        <f t="shared" si="0"/>
        <v>44756</v>
      </c>
      <c r="R57" s="20">
        <v>44865</v>
      </c>
      <c r="S57" s="33">
        <f t="shared" si="1"/>
        <v>109</v>
      </c>
      <c r="T57" s="7">
        <v>5.41</v>
      </c>
      <c r="V57" t="s">
        <v>35</v>
      </c>
      <c r="W57">
        <v>1</v>
      </c>
      <c r="X57" s="11" t="s">
        <v>147</v>
      </c>
      <c r="Y57" s="28">
        <v>45043</v>
      </c>
      <c r="Z57" s="28">
        <v>45047</v>
      </c>
      <c r="AA57" s="29">
        <v>26.091347643663557</v>
      </c>
      <c r="AB57" s="22">
        <v>4</v>
      </c>
      <c r="AC57" s="30" t="s">
        <v>200</v>
      </c>
      <c r="AD57" s="30" t="s">
        <v>201</v>
      </c>
      <c r="AE57" s="30" t="s">
        <v>236</v>
      </c>
      <c r="AF57" s="30" t="s">
        <v>237</v>
      </c>
      <c r="AG57">
        <v>347</v>
      </c>
      <c r="AH57" t="s">
        <v>784</v>
      </c>
      <c r="AI57" t="s">
        <v>1698</v>
      </c>
    </row>
    <row r="58" spans="1:37">
      <c r="A58" s="5" t="s">
        <v>757</v>
      </c>
      <c r="B58" s="103">
        <v>44756</v>
      </c>
      <c r="C58" s="5" t="s">
        <v>487</v>
      </c>
      <c r="D58" s="1" t="s">
        <v>256</v>
      </c>
      <c r="E58" s="2">
        <v>9</v>
      </c>
      <c r="F58" s="1" t="s">
        <v>256</v>
      </c>
      <c r="G58" s="2" t="s">
        <v>12</v>
      </c>
      <c r="H58" s="2" t="s">
        <v>13</v>
      </c>
      <c r="I58" s="1"/>
      <c r="J58" s="2" t="s">
        <v>254</v>
      </c>
      <c r="K58" s="1" t="s">
        <v>256</v>
      </c>
      <c r="L58" s="1" t="s">
        <v>493</v>
      </c>
      <c r="M58" s="1" t="s">
        <v>493</v>
      </c>
      <c r="N58" s="1" t="s">
        <v>493</v>
      </c>
      <c r="O58" s="1" t="s">
        <v>493</v>
      </c>
      <c r="P58" s="8">
        <v>14.6151</v>
      </c>
      <c r="Q58" s="117">
        <f t="shared" si="0"/>
        <v>44756</v>
      </c>
      <c r="R58" s="20">
        <v>44886</v>
      </c>
      <c r="S58" s="33">
        <f t="shared" si="1"/>
        <v>130</v>
      </c>
      <c r="T58" s="8" t="s">
        <v>256</v>
      </c>
      <c r="U58" s="8" t="s">
        <v>256</v>
      </c>
      <c r="V58" s="3" t="s">
        <v>256</v>
      </c>
      <c r="W58" s="3" t="s">
        <v>256</v>
      </c>
      <c r="X58" s="27" t="s">
        <v>256</v>
      </c>
      <c r="Y58" s="27" t="s">
        <v>256</v>
      </c>
      <c r="Z58" s="27" t="s">
        <v>256</v>
      </c>
      <c r="AA58" s="8" t="s">
        <v>256</v>
      </c>
      <c r="AB58" s="8" t="s">
        <v>256</v>
      </c>
      <c r="AC58" s="31" t="e">
        <v>#N/A</v>
      </c>
      <c r="AD58" s="31" t="e">
        <v>#N/A</v>
      </c>
      <c r="AE58" s="31" t="e">
        <v>#N/A</v>
      </c>
      <c r="AF58" s="31" t="e">
        <v>#N/A</v>
      </c>
      <c r="AG58" s="3" t="s">
        <v>256</v>
      </c>
      <c r="AH58" s="3"/>
      <c r="AI58" s="3" t="s">
        <v>256</v>
      </c>
      <c r="AJ58" t="s">
        <v>1788</v>
      </c>
    </row>
    <row r="59" spans="1:37">
      <c r="A59" s="5" t="s">
        <v>706</v>
      </c>
      <c r="B59" s="103">
        <v>44756</v>
      </c>
      <c r="C59" s="5" t="s">
        <v>487</v>
      </c>
      <c r="D59" s="1" t="s">
        <v>256</v>
      </c>
      <c r="E59" s="2">
        <v>10</v>
      </c>
      <c r="F59" s="1" t="s">
        <v>256</v>
      </c>
      <c r="G59" s="2" t="s">
        <v>11</v>
      </c>
      <c r="H59" s="2" t="s">
        <v>10</v>
      </c>
      <c r="I59" s="1"/>
      <c r="J59" s="2" t="s">
        <v>40</v>
      </c>
      <c r="K59" s="1" t="s">
        <v>256</v>
      </c>
      <c r="L59" s="1" t="s">
        <v>493</v>
      </c>
      <c r="M59" s="1" t="s">
        <v>493</v>
      </c>
      <c r="N59" s="1" t="s">
        <v>493</v>
      </c>
      <c r="O59" s="1" t="s">
        <v>493</v>
      </c>
      <c r="P59" s="8">
        <v>12.9176</v>
      </c>
      <c r="Q59" s="117">
        <f t="shared" si="0"/>
        <v>44756</v>
      </c>
      <c r="R59" s="20">
        <v>44861</v>
      </c>
      <c r="S59" s="33">
        <f t="shared" si="1"/>
        <v>105</v>
      </c>
      <c r="T59" s="7">
        <v>6.81</v>
      </c>
      <c r="V59" t="s">
        <v>35</v>
      </c>
      <c r="W59">
        <v>1</v>
      </c>
      <c r="X59" s="11" t="s">
        <v>88</v>
      </c>
      <c r="Y59" s="28">
        <v>45043</v>
      </c>
      <c r="Z59" s="28">
        <v>45047</v>
      </c>
      <c r="AA59" s="29">
        <v>37.110838043218358</v>
      </c>
      <c r="AB59" s="22">
        <v>4</v>
      </c>
      <c r="AC59" s="30" t="s">
        <v>206</v>
      </c>
      <c r="AD59" s="30" t="s">
        <v>207</v>
      </c>
      <c r="AE59" s="30" t="s">
        <v>236</v>
      </c>
      <c r="AF59" s="30" t="s">
        <v>237</v>
      </c>
      <c r="AG59">
        <v>383</v>
      </c>
      <c r="AH59" t="s">
        <v>706</v>
      </c>
      <c r="AI59" t="s">
        <v>1698</v>
      </c>
      <c r="AK59" t="s">
        <v>825</v>
      </c>
    </row>
    <row r="60" spans="1:37">
      <c r="A60" s="5" t="s">
        <v>707</v>
      </c>
      <c r="B60" s="103">
        <v>44756</v>
      </c>
      <c r="C60" s="5" t="s">
        <v>487</v>
      </c>
      <c r="D60" s="1" t="s">
        <v>256</v>
      </c>
      <c r="E60" s="2">
        <v>11</v>
      </c>
      <c r="F60" s="1" t="s">
        <v>256</v>
      </c>
      <c r="G60" s="2" t="s">
        <v>9</v>
      </c>
      <c r="H60" s="2" t="s">
        <v>10</v>
      </c>
      <c r="I60" s="1"/>
      <c r="J60" s="2" t="s">
        <v>253</v>
      </c>
      <c r="K60" s="1" t="s">
        <v>256</v>
      </c>
      <c r="L60" s="1" t="s">
        <v>493</v>
      </c>
      <c r="M60" s="1" t="s">
        <v>493</v>
      </c>
      <c r="N60" s="1" t="s">
        <v>493</v>
      </c>
      <c r="O60" s="1" t="s">
        <v>493</v>
      </c>
      <c r="P60" s="8">
        <v>12.7502</v>
      </c>
      <c r="Q60" s="117">
        <f t="shared" si="0"/>
        <v>44756</v>
      </c>
      <c r="R60" s="20">
        <v>44886</v>
      </c>
      <c r="S60" s="33">
        <f t="shared" si="1"/>
        <v>130</v>
      </c>
      <c r="T60" s="7">
        <v>6.59</v>
      </c>
      <c r="V60" t="s">
        <v>35</v>
      </c>
      <c r="W60">
        <v>1</v>
      </c>
      <c r="X60" s="11" t="s">
        <v>149</v>
      </c>
      <c r="Y60" s="28">
        <v>45043</v>
      </c>
      <c r="Z60" s="28">
        <v>45047</v>
      </c>
      <c r="AA60" s="29">
        <v>19.692187434659392</v>
      </c>
      <c r="AB60" s="22">
        <v>4</v>
      </c>
      <c r="AC60" s="30" t="s">
        <v>200</v>
      </c>
      <c r="AD60" s="30" t="s">
        <v>201</v>
      </c>
      <c r="AE60" s="30" t="s">
        <v>238</v>
      </c>
      <c r="AF60" s="30" t="s">
        <v>239</v>
      </c>
      <c r="AG60">
        <v>348</v>
      </c>
      <c r="AH60" t="s">
        <v>707</v>
      </c>
      <c r="AI60" t="s">
        <v>1698</v>
      </c>
      <c r="AK60" t="s">
        <v>826</v>
      </c>
    </row>
    <row r="61" spans="1:37">
      <c r="A61" s="5" t="s">
        <v>708</v>
      </c>
      <c r="B61" s="103">
        <v>44756</v>
      </c>
      <c r="C61" s="5" t="s">
        <v>487</v>
      </c>
      <c r="D61" s="1" t="s">
        <v>256</v>
      </c>
      <c r="E61" s="2">
        <v>12</v>
      </c>
      <c r="F61" s="1" t="s">
        <v>256</v>
      </c>
      <c r="G61" s="2" t="s">
        <v>16</v>
      </c>
      <c r="H61" s="2" t="s">
        <v>10</v>
      </c>
      <c r="I61" s="1"/>
      <c r="J61" s="2" t="s">
        <v>254</v>
      </c>
      <c r="K61" s="1" t="s">
        <v>256</v>
      </c>
      <c r="L61" s="1" t="s">
        <v>493</v>
      </c>
      <c r="M61" s="1" t="s">
        <v>493</v>
      </c>
      <c r="N61" s="1" t="s">
        <v>493</v>
      </c>
      <c r="O61" s="1" t="s">
        <v>493</v>
      </c>
      <c r="P61" s="8">
        <v>13.8323</v>
      </c>
      <c r="Q61" s="117">
        <f t="shared" si="0"/>
        <v>44756</v>
      </c>
      <c r="R61" s="20">
        <v>44861</v>
      </c>
      <c r="S61" s="33">
        <f t="shared" si="1"/>
        <v>105</v>
      </c>
      <c r="T61" s="7">
        <v>10.1</v>
      </c>
      <c r="V61" t="s">
        <v>35</v>
      </c>
      <c r="W61">
        <v>1</v>
      </c>
      <c r="X61" s="11" t="s">
        <v>100</v>
      </c>
      <c r="Y61" s="28">
        <v>45043</v>
      </c>
      <c r="Z61" s="28">
        <v>45047</v>
      </c>
      <c r="AA61" s="29">
        <v>24.613918098932782</v>
      </c>
      <c r="AB61" s="22">
        <v>4</v>
      </c>
      <c r="AC61" s="30" t="s">
        <v>206</v>
      </c>
      <c r="AD61" s="30" t="s">
        <v>207</v>
      </c>
      <c r="AE61" s="30" t="s">
        <v>238</v>
      </c>
      <c r="AF61" s="30" t="s">
        <v>239</v>
      </c>
      <c r="AG61">
        <v>384</v>
      </c>
      <c r="AH61" t="s">
        <v>708</v>
      </c>
      <c r="AI61" t="s">
        <v>1698</v>
      </c>
      <c r="AK61" t="s">
        <v>827</v>
      </c>
    </row>
    <row r="62" spans="1:37">
      <c r="A62" s="5" t="s">
        <v>709</v>
      </c>
      <c r="B62" s="103">
        <v>44756</v>
      </c>
      <c r="C62" s="5" t="s">
        <v>487</v>
      </c>
      <c r="D62" s="1" t="s">
        <v>256</v>
      </c>
      <c r="E62" s="2">
        <v>13</v>
      </c>
      <c r="F62" s="1" t="s">
        <v>256</v>
      </c>
      <c r="G62" s="2" t="s">
        <v>11</v>
      </c>
      <c r="H62" s="2" t="s">
        <v>10</v>
      </c>
      <c r="I62" s="1"/>
      <c r="J62" s="2" t="s">
        <v>40</v>
      </c>
      <c r="K62" s="1" t="s">
        <v>256</v>
      </c>
      <c r="L62" s="1" t="s">
        <v>493</v>
      </c>
      <c r="M62" s="1" t="s">
        <v>493</v>
      </c>
      <c r="N62" s="1" t="s">
        <v>493</v>
      </c>
      <c r="O62" s="1" t="s">
        <v>493</v>
      </c>
      <c r="P62" s="8">
        <v>13.8224</v>
      </c>
      <c r="Q62" s="117">
        <f t="shared" si="0"/>
        <v>44756</v>
      </c>
      <c r="R62" s="20">
        <v>44890</v>
      </c>
      <c r="S62" s="33">
        <f t="shared" si="1"/>
        <v>134</v>
      </c>
      <c r="T62" s="7">
        <v>9.52</v>
      </c>
      <c r="V62" t="s">
        <v>35</v>
      </c>
      <c r="W62">
        <v>1</v>
      </c>
      <c r="X62" s="11" t="s">
        <v>93</v>
      </c>
      <c r="Y62" s="28">
        <v>45043</v>
      </c>
      <c r="Z62" s="28">
        <v>45047</v>
      </c>
      <c r="AA62" s="29">
        <v>24.641893261191942</v>
      </c>
      <c r="AB62" s="22">
        <v>4</v>
      </c>
      <c r="AC62" s="30" t="s">
        <v>196</v>
      </c>
      <c r="AD62" s="30" t="s">
        <v>197</v>
      </c>
      <c r="AE62" s="30" t="s">
        <v>181</v>
      </c>
      <c r="AF62" s="30" t="s">
        <v>229</v>
      </c>
      <c r="AG62">
        <v>317</v>
      </c>
      <c r="AH62" t="s">
        <v>709</v>
      </c>
      <c r="AI62" t="s">
        <v>1698</v>
      </c>
      <c r="AK62" t="s">
        <v>828</v>
      </c>
    </row>
    <row r="63" spans="1:37">
      <c r="A63" s="5" t="s">
        <v>710</v>
      </c>
      <c r="B63" s="103">
        <v>44756</v>
      </c>
      <c r="C63" s="5" t="s">
        <v>487</v>
      </c>
      <c r="D63" s="1" t="s">
        <v>256</v>
      </c>
      <c r="E63" s="2">
        <v>14</v>
      </c>
      <c r="F63" s="1" t="s">
        <v>256</v>
      </c>
      <c r="G63" s="2" t="s">
        <v>16</v>
      </c>
      <c r="H63" s="2" t="s">
        <v>10</v>
      </c>
      <c r="I63" s="1"/>
      <c r="J63" s="2" t="s">
        <v>254</v>
      </c>
      <c r="K63" s="1" t="s">
        <v>256</v>
      </c>
      <c r="L63" s="1" t="s">
        <v>493</v>
      </c>
      <c r="M63" s="1" t="s">
        <v>493</v>
      </c>
      <c r="N63" s="1" t="s">
        <v>493</v>
      </c>
      <c r="O63" s="1" t="s">
        <v>493</v>
      </c>
      <c r="P63" s="8">
        <v>14.4657</v>
      </c>
      <c r="Q63" s="117">
        <f t="shared" si="0"/>
        <v>44756</v>
      </c>
      <c r="R63" s="20">
        <v>44890</v>
      </c>
      <c r="S63" s="33">
        <f t="shared" si="1"/>
        <v>134</v>
      </c>
      <c r="T63" s="7">
        <v>15.3</v>
      </c>
      <c r="V63" t="s">
        <v>35</v>
      </c>
      <c r="W63">
        <v>1</v>
      </c>
      <c r="X63" s="11" t="s">
        <v>95</v>
      </c>
      <c r="Y63" s="28">
        <v>45043</v>
      </c>
      <c r="Z63" s="28">
        <v>45047</v>
      </c>
      <c r="AA63" s="29">
        <v>13.787101402189332</v>
      </c>
      <c r="AB63" s="22">
        <v>4</v>
      </c>
      <c r="AC63" s="30" t="s">
        <v>202</v>
      </c>
      <c r="AD63" s="30" t="s">
        <v>203</v>
      </c>
      <c r="AE63" s="30" t="s">
        <v>181</v>
      </c>
      <c r="AF63" s="30" t="s">
        <v>229</v>
      </c>
      <c r="AG63">
        <v>353</v>
      </c>
      <c r="AH63" t="s">
        <v>710</v>
      </c>
      <c r="AI63" t="s">
        <v>1698</v>
      </c>
      <c r="AK63" t="s">
        <v>829</v>
      </c>
    </row>
    <row r="64" spans="1:37">
      <c r="A64" s="5" t="s">
        <v>711</v>
      </c>
      <c r="B64" s="103">
        <v>44756</v>
      </c>
      <c r="C64" s="5" t="s">
        <v>487</v>
      </c>
      <c r="D64" s="1" t="s">
        <v>256</v>
      </c>
      <c r="E64" s="2">
        <v>15</v>
      </c>
      <c r="F64" s="1" t="s">
        <v>256</v>
      </c>
      <c r="G64" s="2" t="s">
        <v>9</v>
      </c>
      <c r="H64" s="2" t="s">
        <v>10</v>
      </c>
      <c r="I64" s="1"/>
      <c r="J64" s="2" t="s">
        <v>253</v>
      </c>
      <c r="K64" s="1" t="s">
        <v>256</v>
      </c>
      <c r="L64" s="1" t="s">
        <v>493</v>
      </c>
      <c r="M64" s="1" t="s">
        <v>493</v>
      </c>
      <c r="N64" s="1" t="s">
        <v>493</v>
      </c>
      <c r="O64" s="1" t="s">
        <v>493</v>
      </c>
      <c r="P64" s="8">
        <v>14.111700000000001</v>
      </c>
      <c r="Q64" s="117">
        <f t="shared" si="0"/>
        <v>44756</v>
      </c>
      <c r="R64" s="20">
        <v>44890</v>
      </c>
      <c r="S64" s="33">
        <f t="shared" si="1"/>
        <v>134</v>
      </c>
      <c r="T64" s="7">
        <v>5.56</v>
      </c>
      <c r="V64" t="s">
        <v>35</v>
      </c>
      <c r="W64">
        <v>1</v>
      </c>
      <c r="X64" s="11" t="s">
        <v>97</v>
      </c>
      <c r="Y64" s="28">
        <v>45043</v>
      </c>
      <c r="Z64" s="28">
        <v>45047</v>
      </c>
      <c r="AA64" s="29">
        <v>24.984961607869501</v>
      </c>
      <c r="AB64" s="22">
        <v>4</v>
      </c>
      <c r="AC64" s="30" t="s">
        <v>42</v>
      </c>
      <c r="AD64" s="30" t="s">
        <v>193</v>
      </c>
      <c r="AE64" s="30" t="s">
        <v>177</v>
      </c>
      <c r="AF64" s="30" t="s">
        <v>225</v>
      </c>
      <c r="AG64">
        <v>294</v>
      </c>
      <c r="AH64" t="s">
        <v>711</v>
      </c>
      <c r="AI64" t="s">
        <v>1698</v>
      </c>
      <c r="AK64" t="s">
        <v>830</v>
      </c>
    </row>
    <row r="65" spans="1:37">
      <c r="A65" s="5" t="s">
        <v>712</v>
      </c>
      <c r="B65" s="103">
        <v>44756</v>
      </c>
      <c r="C65" s="5" t="s">
        <v>487</v>
      </c>
      <c r="D65" s="1" t="s">
        <v>256</v>
      </c>
      <c r="E65" s="2">
        <v>16</v>
      </c>
      <c r="F65" s="1" t="s">
        <v>256</v>
      </c>
      <c r="G65" s="2" t="s">
        <v>15</v>
      </c>
      <c r="H65" s="2" t="s">
        <v>13</v>
      </c>
      <c r="I65" s="1"/>
      <c r="J65" s="2" t="s">
        <v>253</v>
      </c>
      <c r="K65" s="1" t="s">
        <v>256</v>
      </c>
      <c r="L65" s="1" t="s">
        <v>493</v>
      </c>
      <c r="M65" s="1" t="s">
        <v>493</v>
      </c>
      <c r="N65" s="1" t="s">
        <v>493</v>
      </c>
      <c r="O65" s="1" t="s">
        <v>493</v>
      </c>
      <c r="P65" s="8">
        <v>14.2883</v>
      </c>
      <c r="Q65" s="117">
        <f t="shared" si="0"/>
        <v>44756</v>
      </c>
      <c r="R65" s="20">
        <v>44890</v>
      </c>
      <c r="S65" s="33">
        <f t="shared" si="1"/>
        <v>134</v>
      </c>
      <c r="T65" s="7">
        <v>2.3199999999999998</v>
      </c>
      <c r="V65" t="s">
        <v>35</v>
      </c>
      <c r="W65">
        <v>1</v>
      </c>
      <c r="X65" s="11" t="s">
        <v>110</v>
      </c>
      <c r="Y65" s="28">
        <v>45043</v>
      </c>
      <c r="Z65" s="28">
        <v>45047</v>
      </c>
      <c r="AA65" s="29">
        <v>14.4299403932821</v>
      </c>
      <c r="AB65" s="22">
        <v>4</v>
      </c>
      <c r="AC65" s="30" t="s">
        <v>198</v>
      </c>
      <c r="AD65" s="30" t="s">
        <v>199</v>
      </c>
      <c r="AE65" s="30" t="s">
        <v>177</v>
      </c>
      <c r="AF65" s="30" t="s">
        <v>225</v>
      </c>
      <c r="AG65">
        <v>330</v>
      </c>
      <c r="AH65" t="s">
        <v>712</v>
      </c>
      <c r="AI65" t="s">
        <v>1698</v>
      </c>
      <c r="AK65" t="s">
        <v>831</v>
      </c>
    </row>
    <row r="66" spans="1:37">
      <c r="A66" s="5" t="s">
        <v>713</v>
      </c>
      <c r="B66" s="103">
        <v>44756</v>
      </c>
      <c r="C66" s="5" t="s">
        <v>487</v>
      </c>
      <c r="D66" s="1" t="s">
        <v>256</v>
      </c>
      <c r="E66" s="2">
        <v>17</v>
      </c>
      <c r="F66" s="1" t="s">
        <v>256</v>
      </c>
      <c r="G66" s="2" t="s">
        <v>14</v>
      </c>
      <c r="H66" s="2" t="s">
        <v>13</v>
      </c>
      <c r="I66" s="1"/>
      <c r="J66" s="2" t="s">
        <v>40</v>
      </c>
      <c r="K66" s="1" t="s">
        <v>256</v>
      </c>
      <c r="L66" s="1" t="s">
        <v>493</v>
      </c>
      <c r="M66" s="1" t="s">
        <v>493</v>
      </c>
      <c r="N66" s="1" t="s">
        <v>493</v>
      </c>
      <c r="O66" s="1" t="s">
        <v>493</v>
      </c>
      <c r="P66" s="8">
        <v>15.281599999999999</v>
      </c>
      <c r="Q66" s="117">
        <f t="shared" si="0"/>
        <v>44756</v>
      </c>
      <c r="R66" s="20">
        <v>44893</v>
      </c>
      <c r="S66" s="33">
        <f t="shared" si="1"/>
        <v>137</v>
      </c>
      <c r="T66" s="7">
        <v>5.01</v>
      </c>
      <c r="V66" t="s">
        <v>35</v>
      </c>
      <c r="W66">
        <v>1</v>
      </c>
      <c r="X66" s="11" t="s">
        <v>112</v>
      </c>
      <c r="Y66" s="28">
        <v>45043</v>
      </c>
      <c r="Z66" s="28">
        <v>45047</v>
      </c>
      <c r="AA66" s="29">
        <v>14.096790415745867</v>
      </c>
      <c r="AB66" s="22">
        <v>4</v>
      </c>
      <c r="AC66" s="30" t="s">
        <v>204</v>
      </c>
      <c r="AD66" s="30" t="s">
        <v>205</v>
      </c>
      <c r="AE66" s="30" t="s">
        <v>177</v>
      </c>
      <c r="AF66" s="30" t="s">
        <v>225</v>
      </c>
      <c r="AG66">
        <v>366</v>
      </c>
      <c r="AH66" t="s">
        <v>713</v>
      </c>
      <c r="AI66" t="s">
        <v>1698</v>
      </c>
      <c r="AK66" t="s">
        <v>832</v>
      </c>
    </row>
    <row r="67" spans="1:37">
      <c r="A67" s="5" t="s">
        <v>714</v>
      </c>
      <c r="B67" s="103">
        <v>44756</v>
      </c>
      <c r="C67" s="5" t="s">
        <v>487</v>
      </c>
      <c r="D67" s="1" t="s">
        <v>256</v>
      </c>
      <c r="E67" s="2">
        <v>18</v>
      </c>
      <c r="F67" s="1" t="s">
        <v>256</v>
      </c>
      <c r="G67" s="2" t="s">
        <v>12</v>
      </c>
      <c r="H67" s="2" t="s">
        <v>13</v>
      </c>
      <c r="I67" s="1"/>
      <c r="J67" s="2" t="s">
        <v>254</v>
      </c>
      <c r="K67" s="1" t="s">
        <v>256</v>
      </c>
      <c r="L67" s="1" t="s">
        <v>493</v>
      </c>
      <c r="M67" s="1" t="s">
        <v>493</v>
      </c>
      <c r="N67" s="1" t="s">
        <v>493</v>
      </c>
      <c r="O67" s="1" t="s">
        <v>493</v>
      </c>
      <c r="P67" s="8">
        <v>17.497</v>
      </c>
      <c r="Q67" s="117">
        <f t="shared" ref="Q67:Q130" si="2">B67</f>
        <v>44756</v>
      </c>
      <c r="R67" s="20">
        <v>44893</v>
      </c>
      <c r="S67" s="33">
        <f t="shared" ref="S67:S130" si="3">R67-Q67</f>
        <v>137</v>
      </c>
      <c r="T67" s="7">
        <v>8.86</v>
      </c>
      <c r="V67" t="s">
        <v>35</v>
      </c>
      <c r="W67">
        <v>1</v>
      </c>
      <c r="X67" s="11" t="s">
        <v>105</v>
      </c>
      <c r="Y67" s="28">
        <v>45043</v>
      </c>
      <c r="Z67" s="28">
        <v>45047</v>
      </c>
      <c r="AA67" s="29">
        <v>24.136828459393126</v>
      </c>
      <c r="AB67" s="22">
        <v>4</v>
      </c>
      <c r="AC67" s="30" t="s">
        <v>194</v>
      </c>
      <c r="AD67" s="30" t="s">
        <v>195</v>
      </c>
      <c r="AE67" s="30" t="s">
        <v>178</v>
      </c>
      <c r="AF67" s="30" t="s">
        <v>226</v>
      </c>
      <c r="AG67">
        <v>307</v>
      </c>
      <c r="AH67" t="s">
        <v>714</v>
      </c>
      <c r="AI67" t="s">
        <v>1698</v>
      </c>
      <c r="AK67" t="s">
        <v>833</v>
      </c>
    </row>
    <row r="68" spans="1:37">
      <c r="A68" s="5" t="s">
        <v>715</v>
      </c>
      <c r="B68" s="103">
        <v>44756</v>
      </c>
      <c r="C68" s="5" t="s">
        <v>487</v>
      </c>
      <c r="D68" s="1" t="s">
        <v>256</v>
      </c>
      <c r="E68" s="2">
        <v>19</v>
      </c>
      <c r="F68" s="1" t="s">
        <v>256</v>
      </c>
      <c r="G68" s="2" t="s">
        <v>9</v>
      </c>
      <c r="H68" s="2" t="s">
        <v>10</v>
      </c>
      <c r="I68" s="1"/>
      <c r="J68" s="2" t="s">
        <v>253</v>
      </c>
      <c r="K68" s="1" t="s">
        <v>256</v>
      </c>
      <c r="L68" s="1" t="s">
        <v>493</v>
      </c>
      <c r="M68" s="1" t="s">
        <v>493</v>
      </c>
      <c r="N68" s="1" t="s">
        <v>493</v>
      </c>
      <c r="O68" s="1" t="s">
        <v>493</v>
      </c>
      <c r="P68" s="8">
        <v>10.903700000000001</v>
      </c>
      <c r="Q68" s="117">
        <f t="shared" si="2"/>
        <v>44756</v>
      </c>
      <c r="R68" s="20">
        <v>44893</v>
      </c>
      <c r="S68" s="33">
        <f t="shared" si="3"/>
        <v>137</v>
      </c>
      <c r="T68" s="7">
        <v>0.65600000000000003</v>
      </c>
      <c r="V68" t="s">
        <v>35</v>
      </c>
      <c r="W68">
        <v>1</v>
      </c>
      <c r="X68" s="11" t="s">
        <v>142</v>
      </c>
      <c r="Y68" s="28">
        <v>45043</v>
      </c>
      <c r="Z68" s="28">
        <v>45047</v>
      </c>
      <c r="AA68" s="29">
        <v>27.529832845992924</v>
      </c>
      <c r="AB68" s="22">
        <v>4</v>
      </c>
      <c r="AC68" s="30" t="s">
        <v>200</v>
      </c>
      <c r="AD68" s="30" t="s">
        <v>201</v>
      </c>
      <c r="AE68" s="30" t="s">
        <v>178</v>
      </c>
      <c r="AF68" s="30" t="s">
        <v>226</v>
      </c>
      <c r="AG68">
        <v>343</v>
      </c>
      <c r="AH68" t="s">
        <v>715</v>
      </c>
      <c r="AI68" t="s">
        <v>1698</v>
      </c>
      <c r="AK68" t="s">
        <v>834</v>
      </c>
    </row>
    <row r="69" spans="1:37">
      <c r="A69" s="5" t="s">
        <v>716</v>
      </c>
      <c r="B69" s="103">
        <v>44756</v>
      </c>
      <c r="C69" s="5" t="s">
        <v>487</v>
      </c>
      <c r="D69" s="1" t="s">
        <v>256</v>
      </c>
      <c r="E69" s="2">
        <v>20</v>
      </c>
      <c r="F69" s="1" t="s">
        <v>256</v>
      </c>
      <c r="G69" s="2" t="s">
        <v>11</v>
      </c>
      <c r="H69" s="2" t="s">
        <v>10</v>
      </c>
      <c r="I69" s="1"/>
      <c r="J69" s="2" t="s">
        <v>40</v>
      </c>
      <c r="K69" s="1" t="s">
        <v>256</v>
      </c>
      <c r="L69" s="1" t="s">
        <v>493</v>
      </c>
      <c r="M69" s="1" t="s">
        <v>493</v>
      </c>
      <c r="N69" s="1" t="s">
        <v>493</v>
      </c>
      <c r="O69" s="1" t="s">
        <v>493</v>
      </c>
      <c r="P69" s="8">
        <v>13.937799999999999</v>
      </c>
      <c r="Q69" s="117">
        <f t="shared" si="2"/>
        <v>44756</v>
      </c>
      <c r="R69" s="20">
        <v>44894</v>
      </c>
      <c r="S69" s="33">
        <f t="shared" si="3"/>
        <v>138</v>
      </c>
      <c r="T69" s="7">
        <v>2.48</v>
      </c>
      <c r="V69" t="s">
        <v>35</v>
      </c>
      <c r="W69">
        <v>1</v>
      </c>
      <c r="X69" s="11" t="s">
        <v>139</v>
      </c>
      <c r="Y69" s="28">
        <v>45043</v>
      </c>
      <c r="Z69" s="28">
        <v>45047</v>
      </c>
      <c r="AA69" s="29">
        <v>22.278265475604563</v>
      </c>
      <c r="AB69" s="22">
        <v>4</v>
      </c>
      <c r="AC69" s="30" t="s">
        <v>206</v>
      </c>
      <c r="AD69" s="30" t="s">
        <v>207</v>
      </c>
      <c r="AE69" s="30" t="s">
        <v>178</v>
      </c>
      <c r="AF69" s="30" t="s">
        <v>226</v>
      </c>
      <c r="AG69">
        <v>379</v>
      </c>
      <c r="AH69" t="s">
        <v>716</v>
      </c>
      <c r="AI69" t="s">
        <v>1698</v>
      </c>
      <c r="AK69" t="s">
        <v>835</v>
      </c>
    </row>
    <row r="70" spans="1:37">
      <c r="A70" s="5" t="s">
        <v>717</v>
      </c>
      <c r="B70" s="103">
        <v>44756</v>
      </c>
      <c r="C70" s="5" t="s">
        <v>487</v>
      </c>
      <c r="D70" s="1" t="s">
        <v>256</v>
      </c>
      <c r="E70" s="2">
        <v>21</v>
      </c>
      <c r="F70" s="1" t="s">
        <v>256</v>
      </c>
      <c r="G70" s="2" t="s">
        <v>14</v>
      </c>
      <c r="H70" s="2" t="s">
        <v>13</v>
      </c>
      <c r="I70" s="1"/>
      <c r="J70" s="2" t="s">
        <v>40</v>
      </c>
      <c r="K70" s="1" t="s">
        <v>256</v>
      </c>
      <c r="L70" s="1" t="s">
        <v>493</v>
      </c>
      <c r="M70" s="1" t="s">
        <v>493</v>
      </c>
      <c r="N70" s="1" t="s">
        <v>493</v>
      </c>
      <c r="O70" s="1" t="s">
        <v>493</v>
      </c>
      <c r="P70" s="8">
        <v>17.104299999999999</v>
      </c>
      <c r="Q70" s="117">
        <f t="shared" si="2"/>
        <v>44756</v>
      </c>
      <c r="R70" s="20">
        <v>44893</v>
      </c>
      <c r="S70" s="33">
        <f t="shared" si="3"/>
        <v>137</v>
      </c>
      <c r="T70" s="7">
        <v>4.22</v>
      </c>
      <c r="V70" t="s">
        <v>35</v>
      </c>
      <c r="W70">
        <v>1</v>
      </c>
      <c r="X70" s="11" t="s">
        <v>121</v>
      </c>
      <c r="Y70" s="28">
        <v>45043</v>
      </c>
      <c r="Z70" s="28">
        <v>45047</v>
      </c>
      <c r="AA70" s="29">
        <v>11.313074126138066</v>
      </c>
      <c r="AB70" s="22">
        <v>4</v>
      </c>
      <c r="AC70" s="30" t="s">
        <v>196</v>
      </c>
      <c r="AD70" s="30" t="s">
        <v>197</v>
      </c>
      <c r="AE70" s="30" t="s">
        <v>179</v>
      </c>
      <c r="AF70" s="30" t="s">
        <v>227</v>
      </c>
      <c r="AG70">
        <v>320</v>
      </c>
      <c r="AH70" t="s">
        <v>717</v>
      </c>
      <c r="AI70" t="s">
        <v>1698</v>
      </c>
      <c r="AK70" t="s">
        <v>836</v>
      </c>
    </row>
    <row r="71" spans="1:37">
      <c r="A71" s="5" t="s">
        <v>718</v>
      </c>
      <c r="B71" s="103">
        <v>44756</v>
      </c>
      <c r="C71" s="5" t="s">
        <v>487</v>
      </c>
      <c r="D71" s="1" t="s">
        <v>256</v>
      </c>
      <c r="E71" s="2">
        <v>22</v>
      </c>
      <c r="F71" s="1" t="s">
        <v>256</v>
      </c>
      <c r="G71" s="2" t="s">
        <v>12</v>
      </c>
      <c r="H71" s="2" t="s">
        <v>13</v>
      </c>
      <c r="I71" s="1"/>
      <c r="J71" s="2" t="s">
        <v>254</v>
      </c>
      <c r="K71" s="1" t="s">
        <v>256</v>
      </c>
      <c r="L71" s="1" t="s">
        <v>493</v>
      </c>
      <c r="M71" s="1" t="s">
        <v>493</v>
      </c>
      <c r="N71" s="1" t="s">
        <v>493</v>
      </c>
      <c r="O71" s="1" t="s">
        <v>493</v>
      </c>
      <c r="P71" s="8">
        <v>15.5319</v>
      </c>
      <c r="Q71" s="117">
        <f t="shared" si="2"/>
        <v>44756</v>
      </c>
      <c r="R71" s="20">
        <v>44894</v>
      </c>
      <c r="S71" s="33">
        <f t="shared" si="3"/>
        <v>138</v>
      </c>
      <c r="T71" s="7">
        <v>0.02</v>
      </c>
      <c r="V71" t="s">
        <v>35</v>
      </c>
      <c r="W71">
        <v>1</v>
      </c>
      <c r="X71" s="27" t="s">
        <v>256</v>
      </c>
      <c r="Y71" s="27" t="s">
        <v>256</v>
      </c>
      <c r="Z71" s="27" t="s">
        <v>256</v>
      </c>
      <c r="AA71" s="8" t="s">
        <v>256</v>
      </c>
      <c r="AB71" s="8" t="s">
        <v>256</v>
      </c>
      <c r="AC71" s="31" t="e">
        <v>#N/A</v>
      </c>
      <c r="AD71" s="31" t="e">
        <v>#N/A</v>
      </c>
      <c r="AE71" s="31" t="e">
        <v>#N/A</v>
      </c>
      <c r="AF71" s="31" t="e">
        <v>#N/A</v>
      </c>
      <c r="AG71" s="3" t="s">
        <v>256</v>
      </c>
      <c r="AH71" s="3"/>
      <c r="AI71" s="3" t="s">
        <v>256</v>
      </c>
      <c r="AJ71" s="9" t="s">
        <v>1787</v>
      </c>
    </row>
    <row r="72" spans="1:37">
      <c r="A72" s="5" t="s">
        <v>719</v>
      </c>
      <c r="B72" s="103">
        <v>44756</v>
      </c>
      <c r="C72" s="5" t="s">
        <v>487</v>
      </c>
      <c r="D72" s="1" t="s">
        <v>256</v>
      </c>
      <c r="E72" s="2">
        <v>23</v>
      </c>
      <c r="F72" s="1" t="s">
        <v>256</v>
      </c>
      <c r="G72" s="2" t="s">
        <v>15</v>
      </c>
      <c r="H72" s="2" t="s">
        <v>13</v>
      </c>
      <c r="I72" s="1"/>
      <c r="J72" s="2" t="s">
        <v>253</v>
      </c>
      <c r="K72" s="1" t="s">
        <v>256</v>
      </c>
      <c r="L72" s="1" t="s">
        <v>493</v>
      </c>
      <c r="M72" s="1" t="s">
        <v>493</v>
      </c>
      <c r="N72" s="1" t="s">
        <v>493</v>
      </c>
      <c r="O72" s="1" t="s">
        <v>493</v>
      </c>
      <c r="P72" s="8">
        <v>15.396699999999999</v>
      </c>
      <c r="Q72" s="117">
        <f t="shared" si="2"/>
        <v>44756</v>
      </c>
      <c r="R72" s="20">
        <v>44894</v>
      </c>
      <c r="S72" s="33">
        <f t="shared" si="3"/>
        <v>138</v>
      </c>
      <c r="T72" s="7">
        <v>3.62</v>
      </c>
      <c r="V72" t="s">
        <v>35</v>
      </c>
      <c r="W72">
        <v>1</v>
      </c>
      <c r="X72" s="11" t="s">
        <v>115</v>
      </c>
      <c r="Y72" s="28">
        <v>45043</v>
      </c>
      <c r="Z72" s="28">
        <v>45047</v>
      </c>
      <c r="AA72" s="29">
        <v>17.400304306287818</v>
      </c>
      <c r="AB72" s="22">
        <v>4</v>
      </c>
      <c r="AC72" s="30" t="s">
        <v>202</v>
      </c>
      <c r="AD72" s="30" t="s">
        <v>203</v>
      </c>
      <c r="AE72" s="30" t="s">
        <v>179</v>
      </c>
      <c r="AF72" s="30" t="s">
        <v>227</v>
      </c>
      <c r="AG72">
        <v>356</v>
      </c>
      <c r="AH72" t="s">
        <v>719</v>
      </c>
      <c r="AI72" t="s">
        <v>1698</v>
      </c>
      <c r="AK72" t="s">
        <v>837</v>
      </c>
    </row>
    <row r="73" spans="1:37">
      <c r="A73" s="5" t="s">
        <v>720</v>
      </c>
      <c r="B73" s="103">
        <v>44756</v>
      </c>
      <c r="C73" s="5" t="s">
        <v>487</v>
      </c>
      <c r="D73" s="1" t="s">
        <v>256</v>
      </c>
      <c r="E73" s="2">
        <v>24</v>
      </c>
      <c r="F73" s="1" t="s">
        <v>256</v>
      </c>
      <c r="G73" s="2" t="s">
        <v>16</v>
      </c>
      <c r="H73" s="2" t="s">
        <v>10</v>
      </c>
      <c r="I73" s="1"/>
      <c r="J73" s="2" t="s">
        <v>254</v>
      </c>
      <c r="K73" s="1" t="s">
        <v>256</v>
      </c>
      <c r="L73" s="1" t="s">
        <v>493</v>
      </c>
      <c r="M73" s="1" t="s">
        <v>493</v>
      </c>
      <c r="N73" s="1" t="s">
        <v>493</v>
      </c>
      <c r="O73" s="1" t="s">
        <v>493</v>
      </c>
      <c r="P73" s="8">
        <v>15.1089</v>
      </c>
      <c r="Q73" s="117">
        <f t="shared" si="2"/>
        <v>44756</v>
      </c>
      <c r="R73" s="20">
        <v>44894</v>
      </c>
      <c r="S73" s="33">
        <f t="shared" si="3"/>
        <v>138</v>
      </c>
      <c r="T73" s="7">
        <v>2.91</v>
      </c>
      <c r="V73" t="s">
        <v>35</v>
      </c>
      <c r="W73">
        <v>1</v>
      </c>
      <c r="X73" s="11" t="s">
        <v>125</v>
      </c>
      <c r="Y73" s="28">
        <v>45043</v>
      </c>
      <c r="Z73" s="28">
        <v>45047</v>
      </c>
      <c r="AA73" s="29">
        <v>19.02077281787837</v>
      </c>
      <c r="AB73" s="22">
        <v>4</v>
      </c>
      <c r="AC73" s="30" t="s">
        <v>196</v>
      </c>
      <c r="AD73" s="30" t="s">
        <v>197</v>
      </c>
      <c r="AE73" s="30" t="s">
        <v>180</v>
      </c>
      <c r="AF73" s="30" t="s">
        <v>228</v>
      </c>
      <c r="AG73">
        <v>321</v>
      </c>
      <c r="AH73" t="s">
        <v>720</v>
      </c>
      <c r="AI73" t="s">
        <v>1698</v>
      </c>
      <c r="AK73" t="s">
        <v>838</v>
      </c>
    </row>
    <row r="74" spans="1:37">
      <c r="A74" s="5" t="s">
        <v>758</v>
      </c>
      <c r="B74" s="12" t="s">
        <v>256</v>
      </c>
      <c r="C74" s="5" t="s">
        <v>256</v>
      </c>
      <c r="D74" s="1" t="s">
        <v>256</v>
      </c>
      <c r="E74" s="3" t="s">
        <v>256</v>
      </c>
      <c r="F74" s="1" t="s">
        <v>256</v>
      </c>
      <c r="G74" s="3" t="s">
        <v>256</v>
      </c>
      <c r="H74" s="3" t="s">
        <v>256</v>
      </c>
      <c r="I74" s="1"/>
      <c r="J74" s="3" t="s">
        <v>256</v>
      </c>
      <c r="K74" s="1" t="s">
        <v>256</v>
      </c>
      <c r="L74" s="1" t="s">
        <v>493</v>
      </c>
      <c r="M74" s="1" t="s">
        <v>493</v>
      </c>
      <c r="N74" s="1" t="s">
        <v>493</v>
      </c>
      <c r="O74" s="1" t="s">
        <v>493</v>
      </c>
      <c r="P74" s="8" t="s">
        <v>256</v>
      </c>
      <c r="Q74" s="117" t="str">
        <f t="shared" si="2"/>
        <v>N/A</v>
      </c>
      <c r="R74" s="27" t="s">
        <v>256</v>
      </c>
      <c r="S74" s="27" t="s">
        <v>256</v>
      </c>
      <c r="T74" s="8" t="s">
        <v>256</v>
      </c>
      <c r="V74" t="s">
        <v>35</v>
      </c>
      <c r="W74">
        <v>1</v>
      </c>
      <c r="X74" s="11" t="s">
        <v>126</v>
      </c>
      <c r="Y74" s="28">
        <v>45043</v>
      </c>
      <c r="Z74" s="28">
        <v>45047</v>
      </c>
      <c r="AA74" s="29">
        <v>7.9802340306214905</v>
      </c>
      <c r="AB74" s="22">
        <v>4</v>
      </c>
      <c r="AC74" s="30" t="s">
        <v>202</v>
      </c>
      <c r="AD74" s="30" t="s">
        <v>203</v>
      </c>
      <c r="AE74" s="30" t="s">
        <v>180</v>
      </c>
      <c r="AF74" s="30" t="s">
        <v>228</v>
      </c>
      <c r="AG74">
        <v>357</v>
      </c>
      <c r="AH74" t="s">
        <v>1778</v>
      </c>
      <c r="AI74" t="s">
        <v>1698</v>
      </c>
      <c r="AK74" t="s">
        <v>1779</v>
      </c>
    </row>
    <row r="75" spans="1:37">
      <c r="A75" s="5" t="s">
        <v>759</v>
      </c>
      <c r="B75" s="12" t="s">
        <v>256</v>
      </c>
      <c r="C75" s="5" t="s">
        <v>256</v>
      </c>
      <c r="D75" s="1" t="s">
        <v>256</v>
      </c>
      <c r="E75" s="3" t="s">
        <v>256</v>
      </c>
      <c r="F75" s="1" t="s">
        <v>256</v>
      </c>
      <c r="G75" s="3" t="s">
        <v>256</v>
      </c>
      <c r="H75" s="3" t="s">
        <v>256</v>
      </c>
      <c r="I75" s="1"/>
      <c r="J75" s="3" t="s">
        <v>256</v>
      </c>
      <c r="K75" s="1" t="s">
        <v>256</v>
      </c>
      <c r="L75" s="1" t="s">
        <v>493</v>
      </c>
      <c r="M75" s="1" t="s">
        <v>493</v>
      </c>
      <c r="N75" s="1" t="s">
        <v>493</v>
      </c>
      <c r="O75" s="1" t="s">
        <v>493</v>
      </c>
      <c r="P75" s="8" t="s">
        <v>256</v>
      </c>
      <c r="Q75" s="117" t="str">
        <f t="shared" si="2"/>
        <v>N/A</v>
      </c>
      <c r="R75" s="27" t="s">
        <v>256</v>
      </c>
      <c r="S75" s="27" t="s">
        <v>256</v>
      </c>
      <c r="T75" s="8" t="s">
        <v>256</v>
      </c>
      <c r="V75" t="s">
        <v>35</v>
      </c>
      <c r="W75">
        <v>1</v>
      </c>
      <c r="X75" s="11" t="s">
        <v>127</v>
      </c>
      <c r="Y75" s="28">
        <v>45043</v>
      </c>
      <c r="Z75" s="28">
        <v>45047</v>
      </c>
      <c r="AA75" s="29">
        <v>32.351243227362261</v>
      </c>
      <c r="AB75" s="22">
        <v>4</v>
      </c>
      <c r="AC75" s="30" t="s">
        <v>206</v>
      </c>
      <c r="AD75" s="30" t="s">
        <v>207</v>
      </c>
      <c r="AE75" s="30" t="s">
        <v>180</v>
      </c>
      <c r="AF75" s="30" t="s">
        <v>228</v>
      </c>
      <c r="AG75">
        <v>381</v>
      </c>
      <c r="AH75" t="s">
        <v>1780</v>
      </c>
      <c r="AI75" t="s">
        <v>1698</v>
      </c>
      <c r="AK75" t="s">
        <v>1781</v>
      </c>
    </row>
    <row r="76" spans="1:37">
      <c r="A76" s="5" t="s">
        <v>650</v>
      </c>
      <c r="B76" s="103">
        <v>44746</v>
      </c>
      <c r="C76" s="5" t="s">
        <v>487</v>
      </c>
      <c r="D76" s="1" t="s">
        <v>256</v>
      </c>
      <c r="E76" s="2">
        <v>1</v>
      </c>
      <c r="F76" s="1" t="s">
        <v>256</v>
      </c>
      <c r="G76" s="2" t="s">
        <v>9</v>
      </c>
      <c r="H76" s="2" t="s">
        <v>10</v>
      </c>
      <c r="I76" s="1"/>
      <c r="J76" s="2" t="s">
        <v>253</v>
      </c>
      <c r="K76" s="1" t="s">
        <v>256</v>
      </c>
      <c r="L76" s="1" t="s">
        <v>493</v>
      </c>
      <c r="M76" s="1" t="s">
        <v>493</v>
      </c>
      <c r="N76" s="1" t="s">
        <v>493</v>
      </c>
      <c r="O76" s="1" t="s">
        <v>493</v>
      </c>
      <c r="P76" s="8">
        <v>12.436400000000001</v>
      </c>
      <c r="Q76" s="117">
        <f t="shared" si="2"/>
        <v>44746</v>
      </c>
      <c r="R76" s="20">
        <v>44860</v>
      </c>
      <c r="S76" s="33">
        <f t="shared" si="3"/>
        <v>114</v>
      </c>
      <c r="T76" s="7">
        <v>13.6</v>
      </c>
      <c r="V76" t="s">
        <v>36</v>
      </c>
      <c r="W76">
        <v>1</v>
      </c>
      <c r="X76" s="11" t="s">
        <v>41</v>
      </c>
      <c r="Y76" s="28">
        <v>45050</v>
      </c>
      <c r="Z76" s="28">
        <v>45077</v>
      </c>
      <c r="AA76" s="29">
        <v>22.512109725409299</v>
      </c>
      <c r="AB76" s="22">
        <v>4</v>
      </c>
      <c r="AC76" s="30" t="s">
        <v>42</v>
      </c>
      <c r="AD76" s="30" t="s">
        <v>193</v>
      </c>
      <c r="AE76" s="30" t="s">
        <v>173</v>
      </c>
      <c r="AF76" s="30" t="s">
        <v>221</v>
      </c>
      <c r="AG76">
        <v>289</v>
      </c>
      <c r="AH76" t="s">
        <v>785</v>
      </c>
      <c r="AI76" t="s">
        <v>1699</v>
      </c>
    </row>
    <row r="77" spans="1:37">
      <c r="A77" s="5" t="s">
        <v>651</v>
      </c>
      <c r="B77" s="103">
        <v>44746</v>
      </c>
      <c r="C77" s="5" t="s">
        <v>487</v>
      </c>
      <c r="D77" s="1" t="s">
        <v>256</v>
      </c>
      <c r="E77" s="2">
        <v>2</v>
      </c>
      <c r="F77" s="1" t="s">
        <v>256</v>
      </c>
      <c r="G77" s="2" t="s">
        <v>11</v>
      </c>
      <c r="H77" s="2" t="s">
        <v>10</v>
      </c>
      <c r="I77" s="1"/>
      <c r="J77" s="2" t="s">
        <v>40</v>
      </c>
      <c r="K77" s="1" t="s">
        <v>256</v>
      </c>
      <c r="L77" s="1" t="s">
        <v>493</v>
      </c>
      <c r="M77" s="1" t="s">
        <v>493</v>
      </c>
      <c r="N77" s="1" t="s">
        <v>493</v>
      </c>
      <c r="O77" s="1" t="s">
        <v>493</v>
      </c>
      <c r="P77" s="8">
        <v>13.9336</v>
      </c>
      <c r="Q77" s="117">
        <f t="shared" si="2"/>
        <v>44746</v>
      </c>
      <c r="R77" s="20">
        <v>44861</v>
      </c>
      <c r="S77" s="33">
        <f t="shared" si="3"/>
        <v>115</v>
      </c>
      <c r="T77" s="7">
        <v>9.34</v>
      </c>
      <c r="V77" t="s">
        <v>36</v>
      </c>
      <c r="W77">
        <v>1</v>
      </c>
      <c r="X77" s="11" t="s">
        <v>48</v>
      </c>
      <c r="Y77" s="28">
        <v>45050</v>
      </c>
      <c r="Z77" s="28">
        <v>45077</v>
      </c>
      <c r="AA77" s="29">
        <v>29.10842435400799</v>
      </c>
      <c r="AB77" s="22">
        <v>4</v>
      </c>
      <c r="AC77" s="30" t="s">
        <v>198</v>
      </c>
      <c r="AD77" s="30" t="s">
        <v>199</v>
      </c>
      <c r="AE77" s="30" t="s">
        <v>173</v>
      </c>
      <c r="AF77" s="30" t="s">
        <v>221</v>
      </c>
      <c r="AG77">
        <v>325</v>
      </c>
      <c r="AH77" t="s">
        <v>786</v>
      </c>
      <c r="AI77" t="s">
        <v>1699</v>
      </c>
    </row>
    <row r="78" spans="1:37">
      <c r="A78" s="5" t="s">
        <v>652</v>
      </c>
      <c r="B78" s="103">
        <v>44746</v>
      </c>
      <c r="C78" s="5" t="s">
        <v>487</v>
      </c>
      <c r="D78" s="1" t="s">
        <v>256</v>
      </c>
      <c r="E78" s="2">
        <v>3</v>
      </c>
      <c r="F78" s="1" t="s">
        <v>256</v>
      </c>
      <c r="G78" s="2" t="s">
        <v>12</v>
      </c>
      <c r="H78" s="2" t="s">
        <v>13</v>
      </c>
      <c r="I78" s="1"/>
      <c r="J78" s="2" t="s">
        <v>254</v>
      </c>
      <c r="K78" s="1" t="s">
        <v>256</v>
      </c>
      <c r="L78" s="1" t="s">
        <v>493</v>
      </c>
      <c r="M78" s="1" t="s">
        <v>493</v>
      </c>
      <c r="N78" s="1" t="s">
        <v>493</v>
      </c>
      <c r="O78" s="1" t="s">
        <v>493</v>
      </c>
      <c r="P78" s="8">
        <v>12.9116</v>
      </c>
      <c r="Q78" s="117">
        <f t="shared" si="2"/>
        <v>44746</v>
      </c>
      <c r="R78" s="20">
        <v>44860</v>
      </c>
      <c r="S78" s="33">
        <f t="shared" si="3"/>
        <v>114</v>
      </c>
      <c r="T78" s="7">
        <v>16.7</v>
      </c>
      <c r="V78" t="s">
        <v>36</v>
      </c>
      <c r="W78">
        <v>1</v>
      </c>
      <c r="X78" s="11" t="s">
        <v>54</v>
      </c>
      <c r="Y78" s="28">
        <v>45050</v>
      </c>
      <c r="Z78" s="28">
        <v>45077</v>
      </c>
      <c r="AA78" s="29">
        <v>26.435885439939792</v>
      </c>
      <c r="AB78" s="22">
        <v>4</v>
      </c>
      <c r="AC78" s="30" t="s">
        <v>204</v>
      </c>
      <c r="AD78" s="30" t="s">
        <v>205</v>
      </c>
      <c r="AE78" s="30" t="s">
        <v>173</v>
      </c>
      <c r="AF78" s="30" t="s">
        <v>221</v>
      </c>
      <c r="AG78">
        <v>361</v>
      </c>
      <c r="AH78" t="s">
        <v>787</v>
      </c>
      <c r="AI78" t="s">
        <v>1699</v>
      </c>
    </row>
    <row r="79" spans="1:37">
      <c r="A79" s="5" t="s">
        <v>653</v>
      </c>
      <c r="B79" s="103">
        <v>44746</v>
      </c>
      <c r="C79" s="5" t="s">
        <v>487</v>
      </c>
      <c r="D79" s="1" t="s">
        <v>256</v>
      </c>
      <c r="E79" s="2">
        <v>4</v>
      </c>
      <c r="F79" s="1" t="s">
        <v>256</v>
      </c>
      <c r="G79" s="2" t="s">
        <v>14</v>
      </c>
      <c r="H79" s="2" t="s">
        <v>13</v>
      </c>
      <c r="I79" s="1"/>
      <c r="J79" s="2" t="s">
        <v>40</v>
      </c>
      <c r="K79" s="1" t="s">
        <v>256</v>
      </c>
      <c r="L79" s="1" t="s">
        <v>493</v>
      </c>
      <c r="M79" s="1" t="s">
        <v>493</v>
      </c>
      <c r="N79" s="1" t="s">
        <v>493</v>
      </c>
      <c r="O79" s="1" t="s">
        <v>493</v>
      </c>
      <c r="P79" s="8">
        <v>13.4499</v>
      </c>
      <c r="Q79" s="117">
        <f t="shared" si="2"/>
        <v>44746</v>
      </c>
      <c r="R79" s="20">
        <v>44861</v>
      </c>
      <c r="S79" s="33">
        <f t="shared" si="3"/>
        <v>115</v>
      </c>
      <c r="T79" s="7">
        <v>45.6</v>
      </c>
      <c r="V79" t="s">
        <v>36</v>
      </c>
      <c r="W79">
        <v>1</v>
      </c>
      <c r="X79" s="11" t="s">
        <v>78</v>
      </c>
      <c r="Y79" s="28">
        <v>45050</v>
      </c>
      <c r="Z79" s="28">
        <v>45077</v>
      </c>
      <c r="AA79" s="29">
        <v>19.651499447324479</v>
      </c>
      <c r="AB79" s="22">
        <v>4</v>
      </c>
      <c r="AC79" s="30" t="s">
        <v>194</v>
      </c>
      <c r="AD79" s="30" t="s">
        <v>195</v>
      </c>
      <c r="AE79" s="30" t="s">
        <v>234</v>
      </c>
      <c r="AF79" s="30" t="s">
        <v>235</v>
      </c>
      <c r="AG79">
        <v>310</v>
      </c>
      <c r="AH79" t="s">
        <v>788</v>
      </c>
      <c r="AI79" t="s">
        <v>1699</v>
      </c>
    </row>
    <row r="80" spans="1:37">
      <c r="A80" s="5" t="s">
        <v>654</v>
      </c>
      <c r="B80" s="103">
        <v>44746</v>
      </c>
      <c r="C80" s="5" t="s">
        <v>487</v>
      </c>
      <c r="D80" s="1" t="s">
        <v>256</v>
      </c>
      <c r="E80" s="2">
        <v>5</v>
      </c>
      <c r="F80" s="1" t="s">
        <v>256</v>
      </c>
      <c r="G80" s="2" t="s">
        <v>15</v>
      </c>
      <c r="H80" s="2" t="s">
        <v>13</v>
      </c>
      <c r="I80" s="1"/>
      <c r="J80" s="2" t="s">
        <v>253</v>
      </c>
      <c r="K80" s="1" t="s">
        <v>256</v>
      </c>
      <c r="L80" s="1" t="s">
        <v>493</v>
      </c>
      <c r="M80" s="1" t="s">
        <v>493</v>
      </c>
      <c r="N80" s="1" t="s">
        <v>493</v>
      </c>
      <c r="O80" s="1" t="s">
        <v>493</v>
      </c>
      <c r="P80" s="8">
        <v>12.716799999999999</v>
      </c>
      <c r="Q80" s="117">
        <f t="shared" si="2"/>
        <v>44746</v>
      </c>
      <c r="R80" s="20">
        <v>44861</v>
      </c>
      <c r="S80" s="33">
        <f t="shared" si="3"/>
        <v>115</v>
      </c>
      <c r="T80" s="7">
        <v>11.5</v>
      </c>
      <c r="V80" t="s">
        <v>36</v>
      </c>
      <c r="W80">
        <v>1</v>
      </c>
      <c r="X80" s="11" t="s">
        <v>144</v>
      </c>
      <c r="Y80" s="28">
        <v>45050</v>
      </c>
      <c r="Z80" s="28">
        <v>45077</v>
      </c>
      <c r="AA80" s="29">
        <v>20.714360408274342</v>
      </c>
      <c r="AB80" s="22">
        <v>4</v>
      </c>
      <c r="AC80" s="30" t="s">
        <v>200</v>
      </c>
      <c r="AD80" s="30" t="s">
        <v>201</v>
      </c>
      <c r="AE80" s="30" t="s">
        <v>234</v>
      </c>
      <c r="AF80" s="30" t="s">
        <v>235</v>
      </c>
      <c r="AG80">
        <v>346</v>
      </c>
      <c r="AH80" t="s">
        <v>789</v>
      </c>
      <c r="AI80" t="s">
        <v>1699</v>
      </c>
    </row>
    <row r="81" spans="1:37">
      <c r="A81" s="5" t="s">
        <v>655</v>
      </c>
      <c r="B81" s="103">
        <v>44746</v>
      </c>
      <c r="C81" s="5" t="s">
        <v>487</v>
      </c>
      <c r="D81" s="1" t="s">
        <v>256</v>
      </c>
      <c r="E81" s="2">
        <v>6</v>
      </c>
      <c r="F81" s="1" t="s">
        <v>256</v>
      </c>
      <c r="G81" s="2" t="s">
        <v>16</v>
      </c>
      <c r="H81" s="2" t="s">
        <v>10</v>
      </c>
      <c r="I81" s="1"/>
      <c r="J81" s="2" t="s">
        <v>254</v>
      </c>
      <c r="K81" s="1" t="s">
        <v>256</v>
      </c>
      <c r="L81" s="1" t="s">
        <v>493</v>
      </c>
      <c r="M81" s="1" t="s">
        <v>493</v>
      </c>
      <c r="N81" s="1" t="s">
        <v>493</v>
      </c>
      <c r="O81" s="1" t="s">
        <v>493</v>
      </c>
      <c r="P81" s="8">
        <v>13.0137</v>
      </c>
      <c r="Q81" s="117">
        <f t="shared" si="2"/>
        <v>44746</v>
      </c>
      <c r="R81" s="20">
        <v>44865</v>
      </c>
      <c r="S81" s="33">
        <f t="shared" si="3"/>
        <v>119</v>
      </c>
      <c r="T81" s="7">
        <v>8.4</v>
      </c>
      <c r="V81" t="s">
        <v>36</v>
      </c>
      <c r="W81">
        <v>1</v>
      </c>
      <c r="X81" s="11" t="s">
        <v>85</v>
      </c>
      <c r="Y81" s="28">
        <v>45050</v>
      </c>
      <c r="Z81" s="28">
        <v>45077</v>
      </c>
      <c r="AA81" s="29">
        <v>22.87587394966453</v>
      </c>
      <c r="AB81" s="22">
        <v>4</v>
      </c>
      <c r="AC81" s="30" t="s">
        <v>206</v>
      </c>
      <c r="AD81" s="30" t="s">
        <v>207</v>
      </c>
      <c r="AE81" s="30" t="s">
        <v>234</v>
      </c>
      <c r="AF81" s="30" t="s">
        <v>235</v>
      </c>
      <c r="AG81">
        <v>382</v>
      </c>
      <c r="AH81" t="s">
        <v>790</v>
      </c>
      <c r="AI81" t="s">
        <v>1699</v>
      </c>
    </row>
    <row r="82" spans="1:37">
      <c r="A82" s="5" t="s">
        <v>656</v>
      </c>
      <c r="B82" s="103">
        <v>44746</v>
      </c>
      <c r="C82" s="5" t="s">
        <v>487</v>
      </c>
      <c r="D82" s="1" t="s">
        <v>256</v>
      </c>
      <c r="E82" s="2">
        <v>7</v>
      </c>
      <c r="F82" s="1" t="s">
        <v>256</v>
      </c>
      <c r="G82" s="2" t="s">
        <v>14</v>
      </c>
      <c r="H82" s="2" t="s">
        <v>13</v>
      </c>
      <c r="I82" s="1"/>
      <c r="J82" s="2" t="s">
        <v>40</v>
      </c>
      <c r="K82" s="1" t="s">
        <v>256</v>
      </c>
      <c r="L82" s="1" t="s">
        <v>493</v>
      </c>
      <c r="M82" s="1" t="s">
        <v>493</v>
      </c>
      <c r="N82" s="1" t="s">
        <v>493</v>
      </c>
      <c r="O82" s="1" t="s">
        <v>493</v>
      </c>
      <c r="P82" s="8">
        <v>12.9778</v>
      </c>
      <c r="Q82" s="117">
        <f t="shared" si="2"/>
        <v>44746</v>
      </c>
      <c r="R82" s="20">
        <v>44861</v>
      </c>
      <c r="S82" s="33">
        <f t="shared" si="3"/>
        <v>115</v>
      </c>
      <c r="T82" s="7">
        <v>19.600000000000001</v>
      </c>
      <c r="V82" t="s">
        <v>36</v>
      </c>
      <c r="W82">
        <v>1</v>
      </c>
      <c r="X82" s="11" t="s">
        <v>83</v>
      </c>
      <c r="Y82" s="28">
        <v>45050</v>
      </c>
      <c r="Z82" s="28">
        <v>45077</v>
      </c>
      <c r="AA82" s="29">
        <v>20.257815151036645</v>
      </c>
      <c r="AB82" s="22">
        <v>4</v>
      </c>
      <c r="AC82" s="30" t="s">
        <v>196</v>
      </c>
      <c r="AD82" s="30" t="s">
        <v>197</v>
      </c>
      <c r="AE82" s="30" t="s">
        <v>236</v>
      </c>
      <c r="AF82" s="30" t="s">
        <v>237</v>
      </c>
      <c r="AG82">
        <v>323</v>
      </c>
      <c r="AH82" t="s">
        <v>791</v>
      </c>
      <c r="AI82" t="s">
        <v>1699</v>
      </c>
    </row>
    <row r="83" spans="1:37">
      <c r="A83" s="5" t="s">
        <v>657</v>
      </c>
      <c r="B83" s="103">
        <v>44746</v>
      </c>
      <c r="C83" s="5" t="s">
        <v>487</v>
      </c>
      <c r="D83" s="1" t="s">
        <v>256</v>
      </c>
      <c r="E83" s="2">
        <v>8</v>
      </c>
      <c r="F83" s="1" t="s">
        <v>256</v>
      </c>
      <c r="G83" s="2" t="s">
        <v>15</v>
      </c>
      <c r="H83" s="2" t="s">
        <v>13</v>
      </c>
      <c r="I83" s="1"/>
      <c r="J83" s="2" t="s">
        <v>253</v>
      </c>
      <c r="K83" s="1" t="s">
        <v>256</v>
      </c>
      <c r="L83" s="1" t="s">
        <v>493</v>
      </c>
      <c r="M83" s="1" t="s">
        <v>493</v>
      </c>
      <c r="N83" s="1" t="s">
        <v>493</v>
      </c>
      <c r="O83" s="1" t="s">
        <v>493</v>
      </c>
      <c r="P83" s="8">
        <v>12.31</v>
      </c>
      <c r="Q83" s="117">
        <f t="shared" si="2"/>
        <v>44746</v>
      </c>
      <c r="R83" s="20">
        <v>44865</v>
      </c>
      <c r="S83" s="33">
        <f t="shared" si="3"/>
        <v>119</v>
      </c>
      <c r="T83" s="7">
        <v>11.8</v>
      </c>
      <c r="V83" t="s">
        <v>36</v>
      </c>
      <c r="W83">
        <v>1</v>
      </c>
      <c r="X83" s="11" t="s">
        <v>90</v>
      </c>
      <c r="Y83" s="28">
        <v>45050</v>
      </c>
      <c r="Z83" s="28">
        <v>45077</v>
      </c>
      <c r="AA83" s="29">
        <v>17.678939198973268</v>
      </c>
      <c r="AB83" s="22">
        <v>4</v>
      </c>
      <c r="AC83" s="30" t="s">
        <v>202</v>
      </c>
      <c r="AD83" s="30" t="s">
        <v>203</v>
      </c>
      <c r="AE83" s="30" t="s">
        <v>236</v>
      </c>
      <c r="AF83" s="30" t="s">
        <v>237</v>
      </c>
      <c r="AG83">
        <v>359</v>
      </c>
      <c r="AH83" t="s">
        <v>792</v>
      </c>
      <c r="AI83" t="s">
        <v>1699</v>
      </c>
    </row>
    <row r="84" spans="1:37">
      <c r="A84" s="5" t="s">
        <v>658</v>
      </c>
      <c r="B84" s="103">
        <v>44746</v>
      </c>
      <c r="C84" s="5" t="s">
        <v>487</v>
      </c>
      <c r="D84" s="1" t="s">
        <v>256</v>
      </c>
      <c r="E84" s="2">
        <v>9</v>
      </c>
      <c r="F84" s="1" t="s">
        <v>256</v>
      </c>
      <c r="G84" s="2" t="s">
        <v>12</v>
      </c>
      <c r="H84" s="2" t="s">
        <v>13</v>
      </c>
      <c r="I84" s="1"/>
      <c r="J84" s="2" t="s">
        <v>254</v>
      </c>
      <c r="K84" s="1" t="s">
        <v>256</v>
      </c>
      <c r="L84" s="1" t="s">
        <v>493</v>
      </c>
      <c r="M84" s="1" t="s">
        <v>493</v>
      </c>
      <c r="N84" s="1" t="s">
        <v>493</v>
      </c>
      <c r="O84" s="1" t="s">
        <v>493</v>
      </c>
      <c r="P84" s="8">
        <v>12.4062</v>
      </c>
      <c r="Q84" s="117">
        <f t="shared" si="2"/>
        <v>44746</v>
      </c>
      <c r="R84" s="20">
        <v>44886</v>
      </c>
      <c r="S84" s="33">
        <f t="shared" si="3"/>
        <v>140</v>
      </c>
      <c r="T84" s="7">
        <v>7.49</v>
      </c>
      <c r="V84" t="s">
        <v>36</v>
      </c>
      <c r="W84">
        <v>1</v>
      </c>
      <c r="X84" s="11" t="s">
        <v>86</v>
      </c>
      <c r="Y84" s="28">
        <v>45050</v>
      </c>
      <c r="Z84" s="28">
        <v>45077</v>
      </c>
      <c r="AA84" s="29">
        <v>25.658433509271173</v>
      </c>
      <c r="AB84" s="22">
        <v>4</v>
      </c>
      <c r="AC84" s="30" t="s">
        <v>42</v>
      </c>
      <c r="AD84" s="30" t="s">
        <v>193</v>
      </c>
      <c r="AE84" s="30" t="s">
        <v>238</v>
      </c>
      <c r="AF84" s="30" t="s">
        <v>239</v>
      </c>
      <c r="AG84">
        <v>300</v>
      </c>
      <c r="AH84" t="s">
        <v>658</v>
      </c>
      <c r="AI84" t="s">
        <v>1699</v>
      </c>
      <c r="AK84" t="s">
        <v>839</v>
      </c>
    </row>
    <row r="85" spans="1:37">
      <c r="A85" s="5" t="s">
        <v>659</v>
      </c>
      <c r="B85" s="103">
        <v>44746</v>
      </c>
      <c r="C85" s="5" t="s">
        <v>487</v>
      </c>
      <c r="D85" s="1" t="s">
        <v>256</v>
      </c>
      <c r="E85" s="2">
        <v>10</v>
      </c>
      <c r="F85" s="1" t="s">
        <v>256</v>
      </c>
      <c r="G85" s="2" t="s">
        <v>11</v>
      </c>
      <c r="H85" s="2" t="s">
        <v>10</v>
      </c>
      <c r="I85" s="1"/>
      <c r="J85" s="2" t="s">
        <v>40</v>
      </c>
      <c r="K85" s="1" t="s">
        <v>256</v>
      </c>
      <c r="L85" s="1" t="s">
        <v>493</v>
      </c>
      <c r="M85" s="1" t="s">
        <v>493</v>
      </c>
      <c r="N85" s="1" t="s">
        <v>493</v>
      </c>
      <c r="O85" s="1" t="s">
        <v>493</v>
      </c>
      <c r="P85" s="8">
        <v>11.5768</v>
      </c>
      <c r="Q85" s="117">
        <f t="shared" si="2"/>
        <v>44746</v>
      </c>
      <c r="R85" s="20">
        <v>44861</v>
      </c>
      <c r="S85" s="33">
        <f t="shared" si="3"/>
        <v>115</v>
      </c>
      <c r="T85" s="7">
        <v>5.47</v>
      </c>
      <c r="V85" t="s">
        <v>36</v>
      </c>
      <c r="W85">
        <v>1</v>
      </c>
      <c r="X85" s="11" t="s">
        <v>94</v>
      </c>
      <c r="Y85" s="28">
        <v>45050</v>
      </c>
      <c r="Z85" s="28">
        <v>45077</v>
      </c>
      <c r="AA85" s="29">
        <v>20.270340642985051</v>
      </c>
      <c r="AB85" s="22">
        <v>4</v>
      </c>
      <c r="AC85" s="30" t="s">
        <v>196</v>
      </c>
      <c r="AD85" s="30" t="s">
        <v>197</v>
      </c>
      <c r="AE85" s="30" t="s">
        <v>238</v>
      </c>
      <c r="AF85" s="30" t="s">
        <v>239</v>
      </c>
      <c r="AG85">
        <v>324</v>
      </c>
      <c r="AH85" t="s">
        <v>659</v>
      </c>
      <c r="AI85" t="s">
        <v>1699</v>
      </c>
      <c r="AK85" t="s">
        <v>840</v>
      </c>
    </row>
    <row r="86" spans="1:37">
      <c r="A86" s="5" t="s">
        <v>660</v>
      </c>
      <c r="B86" s="103">
        <v>44746</v>
      </c>
      <c r="C86" s="5" t="s">
        <v>487</v>
      </c>
      <c r="D86" s="1" t="s">
        <v>256</v>
      </c>
      <c r="E86" s="2">
        <v>11</v>
      </c>
      <c r="F86" s="1" t="s">
        <v>256</v>
      </c>
      <c r="G86" s="2" t="s">
        <v>9</v>
      </c>
      <c r="H86" s="2" t="s">
        <v>10</v>
      </c>
      <c r="I86" s="1"/>
      <c r="J86" s="2" t="s">
        <v>253</v>
      </c>
      <c r="K86" s="1" t="s">
        <v>256</v>
      </c>
      <c r="L86" s="1" t="s">
        <v>493</v>
      </c>
      <c r="M86" s="1" t="s">
        <v>493</v>
      </c>
      <c r="N86" s="1" t="s">
        <v>493</v>
      </c>
      <c r="O86" s="1" t="s">
        <v>493</v>
      </c>
      <c r="P86" s="8">
        <v>12.589700000000001</v>
      </c>
      <c r="Q86" s="117">
        <f t="shared" si="2"/>
        <v>44746</v>
      </c>
      <c r="R86" s="20">
        <v>44886</v>
      </c>
      <c r="S86" s="33">
        <f t="shared" si="3"/>
        <v>140</v>
      </c>
      <c r="T86" s="7">
        <v>3</v>
      </c>
      <c r="V86" t="s">
        <v>36</v>
      </c>
      <c r="W86">
        <v>1</v>
      </c>
      <c r="X86" s="11" t="s">
        <v>148</v>
      </c>
      <c r="Y86" s="28">
        <v>45050</v>
      </c>
      <c r="Z86" s="28">
        <v>45077</v>
      </c>
      <c r="AA86" s="29">
        <v>16.658631313351901</v>
      </c>
      <c r="AB86" s="22">
        <v>4</v>
      </c>
      <c r="AC86" s="30" t="s">
        <v>202</v>
      </c>
      <c r="AD86" s="30" t="s">
        <v>203</v>
      </c>
      <c r="AE86" s="30" t="s">
        <v>238</v>
      </c>
      <c r="AF86" s="30" t="s">
        <v>239</v>
      </c>
      <c r="AG86">
        <v>360</v>
      </c>
      <c r="AH86" t="s">
        <v>660</v>
      </c>
      <c r="AI86" t="s">
        <v>1699</v>
      </c>
      <c r="AK86" t="s">
        <v>841</v>
      </c>
    </row>
    <row r="87" spans="1:37">
      <c r="A87" s="5" t="s">
        <v>661</v>
      </c>
      <c r="B87" s="103">
        <v>44746</v>
      </c>
      <c r="C87" s="5" t="s">
        <v>487</v>
      </c>
      <c r="D87" s="1" t="s">
        <v>256</v>
      </c>
      <c r="E87" s="2">
        <v>12</v>
      </c>
      <c r="F87" s="1" t="s">
        <v>256</v>
      </c>
      <c r="G87" s="2" t="s">
        <v>16</v>
      </c>
      <c r="H87" s="2" t="s">
        <v>10</v>
      </c>
      <c r="I87" s="1"/>
      <c r="J87" s="2" t="s">
        <v>254</v>
      </c>
      <c r="K87" s="1" t="s">
        <v>256</v>
      </c>
      <c r="L87" s="1" t="s">
        <v>493</v>
      </c>
      <c r="M87" s="1" t="s">
        <v>493</v>
      </c>
      <c r="N87" s="1" t="s">
        <v>493</v>
      </c>
      <c r="O87" s="1" t="s">
        <v>493</v>
      </c>
      <c r="P87" s="8">
        <v>13.649900000000001</v>
      </c>
      <c r="Q87" s="117">
        <f t="shared" si="2"/>
        <v>44746</v>
      </c>
      <c r="R87" s="20">
        <v>44861</v>
      </c>
      <c r="S87" s="33">
        <f t="shared" si="3"/>
        <v>115</v>
      </c>
      <c r="T87" s="7">
        <v>0.74</v>
      </c>
      <c r="V87" t="s">
        <v>36</v>
      </c>
      <c r="W87">
        <v>1</v>
      </c>
      <c r="X87" s="11" t="s">
        <v>92</v>
      </c>
      <c r="Y87" s="28">
        <v>45050</v>
      </c>
      <c r="Z87" s="28">
        <v>45077</v>
      </c>
      <c r="AA87" s="29">
        <v>13.703917108751087</v>
      </c>
      <c r="AB87" s="22">
        <v>4</v>
      </c>
      <c r="AC87" s="30" t="s">
        <v>42</v>
      </c>
      <c r="AD87" s="30" t="s">
        <v>193</v>
      </c>
      <c r="AE87" s="30" t="s">
        <v>181</v>
      </c>
      <c r="AF87" s="30" t="s">
        <v>229</v>
      </c>
      <c r="AG87">
        <v>293</v>
      </c>
      <c r="AH87" t="s">
        <v>661</v>
      </c>
      <c r="AI87" t="s">
        <v>1699</v>
      </c>
      <c r="AK87" t="s">
        <v>842</v>
      </c>
    </row>
    <row r="88" spans="1:37">
      <c r="A88" s="5" t="s">
        <v>662</v>
      </c>
      <c r="B88" s="103">
        <v>44746</v>
      </c>
      <c r="C88" s="5" t="s">
        <v>487</v>
      </c>
      <c r="D88" s="1" t="s">
        <v>256</v>
      </c>
      <c r="E88" s="2">
        <v>13</v>
      </c>
      <c r="F88" s="1" t="s">
        <v>256</v>
      </c>
      <c r="G88" s="2" t="s">
        <v>11</v>
      </c>
      <c r="H88" s="2" t="s">
        <v>10</v>
      </c>
      <c r="I88" s="1"/>
      <c r="J88" s="2" t="s">
        <v>40</v>
      </c>
      <c r="K88" s="1" t="s">
        <v>256</v>
      </c>
      <c r="L88" s="1" t="s">
        <v>493</v>
      </c>
      <c r="M88" s="1" t="s">
        <v>493</v>
      </c>
      <c r="N88" s="1" t="s">
        <v>493</v>
      </c>
      <c r="O88" s="1" t="s">
        <v>493</v>
      </c>
      <c r="P88" s="8">
        <v>12.9434</v>
      </c>
      <c r="Q88" s="117">
        <f t="shared" si="2"/>
        <v>44746</v>
      </c>
      <c r="R88" s="20">
        <v>44890</v>
      </c>
      <c r="S88" s="33">
        <f t="shared" si="3"/>
        <v>144</v>
      </c>
      <c r="T88" s="7">
        <v>0.82499999999999996</v>
      </c>
      <c r="V88" t="s">
        <v>36</v>
      </c>
      <c r="W88">
        <v>1</v>
      </c>
      <c r="X88" s="11" t="s">
        <v>141</v>
      </c>
      <c r="Y88" s="28">
        <v>45050</v>
      </c>
      <c r="Z88" s="28">
        <v>45077</v>
      </c>
      <c r="AA88" s="29">
        <v>12.423681642101444</v>
      </c>
      <c r="AB88" s="22">
        <v>4</v>
      </c>
      <c r="AC88" s="30" t="s">
        <v>198</v>
      </c>
      <c r="AD88" s="30" t="s">
        <v>199</v>
      </c>
      <c r="AE88" s="30" t="s">
        <v>181</v>
      </c>
      <c r="AF88" s="30" t="s">
        <v>229</v>
      </c>
      <c r="AG88">
        <v>329</v>
      </c>
      <c r="AH88" t="s">
        <v>662</v>
      </c>
      <c r="AI88" t="s">
        <v>1699</v>
      </c>
      <c r="AK88" t="s">
        <v>843</v>
      </c>
    </row>
    <row r="89" spans="1:37">
      <c r="A89" s="5" t="s">
        <v>663</v>
      </c>
      <c r="B89" s="103">
        <v>44746</v>
      </c>
      <c r="C89" s="5" t="s">
        <v>487</v>
      </c>
      <c r="D89" s="1" t="s">
        <v>256</v>
      </c>
      <c r="E89" s="2">
        <v>14</v>
      </c>
      <c r="F89" s="1" t="s">
        <v>256</v>
      </c>
      <c r="G89" s="2" t="s">
        <v>16</v>
      </c>
      <c r="H89" s="2" t="s">
        <v>10</v>
      </c>
      <c r="I89" s="1"/>
      <c r="J89" s="2" t="s">
        <v>254</v>
      </c>
      <c r="K89" s="1" t="s">
        <v>256</v>
      </c>
      <c r="L89" s="1" t="s">
        <v>493</v>
      </c>
      <c r="M89" s="1" t="s">
        <v>493</v>
      </c>
      <c r="N89" s="1" t="s">
        <v>493</v>
      </c>
      <c r="O89" s="1" t="s">
        <v>493</v>
      </c>
      <c r="P89" s="8">
        <v>13.630599999999999</v>
      </c>
      <c r="Q89" s="117">
        <f t="shared" si="2"/>
        <v>44746</v>
      </c>
      <c r="R89" s="20">
        <v>44890</v>
      </c>
      <c r="S89" s="33">
        <f t="shared" si="3"/>
        <v>144</v>
      </c>
      <c r="T89" s="7">
        <v>5.21</v>
      </c>
      <c r="V89" t="s">
        <v>36</v>
      </c>
      <c r="W89">
        <v>1</v>
      </c>
      <c r="X89" s="11" t="s">
        <v>104</v>
      </c>
      <c r="Y89" s="28">
        <v>45050</v>
      </c>
      <c r="Z89" s="28">
        <v>45077</v>
      </c>
      <c r="AA89" s="29">
        <v>20.879743098275451</v>
      </c>
      <c r="AB89" s="22">
        <v>4</v>
      </c>
      <c r="AC89" s="30" t="s">
        <v>204</v>
      </c>
      <c r="AD89" s="30" t="s">
        <v>205</v>
      </c>
      <c r="AE89" s="30" t="s">
        <v>181</v>
      </c>
      <c r="AF89" s="30" t="s">
        <v>229</v>
      </c>
      <c r="AG89">
        <v>365</v>
      </c>
      <c r="AH89" t="s">
        <v>663</v>
      </c>
      <c r="AI89" t="s">
        <v>1699</v>
      </c>
      <c r="AK89" t="s">
        <v>844</v>
      </c>
    </row>
    <row r="90" spans="1:37">
      <c r="A90" s="5" t="s">
        <v>664</v>
      </c>
      <c r="B90" s="103">
        <v>44746</v>
      </c>
      <c r="C90" s="5" t="s">
        <v>487</v>
      </c>
      <c r="D90" s="1" t="s">
        <v>256</v>
      </c>
      <c r="E90" s="2">
        <v>15</v>
      </c>
      <c r="F90" s="1" t="s">
        <v>256</v>
      </c>
      <c r="G90" s="2" t="s">
        <v>9</v>
      </c>
      <c r="H90" s="2" t="s">
        <v>10</v>
      </c>
      <c r="I90" s="1"/>
      <c r="J90" s="2" t="s">
        <v>253</v>
      </c>
      <c r="K90" s="1" t="s">
        <v>256</v>
      </c>
      <c r="L90" s="1" t="s">
        <v>493</v>
      </c>
      <c r="M90" s="1" t="s">
        <v>493</v>
      </c>
      <c r="N90" s="1" t="s">
        <v>493</v>
      </c>
      <c r="O90" s="1" t="s">
        <v>493</v>
      </c>
      <c r="P90" s="8">
        <v>12.42</v>
      </c>
      <c r="Q90" s="117">
        <f t="shared" si="2"/>
        <v>44746</v>
      </c>
      <c r="R90" s="20">
        <v>44890</v>
      </c>
      <c r="S90" s="33">
        <f t="shared" si="3"/>
        <v>144</v>
      </c>
      <c r="T90" s="7">
        <v>1.72</v>
      </c>
      <c r="V90" t="s">
        <v>36</v>
      </c>
      <c r="W90">
        <v>1</v>
      </c>
      <c r="X90" s="11" t="s">
        <v>106</v>
      </c>
      <c r="Y90" s="28">
        <v>45050</v>
      </c>
      <c r="Z90" s="28">
        <v>45077</v>
      </c>
      <c r="AA90" s="29">
        <v>18.791723642081287</v>
      </c>
      <c r="AB90" s="22">
        <v>4</v>
      </c>
      <c r="AC90" s="30" t="s">
        <v>194</v>
      </c>
      <c r="AD90" s="30" t="s">
        <v>195</v>
      </c>
      <c r="AE90" s="30" t="s">
        <v>177</v>
      </c>
      <c r="AF90" s="30" t="s">
        <v>225</v>
      </c>
      <c r="AG90">
        <v>306</v>
      </c>
      <c r="AH90" t="s">
        <v>664</v>
      </c>
      <c r="AI90" t="s">
        <v>1699</v>
      </c>
      <c r="AK90" t="s">
        <v>845</v>
      </c>
    </row>
    <row r="91" spans="1:37">
      <c r="A91" s="5" t="s">
        <v>665</v>
      </c>
      <c r="B91" s="103">
        <v>44746</v>
      </c>
      <c r="C91" s="5" t="s">
        <v>487</v>
      </c>
      <c r="D91" s="1" t="s">
        <v>256</v>
      </c>
      <c r="E91" s="2">
        <v>16</v>
      </c>
      <c r="F91" s="1" t="s">
        <v>256</v>
      </c>
      <c r="G91" s="2" t="s">
        <v>15</v>
      </c>
      <c r="H91" s="2" t="s">
        <v>13</v>
      </c>
      <c r="I91" s="1"/>
      <c r="J91" s="2" t="s">
        <v>253</v>
      </c>
      <c r="K91" s="1" t="s">
        <v>256</v>
      </c>
      <c r="L91" s="1" t="s">
        <v>493</v>
      </c>
      <c r="M91" s="1" t="s">
        <v>493</v>
      </c>
      <c r="N91" s="1" t="s">
        <v>493</v>
      </c>
      <c r="O91" s="1" t="s">
        <v>493</v>
      </c>
      <c r="P91" s="8">
        <v>12.292999999999999</v>
      </c>
      <c r="Q91" s="117">
        <f t="shared" si="2"/>
        <v>44746</v>
      </c>
      <c r="R91" s="20">
        <v>44890</v>
      </c>
      <c r="S91" s="33">
        <f t="shared" si="3"/>
        <v>144</v>
      </c>
      <c r="T91" s="7">
        <v>4.72</v>
      </c>
      <c r="V91" t="s">
        <v>36</v>
      </c>
      <c r="W91">
        <v>1</v>
      </c>
      <c r="X91" s="11" t="s">
        <v>98</v>
      </c>
      <c r="Y91" s="28">
        <v>45050</v>
      </c>
      <c r="Z91" s="28">
        <v>45077</v>
      </c>
      <c r="AA91" s="29">
        <v>16.414609952191046</v>
      </c>
      <c r="AB91" s="22">
        <v>4</v>
      </c>
      <c r="AC91" s="30" t="s">
        <v>200</v>
      </c>
      <c r="AD91" s="30" t="s">
        <v>201</v>
      </c>
      <c r="AE91" s="30" t="s">
        <v>177</v>
      </c>
      <c r="AF91" s="30" t="s">
        <v>225</v>
      </c>
      <c r="AG91">
        <v>342</v>
      </c>
      <c r="AH91" t="s">
        <v>665</v>
      </c>
      <c r="AI91" t="s">
        <v>1699</v>
      </c>
      <c r="AK91" t="s">
        <v>846</v>
      </c>
    </row>
    <row r="92" spans="1:37">
      <c r="A92" s="5" t="s">
        <v>666</v>
      </c>
      <c r="B92" s="103">
        <v>44746</v>
      </c>
      <c r="C92" s="5" t="s">
        <v>487</v>
      </c>
      <c r="D92" s="1" t="s">
        <v>256</v>
      </c>
      <c r="E92" s="2">
        <v>17</v>
      </c>
      <c r="F92" s="1" t="s">
        <v>256</v>
      </c>
      <c r="G92" s="2" t="s">
        <v>14</v>
      </c>
      <c r="H92" s="2" t="s">
        <v>13</v>
      </c>
      <c r="I92" s="1"/>
      <c r="J92" s="2" t="s">
        <v>40</v>
      </c>
      <c r="K92" s="1" t="s">
        <v>256</v>
      </c>
      <c r="L92" s="1" t="s">
        <v>493</v>
      </c>
      <c r="M92" s="1" t="s">
        <v>493</v>
      </c>
      <c r="N92" s="1" t="s">
        <v>493</v>
      </c>
      <c r="O92" s="1" t="s">
        <v>493</v>
      </c>
      <c r="P92" s="8">
        <v>11.5108</v>
      </c>
      <c r="Q92" s="117">
        <f t="shared" si="2"/>
        <v>44746</v>
      </c>
      <c r="R92" s="20">
        <v>44893</v>
      </c>
      <c r="S92" s="33">
        <f t="shared" si="3"/>
        <v>147</v>
      </c>
      <c r="T92" s="7">
        <v>3.2</v>
      </c>
      <c r="V92" t="s">
        <v>36</v>
      </c>
      <c r="W92">
        <v>1</v>
      </c>
      <c r="X92" s="11" t="s">
        <v>150</v>
      </c>
      <c r="Y92" s="28">
        <v>45050</v>
      </c>
      <c r="Z92" s="28">
        <v>45077</v>
      </c>
      <c r="AA92" s="29">
        <v>23.636537731443372</v>
      </c>
      <c r="AB92" s="22">
        <v>4</v>
      </c>
      <c r="AC92" s="30" t="s">
        <v>206</v>
      </c>
      <c r="AD92" s="30" t="s">
        <v>207</v>
      </c>
      <c r="AE92" s="30" t="s">
        <v>177</v>
      </c>
      <c r="AF92" s="30" t="s">
        <v>225</v>
      </c>
      <c r="AG92">
        <v>378</v>
      </c>
      <c r="AH92" t="s">
        <v>666</v>
      </c>
      <c r="AI92" t="s">
        <v>1699</v>
      </c>
      <c r="AK92" t="s">
        <v>847</v>
      </c>
    </row>
    <row r="93" spans="1:37">
      <c r="A93" s="5" t="s">
        <v>667</v>
      </c>
      <c r="B93" s="103">
        <v>44746</v>
      </c>
      <c r="C93" s="5" t="s">
        <v>487</v>
      </c>
      <c r="D93" s="1" t="s">
        <v>256</v>
      </c>
      <c r="E93" s="2">
        <v>18</v>
      </c>
      <c r="F93" s="1" t="s">
        <v>256</v>
      </c>
      <c r="G93" s="2" t="s">
        <v>12</v>
      </c>
      <c r="H93" s="2" t="s">
        <v>13</v>
      </c>
      <c r="I93" s="1"/>
      <c r="J93" s="2" t="s">
        <v>254</v>
      </c>
      <c r="K93" s="1" t="s">
        <v>256</v>
      </c>
      <c r="L93" s="1" t="s">
        <v>493</v>
      </c>
      <c r="M93" s="1" t="s">
        <v>493</v>
      </c>
      <c r="N93" s="1" t="s">
        <v>493</v>
      </c>
      <c r="O93" s="1" t="s">
        <v>493</v>
      </c>
      <c r="P93" s="8">
        <v>12.6816</v>
      </c>
      <c r="Q93" s="117">
        <f t="shared" si="2"/>
        <v>44746</v>
      </c>
      <c r="R93" s="20">
        <v>44893</v>
      </c>
      <c r="S93" s="33">
        <f t="shared" si="3"/>
        <v>147</v>
      </c>
      <c r="T93" s="7">
        <v>1.47</v>
      </c>
      <c r="V93" t="s">
        <v>36</v>
      </c>
      <c r="W93">
        <v>1</v>
      </c>
      <c r="X93" s="11" t="s">
        <v>151</v>
      </c>
      <c r="Y93" s="28">
        <v>45050</v>
      </c>
      <c r="Z93" s="28">
        <v>45077</v>
      </c>
      <c r="AA93" s="29">
        <v>15.91962728839583</v>
      </c>
      <c r="AB93" s="22">
        <v>4</v>
      </c>
      <c r="AC93" s="30" t="s">
        <v>196</v>
      </c>
      <c r="AD93" s="30" t="s">
        <v>197</v>
      </c>
      <c r="AE93" s="30" t="s">
        <v>178</v>
      </c>
      <c r="AF93" s="30" t="s">
        <v>226</v>
      </c>
      <c r="AG93">
        <v>319</v>
      </c>
      <c r="AH93" t="s">
        <v>667</v>
      </c>
      <c r="AI93" t="s">
        <v>1699</v>
      </c>
      <c r="AK93" t="s">
        <v>848</v>
      </c>
    </row>
    <row r="94" spans="1:37">
      <c r="A94" s="5" t="s">
        <v>668</v>
      </c>
      <c r="B94" s="103">
        <v>44746</v>
      </c>
      <c r="C94" s="5" t="s">
        <v>487</v>
      </c>
      <c r="D94" s="1" t="s">
        <v>256</v>
      </c>
      <c r="E94" s="2">
        <v>19</v>
      </c>
      <c r="F94" s="1" t="s">
        <v>256</v>
      </c>
      <c r="G94" s="2" t="s">
        <v>9</v>
      </c>
      <c r="H94" s="2" t="s">
        <v>10</v>
      </c>
      <c r="I94" s="1"/>
      <c r="J94" s="2" t="s">
        <v>253</v>
      </c>
      <c r="K94" s="1" t="s">
        <v>256</v>
      </c>
      <c r="L94" s="1" t="s">
        <v>493</v>
      </c>
      <c r="M94" s="1" t="s">
        <v>493</v>
      </c>
      <c r="N94" s="1" t="s">
        <v>493</v>
      </c>
      <c r="O94" s="1" t="s">
        <v>493</v>
      </c>
      <c r="P94" s="8">
        <v>9.9705999999999992</v>
      </c>
      <c r="Q94" s="117">
        <f t="shared" si="2"/>
        <v>44746</v>
      </c>
      <c r="R94" s="20">
        <v>44893</v>
      </c>
      <c r="S94" s="33">
        <f t="shared" si="3"/>
        <v>147</v>
      </c>
      <c r="T94" s="7">
        <v>0.45600000000000002</v>
      </c>
      <c r="V94" t="s">
        <v>36</v>
      </c>
      <c r="W94">
        <v>1</v>
      </c>
      <c r="X94" s="11" t="s">
        <v>116</v>
      </c>
      <c r="Y94" s="28">
        <v>45050</v>
      </c>
      <c r="Z94" s="28">
        <v>45077</v>
      </c>
      <c r="AA94" s="29">
        <v>12.185980772267447</v>
      </c>
      <c r="AB94" s="22">
        <v>4</v>
      </c>
      <c r="AC94" s="30" t="s">
        <v>202</v>
      </c>
      <c r="AD94" s="30" t="s">
        <v>203</v>
      </c>
      <c r="AE94" s="30" t="s">
        <v>178</v>
      </c>
      <c r="AF94" s="30" t="s">
        <v>226</v>
      </c>
      <c r="AG94">
        <v>355</v>
      </c>
      <c r="AH94" t="s">
        <v>668</v>
      </c>
      <c r="AI94" t="s">
        <v>1699</v>
      </c>
      <c r="AK94" t="s">
        <v>849</v>
      </c>
    </row>
    <row r="95" spans="1:37">
      <c r="A95" s="5" t="s">
        <v>669</v>
      </c>
      <c r="B95" s="103">
        <v>44746</v>
      </c>
      <c r="C95" s="5" t="s">
        <v>487</v>
      </c>
      <c r="D95" s="1" t="s">
        <v>256</v>
      </c>
      <c r="E95" s="2">
        <v>20</v>
      </c>
      <c r="F95" s="1" t="s">
        <v>256</v>
      </c>
      <c r="G95" s="2" t="s">
        <v>11</v>
      </c>
      <c r="H95" s="2" t="s">
        <v>10</v>
      </c>
      <c r="I95" s="1"/>
      <c r="J95" s="2" t="s">
        <v>40</v>
      </c>
      <c r="K95" s="1" t="s">
        <v>256</v>
      </c>
      <c r="L95" s="1" t="s">
        <v>493</v>
      </c>
      <c r="M95" s="1" t="s">
        <v>493</v>
      </c>
      <c r="N95" s="1" t="s">
        <v>493</v>
      </c>
      <c r="O95" s="1" t="s">
        <v>493</v>
      </c>
      <c r="P95" s="8">
        <v>12.6433</v>
      </c>
      <c r="Q95" s="117">
        <f t="shared" si="2"/>
        <v>44746</v>
      </c>
      <c r="R95" s="20">
        <v>44894</v>
      </c>
      <c r="S95" s="33">
        <f t="shared" si="3"/>
        <v>148</v>
      </c>
      <c r="T95" s="7">
        <v>1.59</v>
      </c>
      <c r="V95" t="s">
        <v>36</v>
      </c>
      <c r="W95">
        <v>1</v>
      </c>
      <c r="X95" s="11" t="s">
        <v>108</v>
      </c>
      <c r="Y95" s="28">
        <v>45050</v>
      </c>
      <c r="Z95" s="28">
        <v>45077</v>
      </c>
      <c r="AA95" s="29">
        <v>17.141539948864914</v>
      </c>
      <c r="AB95" s="22">
        <v>4</v>
      </c>
      <c r="AC95" s="30" t="s">
        <v>42</v>
      </c>
      <c r="AD95" s="30" t="s">
        <v>193</v>
      </c>
      <c r="AE95" s="30" t="s">
        <v>179</v>
      </c>
      <c r="AF95" s="30" t="s">
        <v>227</v>
      </c>
      <c r="AG95">
        <v>296</v>
      </c>
      <c r="AH95" t="s">
        <v>669</v>
      </c>
      <c r="AI95" t="s">
        <v>1699</v>
      </c>
      <c r="AK95" t="s">
        <v>850</v>
      </c>
    </row>
    <row r="96" spans="1:37">
      <c r="A96" s="5" t="s">
        <v>670</v>
      </c>
      <c r="B96" s="103">
        <v>44746</v>
      </c>
      <c r="C96" s="5" t="s">
        <v>487</v>
      </c>
      <c r="D96" s="1" t="s">
        <v>256</v>
      </c>
      <c r="E96" s="2">
        <v>21</v>
      </c>
      <c r="F96" s="1" t="s">
        <v>256</v>
      </c>
      <c r="G96" s="2" t="s">
        <v>14</v>
      </c>
      <c r="H96" s="2" t="s">
        <v>13</v>
      </c>
      <c r="I96" s="1"/>
      <c r="J96" s="2" t="s">
        <v>40</v>
      </c>
      <c r="K96" s="1" t="s">
        <v>256</v>
      </c>
      <c r="L96" s="1" t="s">
        <v>493</v>
      </c>
      <c r="M96" s="1" t="s">
        <v>493</v>
      </c>
      <c r="N96" s="1" t="s">
        <v>493</v>
      </c>
      <c r="O96" s="1" t="s">
        <v>493</v>
      </c>
      <c r="P96" s="8">
        <v>11.9725</v>
      </c>
      <c r="Q96" s="117">
        <f t="shared" si="2"/>
        <v>44746</v>
      </c>
      <c r="R96" s="20">
        <v>44893</v>
      </c>
      <c r="S96" s="33">
        <f t="shared" si="3"/>
        <v>147</v>
      </c>
      <c r="V96" t="s">
        <v>36</v>
      </c>
      <c r="W96">
        <v>1</v>
      </c>
      <c r="X96" s="11" t="s">
        <v>140</v>
      </c>
      <c r="Y96" s="28">
        <v>45050</v>
      </c>
      <c r="Z96" s="28">
        <v>45077</v>
      </c>
      <c r="AA96" s="29">
        <v>13.725419378248439</v>
      </c>
      <c r="AB96" s="22">
        <v>4</v>
      </c>
      <c r="AC96" s="30" t="s">
        <v>198</v>
      </c>
      <c r="AD96" s="30" t="s">
        <v>199</v>
      </c>
      <c r="AE96" s="30" t="s">
        <v>179</v>
      </c>
      <c r="AF96" s="30" t="s">
        <v>227</v>
      </c>
      <c r="AG96">
        <v>332</v>
      </c>
      <c r="AH96" t="s">
        <v>768</v>
      </c>
      <c r="AI96" t="s">
        <v>1699</v>
      </c>
      <c r="AK96" t="s">
        <v>851</v>
      </c>
    </row>
    <row r="97" spans="1:37">
      <c r="A97" s="5" t="s">
        <v>671</v>
      </c>
      <c r="B97" s="103">
        <v>44746</v>
      </c>
      <c r="C97" s="5" t="s">
        <v>487</v>
      </c>
      <c r="D97" s="1" t="s">
        <v>256</v>
      </c>
      <c r="E97" s="2">
        <v>22</v>
      </c>
      <c r="F97" s="1" t="s">
        <v>256</v>
      </c>
      <c r="G97" s="2" t="s">
        <v>12</v>
      </c>
      <c r="H97" s="2" t="s">
        <v>13</v>
      </c>
      <c r="I97" s="1"/>
      <c r="J97" s="2" t="s">
        <v>254</v>
      </c>
      <c r="K97" s="1" t="s">
        <v>256</v>
      </c>
      <c r="L97" s="1" t="s">
        <v>493</v>
      </c>
      <c r="M97" s="1" t="s">
        <v>493</v>
      </c>
      <c r="N97" s="1" t="s">
        <v>493</v>
      </c>
      <c r="O97" s="1" t="s">
        <v>493</v>
      </c>
      <c r="P97" s="8">
        <v>9.9921000000000006</v>
      </c>
      <c r="Q97" s="117">
        <f t="shared" si="2"/>
        <v>44746</v>
      </c>
      <c r="R97" s="20">
        <v>44894</v>
      </c>
      <c r="S97" s="33">
        <f t="shared" si="3"/>
        <v>148</v>
      </c>
      <c r="T97" s="7">
        <v>4.82</v>
      </c>
      <c r="V97" t="s">
        <v>36</v>
      </c>
      <c r="W97">
        <v>1</v>
      </c>
      <c r="X97" s="11" t="s">
        <v>122</v>
      </c>
      <c r="Y97" s="28">
        <v>45050</v>
      </c>
      <c r="Z97" s="28">
        <v>45077</v>
      </c>
      <c r="AA97" s="29">
        <v>21.030699949268083</v>
      </c>
      <c r="AB97" s="22">
        <v>4</v>
      </c>
      <c r="AC97" s="30" t="s">
        <v>204</v>
      </c>
      <c r="AD97" s="30" t="s">
        <v>205</v>
      </c>
      <c r="AE97" s="30" t="s">
        <v>179</v>
      </c>
      <c r="AF97" s="30" t="s">
        <v>227</v>
      </c>
      <c r="AG97">
        <v>368</v>
      </c>
      <c r="AH97" t="s">
        <v>671</v>
      </c>
      <c r="AI97" t="s">
        <v>1699</v>
      </c>
      <c r="AK97" t="s">
        <v>852</v>
      </c>
    </row>
    <row r="98" spans="1:37">
      <c r="A98" s="5" t="s">
        <v>672</v>
      </c>
      <c r="B98" s="103">
        <v>44746</v>
      </c>
      <c r="C98" s="5" t="s">
        <v>487</v>
      </c>
      <c r="D98" s="1" t="s">
        <v>256</v>
      </c>
      <c r="E98" s="2">
        <v>23</v>
      </c>
      <c r="F98" s="1" t="s">
        <v>256</v>
      </c>
      <c r="G98" s="2" t="s">
        <v>15</v>
      </c>
      <c r="H98" s="2" t="s">
        <v>13</v>
      </c>
      <c r="I98" s="1"/>
      <c r="J98" s="2" t="s">
        <v>253</v>
      </c>
      <c r="K98" s="1" t="s">
        <v>256</v>
      </c>
      <c r="L98" s="1" t="s">
        <v>493</v>
      </c>
      <c r="M98" s="1" t="s">
        <v>493</v>
      </c>
      <c r="N98" s="1" t="s">
        <v>493</v>
      </c>
      <c r="O98" s="1" t="s">
        <v>493</v>
      </c>
      <c r="P98" s="8">
        <v>10.2925</v>
      </c>
      <c r="Q98" s="117">
        <f t="shared" si="2"/>
        <v>44746</v>
      </c>
      <c r="R98" s="20">
        <v>44894</v>
      </c>
      <c r="S98" s="33">
        <f t="shared" si="3"/>
        <v>148</v>
      </c>
      <c r="T98" s="7">
        <v>4.63</v>
      </c>
      <c r="V98" t="s">
        <v>36</v>
      </c>
      <c r="W98">
        <v>1</v>
      </c>
      <c r="X98" s="11" t="s">
        <v>113</v>
      </c>
      <c r="Y98" s="28">
        <v>45050</v>
      </c>
      <c r="Z98" s="28">
        <v>45077</v>
      </c>
      <c r="AA98" s="29">
        <v>21.386211837671304</v>
      </c>
      <c r="AB98" s="22">
        <v>4</v>
      </c>
      <c r="AC98" s="30" t="s">
        <v>42</v>
      </c>
      <c r="AD98" s="30" t="s">
        <v>193</v>
      </c>
      <c r="AE98" s="30" t="s">
        <v>180</v>
      </c>
      <c r="AF98" s="30" t="s">
        <v>228</v>
      </c>
      <c r="AG98">
        <v>297</v>
      </c>
      <c r="AH98" t="s">
        <v>672</v>
      </c>
      <c r="AI98" t="s">
        <v>1699</v>
      </c>
      <c r="AK98" t="s">
        <v>853</v>
      </c>
    </row>
    <row r="99" spans="1:37">
      <c r="A99" s="5" t="s">
        <v>673</v>
      </c>
      <c r="B99" s="103">
        <v>44746</v>
      </c>
      <c r="C99" s="5" t="s">
        <v>487</v>
      </c>
      <c r="D99" s="1" t="s">
        <v>256</v>
      </c>
      <c r="E99" s="2">
        <v>24</v>
      </c>
      <c r="F99" s="1" t="s">
        <v>256</v>
      </c>
      <c r="G99" s="2" t="s">
        <v>16</v>
      </c>
      <c r="H99" s="2" t="s">
        <v>10</v>
      </c>
      <c r="I99" s="1"/>
      <c r="J99" s="2" t="s">
        <v>254</v>
      </c>
      <c r="K99" s="1" t="s">
        <v>256</v>
      </c>
      <c r="L99" s="1" t="s">
        <v>493</v>
      </c>
      <c r="M99" s="1" t="s">
        <v>493</v>
      </c>
      <c r="N99" s="1" t="s">
        <v>493</v>
      </c>
      <c r="O99" s="1" t="s">
        <v>493</v>
      </c>
      <c r="P99" s="8">
        <v>9.1378000000000004</v>
      </c>
      <c r="Q99" s="117">
        <f t="shared" si="2"/>
        <v>44746</v>
      </c>
      <c r="R99" s="20">
        <v>44894</v>
      </c>
      <c r="S99" s="33">
        <f t="shared" si="3"/>
        <v>148</v>
      </c>
      <c r="T99" s="7">
        <v>0.57199999999999995</v>
      </c>
      <c r="V99" t="s">
        <v>36</v>
      </c>
      <c r="W99">
        <v>1</v>
      </c>
      <c r="X99" s="11" t="s">
        <v>123</v>
      </c>
      <c r="Y99" s="28">
        <v>45050</v>
      </c>
      <c r="Z99" s="28">
        <v>45077</v>
      </c>
      <c r="AA99" s="29">
        <v>16.031107316483169</v>
      </c>
      <c r="AB99" s="22">
        <v>4</v>
      </c>
      <c r="AC99" s="30" t="s">
        <v>198</v>
      </c>
      <c r="AD99" s="30" t="s">
        <v>199</v>
      </c>
      <c r="AE99" s="30" t="s">
        <v>180</v>
      </c>
      <c r="AF99" s="30" t="s">
        <v>228</v>
      </c>
      <c r="AG99">
        <v>333</v>
      </c>
      <c r="AH99" t="s">
        <v>673</v>
      </c>
      <c r="AI99" t="s">
        <v>1699</v>
      </c>
      <c r="AK99" t="s">
        <v>854</v>
      </c>
    </row>
    <row r="100" spans="1:37">
      <c r="A100" s="5" t="s">
        <v>733</v>
      </c>
      <c r="B100" s="103">
        <v>44749</v>
      </c>
      <c r="C100" s="5" t="s">
        <v>487</v>
      </c>
      <c r="D100" s="1" t="s">
        <v>256</v>
      </c>
      <c r="E100" s="2">
        <v>1</v>
      </c>
      <c r="F100" s="1" t="s">
        <v>256</v>
      </c>
      <c r="G100" s="2" t="s">
        <v>9</v>
      </c>
      <c r="H100" s="2" t="s">
        <v>10</v>
      </c>
      <c r="I100" s="1"/>
      <c r="J100" s="2" t="s">
        <v>253</v>
      </c>
      <c r="K100" s="1" t="s">
        <v>256</v>
      </c>
      <c r="L100" s="1" t="s">
        <v>493</v>
      </c>
      <c r="M100" s="1" t="s">
        <v>493</v>
      </c>
      <c r="N100" s="1" t="s">
        <v>493</v>
      </c>
      <c r="O100" s="1" t="s">
        <v>493</v>
      </c>
      <c r="P100" s="8">
        <v>8.6648999999999994</v>
      </c>
      <c r="Q100" s="117">
        <f t="shared" si="2"/>
        <v>44749</v>
      </c>
      <c r="R100" s="20">
        <v>44860</v>
      </c>
      <c r="S100" s="33">
        <f t="shared" si="3"/>
        <v>111</v>
      </c>
      <c r="T100" s="7">
        <v>4</v>
      </c>
      <c r="V100" t="s">
        <v>36</v>
      </c>
      <c r="W100">
        <v>1</v>
      </c>
      <c r="X100" s="11" t="s">
        <v>44</v>
      </c>
      <c r="Y100" s="28">
        <v>45050</v>
      </c>
      <c r="Z100" s="28">
        <v>45077</v>
      </c>
      <c r="AA100" s="29">
        <v>23.210765497592753</v>
      </c>
      <c r="AB100" s="22">
        <v>4</v>
      </c>
      <c r="AC100" s="30" t="s">
        <v>194</v>
      </c>
      <c r="AD100" s="30" t="s">
        <v>195</v>
      </c>
      <c r="AE100" s="30" t="s">
        <v>173</v>
      </c>
      <c r="AF100" s="30" t="s">
        <v>221</v>
      </c>
      <c r="AG100">
        <v>301</v>
      </c>
      <c r="AH100" t="s">
        <v>793</v>
      </c>
      <c r="AI100" t="s">
        <v>1699</v>
      </c>
      <c r="AK100" t="s">
        <v>1736</v>
      </c>
    </row>
    <row r="101" spans="1:37">
      <c r="A101" s="5" t="s">
        <v>734</v>
      </c>
      <c r="B101" s="103">
        <v>44749</v>
      </c>
      <c r="C101" s="5" t="s">
        <v>487</v>
      </c>
      <c r="D101" s="1" t="s">
        <v>256</v>
      </c>
      <c r="E101" s="2">
        <v>2</v>
      </c>
      <c r="F101" s="1" t="s">
        <v>256</v>
      </c>
      <c r="G101" s="2" t="s">
        <v>11</v>
      </c>
      <c r="H101" s="2" t="s">
        <v>10</v>
      </c>
      <c r="I101" s="1"/>
      <c r="J101" s="2" t="s">
        <v>40</v>
      </c>
      <c r="K101" s="1" t="s">
        <v>256</v>
      </c>
      <c r="L101" s="1" t="s">
        <v>493</v>
      </c>
      <c r="M101" s="1" t="s">
        <v>493</v>
      </c>
      <c r="N101" s="1" t="s">
        <v>493</v>
      </c>
      <c r="O101" s="1" t="s">
        <v>493</v>
      </c>
      <c r="P101" s="8">
        <v>11.2073</v>
      </c>
      <c r="Q101" s="117">
        <f t="shared" si="2"/>
        <v>44749</v>
      </c>
      <c r="R101" s="20">
        <v>44861</v>
      </c>
      <c r="S101" s="33">
        <f t="shared" si="3"/>
        <v>112</v>
      </c>
      <c r="T101" s="7">
        <v>11.6</v>
      </c>
      <c r="V101" t="s">
        <v>36</v>
      </c>
      <c r="W101">
        <v>1</v>
      </c>
      <c r="X101" s="11" t="s">
        <v>50</v>
      </c>
      <c r="Y101" s="28">
        <v>45050</v>
      </c>
      <c r="Z101" s="28">
        <v>45077</v>
      </c>
      <c r="AA101" s="29">
        <v>29.870998982001929</v>
      </c>
      <c r="AB101" s="22">
        <v>4</v>
      </c>
      <c r="AC101" s="30" t="s">
        <v>200</v>
      </c>
      <c r="AD101" s="30" t="s">
        <v>201</v>
      </c>
      <c r="AE101" s="30" t="s">
        <v>173</v>
      </c>
      <c r="AF101" s="30" t="s">
        <v>221</v>
      </c>
      <c r="AG101">
        <v>337</v>
      </c>
      <c r="AH101" t="s">
        <v>794</v>
      </c>
      <c r="AI101" t="s">
        <v>1699</v>
      </c>
      <c r="AK101" t="s">
        <v>1737</v>
      </c>
    </row>
    <row r="102" spans="1:37">
      <c r="A102" s="5" t="s">
        <v>735</v>
      </c>
      <c r="B102" s="103">
        <v>44749</v>
      </c>
      <c r="C102" s="5" t="s">
        <v>487</v>
      </c>
      <c r="D102" s="1" t="s">
        <v>256</v>
      </c>
      <c r="E102" s="2">
        <v>3</v>
      </c>
      <c r="F102" s="1" t="s">
        <v>256</v>
      </c>
      <c r="G102" s="2" t="s">
        <v>12</v>
      </c>
      <c r="H102" s="2" t="s">
        <v>13</v>
      </c>
      <c r="I102" s="1"/>
      <c r="J102" s="2" t="s">
        <v>254</v>
      </c>
      <c r="K102" s="1" t="s">
        <v>256</v>
      </c>
      <c r="L102" s="1" t="s">
        <v>493</v>
      </c>
      <c r="M102" s="1" t="s">
        <v>493</v>
      </c>
      <c r="N102" s="1" t="s">
        <v>493</v>
      </c>
      <c r="O102" s="1" t="s">
        <v>493</v>
      </c>
      <c r="P102" s="8">
        <v>10.408300000000001</v>
      </c>
      <c r="Q102" s="117">
        <f t="shared" si="2"/>
        <v>44749</v>
      </c>
      <c r="R102" s="20">
        <v>44860</v>
      </c>
      <c r="S102" s="33">
        <f t="shared" si="3"/>
        <v>111</v>
      </c>
      <c r="T102" s="7">
        <v>6.27</v>
      </c>
      <c r="V102" t="s">
        <v>36</v>
      </c>
      <c r="W102">
        <v>1</v>
      </c>
      <c r="X102" s="11" t="s">
        <v>56</v>
      </c>
      <c r="Y102" s="28">
        <v>45050</v>
      </c>
      <c r="Z102" s="28">
        <v>45077</v>
      </c>
      <c r="AA102" s="29">
        <v>25.163450845475957</v>
      </c>
      <c r="AB102" s="22">
        <v>4</v>
      </c>
      <c r="AC102" s="30" t="s">
        <v>206</v>
      </c>
      <c r="AD102" s="30" t="s">
        <v>207</v>
      </c>
      <c r="AE102" s="30" t="s">
        <v>173</v>
      </c>
      <c r="AF102" s="30" t="s">
        <v>221</v>
      </c>
      <c r="AG102">
        <v>373</v>
      </c>
      <c r="AH102" t="s">
        <v>795</v>
      </c>
      <c r="AI102" t="s">
        <v>1699</v>
      </c>
      <c r="AK102" t="s">
        <v>1738</v>
      </c>
    </row>
    <row r="103" spans="1:37">
      <c r="A103" s="5" t="s">
        <v>736</v>
      </c>
      <c r="B103" s="103">
        <v>44749</v>
      </c>
      <c r="C103" s="5" t="s">
        <v>487</v>
      </c>
      <c r="D103" s="1" t="s">
        <v>256</v>
      </c>
      <c r="E103" s="2">
        <v>4</v>
      </c>
      <c r="F103" s="1" t="s">
        <v>256</v>
      </c>
      <c r="G103" s="2" t="s">
        <v>14</v>
      </c>
      <c r="H103" s="2" t="s">
        <v>13</v>
      </c>
      <c r="I103" s="1"/>
      <c r="J103" s="2" t="s">
        <v>40</v>
      </c>
      <c r="K103" s="1" t="s">
        <v>256</v>
      </c>
      <c r="L103" s="1" t="s">
        <v>493</v>
      </c>
      <c r="M103" s="1" t="s">
        <v>493</v>
      </c>
      <c r="N103" s="1" t="s">
        <v>493</v>
      </c>
      <c r="O103" s="1" t="s">
        <v>493</v>
      </c>
      <c r="P103" s="8">
        <v>10.7399</v>
      </c>
      <c r="Q103" s="117">
        <f t="shared" si="2"/>
        <v>44749</v>
      </c>
      <c r="R103" s="20">
        <v>44861</v>
      </c>
      <c r="S103" s="33">
        <f t="shared" si="3"/>
        <v>112</v>
      </c>
      <c r="T103" s="7">
        <v>3.93</v>
      </c>
      <c r="V103" t="s">
        <v>36</v>
      </c>
      <c r="W103">
        <v>1</v>
      </c>
      <c r="X103" s="11" t="s">
        <v>80</v>
      </c>
      <c r="Y103" s="28">
        <v>45050</v>
      </c>
      <c r="Z103" s="28">
        <v>45077</v>
      </c>
      <c r="AA103" s="29">
        <v>21.804907641033051</v>
      </c>
      <c r="AB103" s="22">
        <v>4</v>
      </c>
      <c r="AC103" s="30" t="s">
        <v>196</v>
      </c>
      <c r="AD103" s="30" t="s">
        <v>197</v>
      </c>
      <c r="AE103" s="30" t="s">
        <v>234</v>
      </c>
      <c r="AF103" s="30" t="s">
        <v>235</v>
      </c>
      <c r="AG103">
        <v>322</v>
      </c>
      <c r="AH103" t="s">
        <v>796</v>
      </c>
      <c r="AI103" t="s">
        <v>1699</v>
      </c>
      <c r="AK103" t="s">
        <v>1739</v>
      </c>
    </row>
    <row r="104" spans="1:37">
      <c r="A104" s="5" t="s">
        <v>737</v>
      </c>
      <c r="B104" s="103">
        <v>44749</v>
      </c>
      <c r="C104" s="5" t="s">
        <v>487</v>
      </c>
      <c r="D104" s="1" t="s">
        <v>256</v>
      </c>
      <c r="E104" s="2">
        <v>5</v>
      </c>
      <c r="F104" s="1" t="s">
        <v>256</v>
      </c>
      <c r="G104" s="2" t="s">
        <v>15</v>
      </c>
      <c r="H104" s="2" t="s">
        <v>13</v>
      </c>
      <c r="I104" s="1"/>
      <c r="J104" s="2" t="s">
        <v>253</v>
      </c>
      <c r="K104" s="1" t="s">
        <v>256</v>
      </c>
      <c r="L104" s="1" t="s">
        <v>493</v>
      </c>
      <c r="M104" s="1" t="s">
        <v>493</v>
      </c>
      <c r="N104" s="1" t="s">
        <v>493</v>
      </c>
      <c r="O104" s="1" t="s">
        <v>493</v>
      </c>
      <c r="P104" s="8">
        <v>9.9618000000000002</v>
      </c>
      <c r="Q104" s="117">
        <f t="shared" si="2"/>
        <v>44749</v>
      </c>
      <c r="R104" s="20">
        <v>44861</v>
      </c>
      <c r="S104" s="33">
        <f t="shared" si="3"/>
        <v>112</v>
      </c>
      <c r="T104" s="7">
        <v>16</v>
      </c>
      <c r="V104" t="s">
        <v>36</v>
      </c>
      <c r="W104">
        <v>1</v>
      </c>
      <c r="X104" s="11" t="s">
        <v>145</v>
      </c>
      <c r="Y104" s="28">
        <v>45050</v>
      </c>
      <c r="Z104" s="28">
        <v>45077</v>
      </c>
      <c r="AA104" s="29">
        <v>15.301227057246432</v>
      </c>
      <c r="AB104" s="22">
        <v>4</v>
      </c>
      <c r="AC104" s="30" t="s">
        <v>202</v>
      </c>
      <c r="AD104" s="30" t="s">
        <v>203</v>
      </c>
      <c r="AE104" s="30" t="s">
        <v>234</v>
      </c>
      <c r="AF104" s="30" t="s">
        <v>235</v>
      </c>
      <c r="AG104">
        <v>358</v>
      </c>
      <c r="AH104" t="s">
        <v>797</v>
      </c>
      <c r="AI104" t="s">
        <v>1699</v>
      </c>
      <c r="AK104" t="s">
        <v>1740</v>
      </c>
    </row>
    <row r="105" spans="1:37">
      <c r="A105" s="5" t="s">
        <v>738</v>
      </c>
      <c r="B105" s="103">
        <v>44749</v>
      </c>
      <c r="C105" s="5" t="s">
        <v>487</v>
      </c>
      <c r="D105" s="1" t="s">
        <v>256</v>
      </c>
      <c r="E105" s="2">
        <v>6</v>
      </c>
      <c r="F105" s="1" t="s">
        <v>256</v>
      </c>
      <c r="G105" s="2" t="s">
        <v>16</v>
      </c>
      <c r="H105" s="2" t="s">
        <v>10</v>
      </c>
      <c r="I105" s="1"/>
      <c r="J105" s="2" t="s">
        <v>254</v>
      </c>
      <c r="K105" s="1" t="s">
        <v>256</v>
      </c>
      <c r="L105" s="1" t="s">
        <v>493</v>
      </c>
      <c r="M105" s="1" t="s">
        <v>493</v>
      </c>
      <c r="N105" s="1" t="s">
        <v>493</v>
      </c>
      <c r="O105" s="1" t="s">
        <v>493</v>
      </c>
      <c r="P105" s="8">
        <v>10.7729</v>
      </c>
      <c r="Q105" s="117">
        <f t="shared" si="2"/>
        <v>44749</v>
      </c>
      <c r="R105" s="20">
        <v>44865</v>
      </c>
      <c r="S105" s="33">
        <f t="shared" si="3"/>
        <v>116</v>
      </c>
      <c r="T105" s="7">
        <v>9.67</v>
      </c>
      <c r="V105" t="s">
        <v>36</v>
      </c>
      <c r="W105">
        <v>1</v>
      </c>
      <c r="X105" s="11" t="s">
        <v>81</v>
      </c>
      <c r="Y105" s="28">
        <v>45050</v>
      </c>
      <c r="Z105" s="28">
        <v>45077</v>
      </c>
      <c r="AA105" s="29">
        <v>25.227222713116049</v>
      </c>
      <c r="AB105" s="22">
        <v>4</v>
      </c>
      <c r="AC105" s="30" t="s">
        <v>42</v>
      </c>
      <c r="AD105" s="30" t="s">
        <v>193</v>
      </c>
      <c r="AE105" s="30" t="s">
        <v>236</v>
      </c>
      <c r="AF105" s="30" t="s">
        <v>237</v>
      </c>
      <c r="AG105">
        <v>299</v>
      </c>
      <c r="AH105" t="s">
        <v>798</v>
      </c>
      <c r="AI105" t="s">
        <v>1699</v>
      </c>
      <c r="AK105" t="s">
        <v>1741</v>
      </c>
    </row>
    <row r="106" spans="1:37">
      <c r="A106" s="5" t="s">
        <v>739</v>
      </c>
      <c r="B106" s="103">
        <v>44749</v>
      </c>
      <c r="C106" s="5" t="s">
        <v>487</v>
      </c>
      <c r="D106" s="1" t="s">
        <v>256</v>
      </c>
      <c r="E106" s="2">
        <v>7</v>
      </c>
      <c r="F106" s="1" t="s">
        <v>256</v>
      </c>
      <c r="G106" s="2" t="s">
        <v>14</v>
      </c>
      <c r="H106" s="2" t="s">
        <v>13</v>
      </c>
      <c r="I106" s="1"/>
      <c r="J106" s="2" t="s">
        <v>40</v>
      </c>
      <c r="K106" s="1" t="s">
        <v>256</v>
      </c>
      <c r="L106" s="1" t="s">
        <v>493</v>
      </c>
      <c r="M106" s="1" t="s">
        <v>493</v>
      </c>
      <c r="N106" s="1" t="s">
        <v>493</v>
      </c>
      <c r="O106" s="1" t="s">
        <v>493</v>
      </c>
      <c r="P106" s="8">
        <v>11.781599999999999</v>
      </c>
      <c r="Q106" s="117">
        <f t="shared" si="2"/>
        <v>44749</v>
      </c>
      <c r="R106" s="20">
        <v>44861</v>
      </c>
      <c r="S106" s="33">
        <f t="shared" si="3"/>
        <v>112</v>
      </c>
      <c r="T106" s="7">
        <v>13</v>
      </c>
      <c r="V106" t="s">
        <v>36</v>
      </c>
      <c r="W106">
        <v>1</v>
      </c>
      <c r="X106" s="11" t="s">
        <v>146</v>
      </c>
      <c r="Y106" s="28">
        <v>45050</v>
      </c>
      <c r="Z106" s="28">
        <v>45077</v>
      </c>
      <c r="AA106" s="29">
        <v>21.873981581962283</v>
      </c>
      <c r="AB106" s="22">
        <v>4</v>
      </c>
      <c r="AC106" s="30" t="s">
        <v>198</v>
      </c>
      <c r="AD106" s="30" t="s">
        <v>199</v>
      </c>
      <c r="AE106" s="30" t="s">
        <v>236</v>
      </c>
      <c r="AF106" s="30" t="s">
        <v>237</v>
      </c>
      <c r="AG106">
        <v>335</v>
      </c>
      <c r="AH106" t="s">
        <v>799</v>
      </c>
      <c r="AI106" t="s">
        <v>1699</v>
      </c>
      <c r="AK106" t="s">
        <v>1742</v>
      </c>
    </row>
    <row r="107" spans="1:37">
      <c r="A107" s="5" t="s">
        <v>740</v>
      </c>
      <c r="B107" s="103">
        <v>44749</v>
      </c>
      <c r="C107" s="5" t="s">
        <v>487</v>
      </c>
      <c r="D107" s="1" t="s">
        <v>256</v>
      </c>
      <c r="E107" s="2">
        <v>8</v>
      </c>
      <c r="F107" s="1" t="s">
        <v>256</v>
      </c>
      <c r="G107" s="2" t="s">
        <v>15</v>
      </c>
      <c r="H107" s="2" t="s">
        <v>13</v>
      </c>
      <c r="I107" s="1"/>
      <c r="J107" s="2" t="s">
        <v>253</v>
      </c>
      <c r="K107" s="1" t="s">
        <v>256</v>
      </c>
      <c r="L107" s="1" t="s">
        <v>493</v>
      </c>
      <c r="M107" s="1" t="s">
        <v>493</v>
      </c>
      <c r="N107" s="1" t="s">
        <v>493</v>
      </c>
      <c r="O107" s="1" t="s">
        <v>493</v>
      </c>
      <c r="P107" s="8">
        <v>10.1836</v>
      </c>
      <c r="Q107" s="117">
        <f t="shared" si="2"/>
        <v>44749</v>
      </c>
      <c r="R107" s="20">
        <v>44865</v>
      </c>
      <c r="S107" s="33">
        <f t="shared" si="3"/>
        <v>116</v>
      </c>
      <c r="T107" s="7">
        <v>7.28</v>
      </c>
      <c r="V107" t="s">
        <v>36</v>
      </c>
      <c r="W107">
        <v>1</v>
      </c>
      <c r="X107" s="11" t="s">
        <v>91</v>
      </c>
      <c r="Y107" s="28">
        <v>45050</v>
      </c>
      <c r="Z107" s="28">
        <v>45077</v>
      </c>
      <c r="AA107" s="29">
        <v>16.297229398977969</v>
      </c>
      <c r="AB107" s="22">
        <v>4</v>
      </c>
      <c r="AC107" s="30" t="s">
        <v>204</v>
      </c>
      <c r="AD107" s="30" t="s">
        <v>205</v>
      </c>
      <c r="AE107" s="30" t="s">
        <v>236</v>
      </c>
      <c r="AF107" s="30" t="s">
        <v>237</v>
      </c>
      <c r="AG107">
        <v>371</v>
      </c>
      <c r="AH107" t="s">
        <v>800</v>
      </c>
      <c r="AI107" t="s">
        <v>1699</v>
      </c>
      <c r="AK107" t="s">
        <v>1743</v>
      </c>
    </row>
    <row r="108" spans="1:37">
      <c r="A108" s="5" t="s">
        <v>741</v>
      </c>
      <c r="B108" s="103">
        <v>44749</v>
      </c>
      <c r="C108" s="5" t="s">
        <v>487</v>
      </c>
      <c r="D108" s="1" t="s">
        <v>256</v>
      </c>
      <c r="E108" s="2">
        <v>9</v>
      </c>
      <c r="F108" s="1" t="s">
        <v>256</v>
      </c>
      <c r="G108" s="2" t="s">
        <v>12</v>
      </c>
      <c r="H108" s="2" t="s">
        <v>13</v>
      </c>
      <c r="I108" s="1"/>
      <c r="J108" s="2" t="s">
        <v>254</v>
      </c>
      <c r="K108" s="1" t="s">
        <v>256</v>
      </c>
      <c r="L108" s="1" t="s">
        <v>493</v>
      </c>
      <c r="M108" s="1" t="s">
        <v>493</v>
      </c>
      <c r="N108" s="1" t="s">
        <v>493</v>
      </c>
      <c r="O108" s="1" t="s">
        <v>493</v>
      </c>
      <c r="P108" s="8">
        <v>12.233000000000001</v>
      </c>
      <c r="Q108" s="117">
        <f t="shared" si="2"/>
        <v>44749</v>
      </c>
      <c r="R108" s="20">
        <v>44886</v>
      </c>
      <c r="S108" s="33">
        <f t="shared" si="3"/>
        <v>137</v>
      </c>
      <c r="T108" s="7">
        <v>7.4</v>
      </c>
      <c r="V108" t="s">
        <v>36</v>
      </c>
      <c r="W108">
        <v>1</v>
      </c>
      <c r="X108" s="11" t="s">
        <v>87</v>
      </c>
      <c r="Y108" s="28">
        <v>45050</v>
      </c>
      <c r="Z108" s="28">
        <v>45077</v>
      </c>
      <c r="AA108" s="29">
        <v>18.970072788541977</v>
      </c>
      <c r="AB108" s="22">
        <v>4</v>
      </c>
      <c r="AC108" s="30" t="s">
        <v>194</v>
      </c>
      <c r="AD108" s="30" t="s">
        <v>195</v>
      </c>
      <c r="AE108" s="30" t="s">
        <v>238</v>
      </c>
      <c r="AF108" s="30" t="s">
        <v>239</v>
      </c>
      <c r="AG108">
        <v>312</v>
      </c>
      <c r="AH108" t="s">
        <v>682</v>
      </c>
      <c r="AI108" t="s">
        <v>1699</v>
      </c>
      <c r="AK108" t="s">
        <v>1744</v>
      </c>
    </row>
    <row r="109" spans="1:37">
      <c r="A109" s="5" t="s">
        <v>742</v>
      </c>
      <c r="B109" s="103">
        <v>44749</v>
      </c>
      <c r="C109" s="5" t="s">
        <v>487</v>
      </c>
      <c r="D109" s="1" t="s">
        <v>256</v>
      </c>
      <c r="E109" s="2">
        <v>10</v>
      </c>
      <c r="F109" s="1" t="s">
        <v>256</v>
      </c>
      <c r="G109" s="2" t="s">
        <v>11</v>
      </c>
      <c r="H109" s="2" t="s">
        <v>10</v>
      </c>
      <c r="I109" s="1"/>
      <c r="J109" s="2" t="s">
        <v>40</v>
      </c>
      <c r="K109" s="1" t="s">
        <v>256</v>
      </c>
      <c r="L109" s="1" t="s">
        <v>493</v>
      </c>
      <c r="M109" s="1" t="s">
        <v>493</v>
      </c>
      <c r="N109" s="1" t="s">
        <v>493</v>
      </c>
      <c r="O109" s="1" t="s">
        <v>493</v>
      </c>
      <c r="P109" s="8">
        <v>12.7402</v>
      </c>
      <c r="Q109" s="117">
        <f t="shared" si="2"/>
        <v>44749</v>
      </c>
      <c r="R109" s="20">
        <v>44861</v>
      </c>
      <c r="S109" s="33">
        <f t="shared" si="3"/>
        <v>112</v>
      </c>
      <c r="T109" s="7">
        <v>9.8000000000000007</v>
      </c>
      <c r="V109" t="s">
        <v>36</v>
      </c>
      <c r="W109">
        <v>1</v>
      </c>
      <c r="X109" s="11" t="s">
        <v>102</v>
      </c>
      <c r="Y109" s="28">
        <v>45050</v>
      </c>
      <c r="Z109" s="28">
        <v>45077</v>
      </c>
      <c r="AA109" s="29">
        <v>14.810370561377221</v>
      </c>
      <c r="AB109" s="22">
        <v>4</v>
      </c>
      <c r="AC109" s="30" t="s">
        <v>198</v>
      </c>
      <c r="AD109" s="30" t="s">
        <v>199</v>
      </c>
      <c r="AE109" s="30" t="s">
        <v>238</v>
      </c>
      <c r="AF109" s="30" t="s">
        <v>239</v>
      </c>
      <c r="AG109">
        <v>336</v>
      </c>
      <c r="AH109" t="s">
        <v>683</v>
      </c>
      <c r="AI109" t="s">
        <v>1699</v>
      </c>
      <c r="AK109" t="s">
        <v>1745</v>
      </c>
    </row>
    <row r="110" spans="1:37">
      <c r="A110" s="5" t="s">
        <v>743</v>
      </c>
      <c r="B110" s="103">
        <v>44749</v>
      </c>
      <c r="C110" s="5" t="s">
        <v>487</v>
      </c>
      <c r="D110" s="1" t="s">
        <v>256</v>
      </c>
      <c r="E110" s="2">
        <v>11</v>
      </c>
      <c r="F110" s="1" t="s">
        <v>256</v>
      </c>
      <c r="G110" s="2" t="s">
        <v>9</v>
      </c>
      <c r="H110" s="2" t="s">
        <v>10</v>
      </c>
      <c r="I110" s="1"/>
      <c r="J110" s="2" t="s">
        <v>253</v>
      </c>
      <c r="K110" s="1" t="s">
        <v>256</v>
      </c>
      <c r="L110" s="1" t="s">
        <v>493</v>
      </c>
      <c r="M110" s="1" t="s">
        <v>493</v>
      </c>
      <c r="N110" s="1" t="s">
        <v>493</v>
      </c>
      <c r="O110" s="1" t="s">
        <v>493</v>
      </c>
      <c r="P110" s="8">
        <v>9.8937000000000008</v>
      </c>
      <c r="Q110" s="117">
        <f t="shared" si="2"/>
        <v>44749</v>
      </c>
      <c r="R110" s="20">
        <v>44886</v>
      </c>
      <c r="S110" s="33">
        <f t="shared" si="3"/>
        <v>137</v>
      </c>
      <c r="T110" s="7">
        <v>14.2</v>
      </c>
      <c r="V110" t="s">
        <v>36</v>
      </c>
      <c r="W110">
        <v>1</v>
      </c>
      <c r="X110" s="11" t="s">
        <v>96</v>
      </c>
      <c r="Y110" s="28">
        <v>45050</v>
      </c>
      <c r="Z110" s="28">
        <v>45077</v>
      </c>
      <c r="AA110" s="29">
        <v>15.886491955127452</v>
      </c>
      <c r="AB110" s="22">
        <v>4</v>
      </c>
      <c r="AC110" s="30" t="s">
        <v>204</v>
      </c>
      <c r="AD110" s="30" t="s">
        <v>205</v>
      </c>
      <c r="AE110" s="30" t="s">
        <v>238</v>
      </c>
      <c r="AF110" s="30" t="s">
        <v>239</v>
      </c>
      <c r="AG110">
        <v>372</v>
      </c>
      <c r="AH110" t="s">
        <v>684</v>
      </c>
      <c r="AI110" t="s">
        <v>1699</v>
      </c>
      <c r="AK110" t="s">
        <v>1746</v>
      </c>
    </row>
    <row r="111" spans="1:37">
      <c r="A111" s="5" t="s">
        <v>744</v>
      </c>
      <c r="B111" s="103">
        <v>44749</v>
      </c>
      <c r="C111" s="5" t="s">
        <v>487</v>
      </c>
      <c r="D111" s="1" t="s">
        <v>256</v>
      </c>
      <c r="E111" s="2">
        <v>12</v>
      </c>
      <c r="F111" s="1" t="s">
        <v>256</v>
      </c>
      <c r="G111" s="2" t="s">
        <v>16</v>
      </c>
      <c r="H111" s="2" t="s">
        <v>10</v>
      </c>
      <c r="I111" s="1"/>
      <c r="J111" s="2" t="s">
        <v>254</v>
      </c>
      <c r="K111" s="1" t="s">
        <v>256</v>
      </c>
      <c r="L111" s="1" t="s">
        <v>493</v>
      </c>
      <c r="M111" s="1" t="s">
        <v>493</v>
      </c>
      <c r="N111" s="1" t="s">
        <v>493</v>
      </c>
      <c r="O111" s="1" t="s">
        <v>493</v>
      </c>
      <c r="P111" s="8">
        <v>11.0032</v>
      </c>
      <c r="Q111" s="117">
        <f t="shared" si="2"/>
        <v>44749</v>
      </c>
      <c r="R111" s="20">
        <v>44861</v>
      </c>
      <c r="S111" s="33">
        <f t="shared" si="3"/>
        <v>112</v>
      </c>
      <c r="T111" s="7">
        <v>6.9</v>
      </c>
      <c r="V111" t="s">
        <v>36</v>
      </c>
      <c r="W111">
        <v>1</v>
      </c>
      <c r="X111" s="11" t="s">
        <v>99</v>
      </c>
      <c r="Y111" s="28">
        <v>45050</v>
      </c>
      <c r="Z111" s="28">
        <v>45077</v>
      </c>
      <c r="AA111" s="29">
        <v>17.498532218127085</v>
      </c>
      <c r="AB111" s="22">
        <v>4</v>
      </c>
      <c r="AC111" s="30" t="s">
        <v>194</v>
      </c>
      <c r="AD111" s="30" t="s">
        <v>195</v>
      </c>
      <c r="AE111" s="30" t="s">
        <v>181</v>
      </c>
      <c r="AF111" s="30" t="s">
        <v>229</v>
      </c>
      <c r="AG111">
        <v>305</v>
      </c>
      <c r="AH111" t="s">
        <v>685</v>
      </c>
      <c r="AI111" t="s">
        <v>1699</v>
      </c>
      <c r="AK111" t="s">
        <v>1747</v>
      </c>
    </row>
    <row r="112" spans="1:37">
      <c r="A112" s="5" t="s">
        <v>745</v>
      </c>
      <c r="B112" s="103">
        <v>44749</v>
      </c>
      <c r="C112" s="5" t="s">
        <v>487</v>
      </c>
      <c r="D112" s="1" t="s">
        <v>256</v>
      </c>
      <c r="E112" s="2">
        <v>13</v>
      </c>
      <c r="F112" s="1" t="s">
        <v>256</v>
      </c>
      <c r="G112" s="2" t="s">
        <v>11</v>
      </c>
      <c r="H112" s="2" t="s">
        <v>10</v>
      </c>
      <c r="I112" s="1"/>
      <c r="J112" s="2" t="s">
        <v>40</v>
      </c>
      <c r="K112" s="1" t="s">
        <v>256</v>
      </c>
      <c r="L112" s="1" t="s">
        <v>493</v>
      </c>
      <c r="M112" s="1" t="s">
        <v>493</v>
      </c>
      <c r="N112" s="1" t="s">
        <v>493</v>
      </c>
      <c r="O112" s="1" t="s">
        <v>493</v>
      </c>
      <c r="P112" s="8">
        <v>11.5428</v>
      </c>
      <c r="Q112" s="117">
        <f t="shared" si="2"/>
        <v>44749</v>
      </c>
      <c r="R112" s="20">
        <v>44890</v>
      </c>
      <c r="S112" s="33">
        <f t="shared" si="3"/>
        <v>141</v>
      </c>
      <c r="T112" s="7">
        <v>12.7</v>
      </c>
      <c r="V112" t="s">
        <v>36</v>
      </c>
      <c r="W112">
        <v>1</v>
      </c>
      <c r="X112" s="11" t="s">
        <v>101</v>
      </c>
      <c r="Y112" s="28">
        <v>45050</v>
      </c>
      <c r="Z112" s="28">
        <v>45077</v>
      </c>
      <c r="AA112" s="29">
        <v>18.598948656612116</v>
      </c>
      <c r="AB112" s="22">
        <v>4</v>
      </c>
      <c r="AC112" s="30" t="s">
        <v>200</v>
      </c>
      <c r="AD112" s="30" t="s">
        <v>201</v>
      </c>
      <c r="AE112" s="30" t="s">
        <v>181</v>
      </c>
      <c r="AF112" s="30" t="s">
        <v>229</v>
      </c>
      <c r="AG112">
        <v>341</v>
      </c>
      <c r="AH112" t="s">
        <v>686</v>
      </c>
      <c r="AI112" t="s">
        <v>1699</v>
      </c>
      <c r="AK112" t="s">
        <v>1748</v>
      </c>
    </row>
    <row r="113" spans="1:37">
      <c r="A113" s="5" t="s">
        <v>746</v>
      </c>
      <c r="B113" s="103">
        <v>44749</v>
      </c>
      <c r="C113" s="5" t="s">
        <v>487</v>
      </c>
      <c r="D113" s="1" t="s">
        <v>256</v>
      </c>
      <c r="E113" s="2">
        <v>14</v>
      </c>
      <c r="F113" s="1" t="s">
        <v>256</v>
      </c>
      <c r="G113" s="2" t="s">
        <v>16</v>
      </c>
      <c r="H113" s="2" t="s">
        <v>10</v>
      </c>
      <c r="I113" s="1"/>
      <c r="J113" s="2" t="s">
        <v>254</v>
      </c>
      <c r="K113" s="1" t="s">
        <v>256</v>
      </c>
      <c r="L113" s="1" t="s">
        <v>493</v>
      </c>
      <c r="M113" s="1" t="s">
        <v>493</v>
      </c>
      <c r="N113" s="1" t="s">
        <v>493</v>
      </c>
      <c r="O113" s="1" t="s">
        <v>493</v>
      </c>
      <c r="P113" s="8">
        <v>11.964</v>
      </c>
      <c r="Q113" s="117">
        <f t="shared" si="2"/>
        <v>44749</v>
      </c>
      <c r="R113" s="20">
        <v>44890</v>
      </c>
      <c r="S113" s="33">
        <f t="shared" si="3"/>
        <v>141</v>
      </c>
      <c r="T113" s="7">
        <v>9.14</v>
      </c>
      <c r="V113" t="s">
        <v>36</v>
      </c>
      <c r="W113">
        <v>1</v>
      </c>
      <c r="X113" s="11" t="s">
        <v>243</v>
      </c>
      <c r="Y113" s="28">
        <v>45050</v>
      </c>
      <c r="Z113" s="28">
        <v>45077</v>
      </c>
      <c r="AA113" s="29">
        <v>24.357430713976139</v>
      </c>
      <c r="AB113" s="22">
        <v>4</v>
      </c>
      <c r="AC113" s="30" t="s">
        <v>206</v>
      </c>
      <c r="AD113" s="30" t="s">
        <v>207</v>
      </c>
      <c r="AE113" s="30" t="s">
        <v>181</v>
      </c>
      <c r="AF113" s="30" t="s">
        <v>229</v>
      </c>
      <c r="AG113">
        <v>377</v>
      </c>
      <c r="AH113" t="s">
        <v>687</v>
      </c>
      <c r="AI113" t="s">
        <v>1699</v>
      </c>
      <c r="AK113" t="s">
        <v>1749</v>
      </c>
    </row>
    <row r="114" spans="1:37">
      <c r="A114" s="5" t="s">
        <v>747</v>
      </c>
      <c r="B114" s="103">
        <v>44749</v>
      </c>
      <c r="C114" s="5" t="s">
        <v>487</v>
      </c>
      <c r="D114" s="1" t="s">
        <v>256</v>
      </c>
      <c r="E114" s="2">
        <v>15</v>
      </c>
      <c r="F114" s="1" t="s">
        <v>256</v>
      </c>
      <c r="G114" s="2" t="s">
        <v>9</v>
      </c>
      <c r="H114" s="2" t="s">
        <v>10</v>
      </c>
      <c r="I114" s="1"/>
      <c r="J114" s="2" t="s">
        <v>253</v>
      </c>
      <c r="K114" s="1" t="s">
        <v>256</v>
      </c>
      <c r="L114" s="1" t="s">
        <v>493</v>
      </c>
      <c r="M114" s="1" t="s">
        <v>493</v>
      </c>
      <c r="N114" s="1" t="s">
        <v>493</v>
      </c>
      <c r="O114" s="1" t="s">
        <v>493</v>
      </c>
      <c r="P114" s="8">
        <v>9.7195</v>
      </c>
      <c r="Q114" s="117">
        <f t="shared" si="2"/>
        <v>44749</v>
      </c>
      <c r="R114" s="20">
        <v>44890</v>
      </c>
      <c r="S114" s="33">
        <f t="shared" si="3"/>
        <v>141</v>
      </c>
      <c r="T114" s="7">
        <v>10</v>
      </c>
      <c r="V114" t="s">
        <v>36</v>
      </c>
      <c r="W114">
        <v>1</v>
      </c>
      <c r="X114" s="11" t="s">
        <v>107</v>
      </c>
      <c r="Y114" s="28">
        <v>45050</v>
      </c>
      <c r="Z114" s="28">
        <v>45077</v>
      </c>
      <c r="AA114" s="29">
        <v>18.614854876479541</v>
      </c>
      <c r="AB114" s="22">
        <v>4</v>
      </c>
      <c r="AC114" s="30" t="s">
        <v>196</v>
      </c>
      <c r="AD114" s="30" t="s">
        <v>197</v>
      </c>
      <c r="AE114" s="30" t="s">
        <v>177</v>
      </c>
      <c r="AF114" s="30" t="s">
        <v>225</v>
      </c>
      <c r="AG114">
        <v>318</v>
      </c>
      <c r="AH114" t="s">
        <v>688</v>
      </c>
      <c r="AI114" t="s">
        <v>1699</v>
      </c>
      <c r="AK114" t="s">
        <v>1750</v>
      </c>
    </row>
    <row r="115" spans="1:37">
      <c r="A115" s="5" t="s">
        <v>748</v>
      </c>
      <c r="B115" s="103">
        <v>44749</v>
      </c>
      <c r="C115" s="5" t="s">
        <v>487</v>
      </c>
      <c r="D115" s="1" t="s">
        <v>256</v>
      </c>
      <c r="E115" s="2">
        <v>16</v>
      </c>
      <c r="F115" s="1" t="s">
        <v>256</v>
      </c>
      <c r="G115" s="2" t="s">
        <v>15</v>
      </c>
      <c r="H115" s="2" t="s">
        <v>13</v>
      </c>
      <c r="I115" s="1"/>
      <c r="J115" s="2" t="s">
        <v>253</v>
      </c>
      <c r="K115" s="1" t="s">
        <v>256</v>
      </c>
      <c r="L115" s="1" t="s">
        <v>493</v>
      </c>
      <c r="M115" s="1" t="s">
        <v>493</v>
      </c>
      <c r="N115" s="1" t="s">
        <v>493</v>
      </c>
      <c r="O115" s="1" t="s">
        <v>493</v>
      </c>
      <c r="P115" s="8">
        <v>11.140499999999999</v>
      </c>
      <c r="Q115" s="117">
        <f t="shared" si="2"/>
        <v>44749</v>
      </c>
      <c r="R115" s="20">
        <v>44890</v>
      </c>
      <c r="S115" s="33">
        <f t="shared" si="3"/>
        <v>141</v>
      </c>
      <c r="T115" s="7">
        <v>10.7</v>
      </c>
      <c r="V115" t="s">
        <v>36</v>
      </c>
      <c r="W115">
        <v>1</v>
      </c>
      <c r="X115" s="11" t="s">
        <v>109</v>
      </c>
      <c r="Y115" s="28">
        <v>45050</v>
      </c>
      <c r="Z115" s="28">
        <v>45077</v>
      </c>
      <c r="AA115" s="29">
        <v>20.669004058553366</v>
      </c>
      <c r="AB115" s="22">
        <v>4</v>
      </c>
      <c r="AC115" s="30" t="s">
        <v>202</v>
      </c>
      <c r="AD115" s="30" t="s">
        <v>203</v>
      </c>
      <c r="AE115" s="30" t="s">
        <v>177</v>
      </c>
      <c r="AF115" s="30" t="s">
        <v>225</v>
      </c>
      <c r="AG115">
        <v>354</v>
      </c>
      <c r="AH115" t="s">
        <v>689</v>
      </c>
      <c r="AI115" t="s">
        <v>1699</v>
      </c>
      <c r="AK115" t="s">
        <v>1751</v>
      </c>
    </row>
    <row r="116" spans="1:37">
      <c r="A116" s="5" t="s">
        <v>749</v>
      </c>
      <c r="B116" s="103">
        <v>44749</v>
      </c>
      <c r="C116" s="5" t="s">
        <v>487</v>
      </c>
      <c r="D116" s="1" t="s">
        <v>256</v>
      </c>
      <c r="E116" s="2">
        <v>17</v>
      </c>
      <c r="F116" s="1" t="s">
        <v>256</v>
      </c>
      <c r="G116" s="2" t="s">
        <v>14</v>
      </c>
      <c r="H116" s="2" t="s">
        <v>13</v>
      </c>
      <c r="I116" s="1"/>
      <c r="J116" s="2" t="s">
        <v>40</v>
      </c>
      <c r="K116" s="1" t="s">
        <v>256</v>
      </c>
      <c r="L116" s="1" t="s">
        <v>493</v>
      </c>
      <c r="M116" s="1" t="s">
        <v>493</v>
      </c>
      <c r="N116" s="1" t="s">
        <v>493</v>
      </c>
      <c r="O116" s="1" t="s">
        <v>493</v>
      </c>
      <c r="P116" s="8">
        <v>12.7216</v>
      </c>
      <c r="Q116" s="117">
        <f t="shared" si="2"/>
        <v>44749</v>
      </c>
      <c r="R116" s="20">
        <v>44893</v>
      </c>
      <c r="S116" s="33">
        <f t="shared" si="3"/>
        <v>144</v>
      </c>
      <c r="T116" s="7">
        <v>15.7</v>
      </c>
      <c r="V116" t="s">
        <v>36</v>
      </c>
      <c r="W116">
        <v>1</v>
      </c>
      <c r="X116" s="11" t="s">
        <v>103</v>
      </c>
      <c r="Y116" s="28">
        <v>45050</v>
      </c>
      <c r="Z116" s="28">
        <v>45077</v>
      </c>
      <c r="AA116" s="29">
        <v>21.384007015115422</v>
      </c>
      <c r="AB116" s="22">
        <v>4</v>
      </c>
      <c r="AC116" s="30" t="s">
        <v>42</v>
      </c>
      <c r="AD116" s="30" t="s">
        <v>193</v>
      </c>
      <c r="AE116" s="30" t="s">
        <v>178</v>
      </c>
      <c r="AF116" s="30" t="s">
        <v>226</v>
      </c>
      <c r="AG116">
        <v>295</v>
      </c>
      <c r="AH116" t="s">
        <v>690</v>
      </c>
      <c r="AI116" t="s">
        <v>1699</v>
      </c>
      <c r="AK116" t="s">
        <v>1752</v>
      </c>
    </row>
    <row r="117" spans="1:37">
      <c r="A117" s="5" t="s">
        <v>750</v>
      </c>
      <c r="B117" s="103">
        <v>44749</v>
      </c>
      <c r="C117" s="5" t="s">
        <v>487</v>
      </c>
      <c r="D117" s="1" t="s">
        <v>256</v>
      </c>
      <c r="E117" s="2">
        <v>18</v>
      </c>
      <c r="F117" s="1" t="s">
        <v>256</v>
      </c>
      <c r="G117" s="2" t="s">
        <v>12</v>
      </c>
      <c r="H117" s="2" t="s">
        <v>13</v>
      </c>
      <c r="I117" s="1"/>
      <c r="J117" s="2" t="s">
        <v>254</v>
      </c>
      <c r="K117" s="1" t="s">
        <v>256</v>
      </c>
      <c r="L117" s="1" t="s">
        <v>493</v>
      </c>
      <c r="M117" s="1" t="s">
        <v>493</v>
      </c>
      <c r="N117" s="1" t="s">
        <v>493</v>
      </c>
      <c r="O117" s="1" t="s">
        <v>493</v>
      </c>
      <c r="P117" s="8">
        <v>13.8733</v>
      </c>
      <c r="Q117" s="117">
        <f t="shared" si="2"/>
        <v>44749</v>
      </c>
      <c r="R117" s="20">
        <v>44893</v>
      </c>
      <c r="S117" s="33">
        <f t="shared" si="3"/>
        <v>144</v>
      </c>
      <c r="T117" s="7">
        <v>8.77</v>
      </c>
      <c r="V117" t="s">
        <v>36</v>
      </c>
      <c r="W117">
        <v>1</v>
      </c>
      <c r="X117" s="11" t="s">
        <v>152</v>
      </c>
      <c r="Y117" s="28">
        <v>45050</v>
      </c>
      <c r="Z117" s="28">
        <v>45077</v>
      </c>
      <c r="AA117" s="29">
        <v>13.666802595727097</v>
      </c>
      <c r="AB117" s="22">
        <v>4</v>
      </c>
      <c r="AC117" s="30" t="s">
        <v>198</v>
      </c>
      <c r="AD117" s="30" t="s">
        <v>199</v>
      </c>
      <c r="AE117" s="30" t="s">
        <v>178</v>
      </c>
      <c r="AF117" s="30" t="s">
        <v>226</v>
      </c>
      <c r="AG117">
        <v>331</v>
      </c>
      <c r="AH117" t="s">
        <v>691</v>
      </c>
      <c r="AI117" t="s">
        <v>1699</v>
      </c>
      <c r="AK117" t="s">
        <v>1753</v>
      </c>
    </row>
    <row r="118" spans="1:37">
      <c r="A118" s="5" t="s">
        <v>751</v>
      </c>
      <c r="B118" s="103">
        <v>44749</v>
      </c>
      <c r="C118" s="5" t="s">
        <v>487</v>
      </c>
      <c r="D118" s="1" t="s">
        <v>256</v>
      </c>
      <c r="E118" s="2">
        <v>19</v>
      </c>
      <c r="F118" s="1" t="s">
        <v>256</v>
      </c>
      <c r="G118" s="2" t="s">
        <v>9</v>
      </c>
      <c r="H118" s="2" t="s">
        <v>10</v>
      </c>
      <c r="I118" s="1"/>
      <c r="J118" s="2" t="s">
        <v>253</v>
      </c>
      <c r="K118" s="1" t="s">
        <v>256</v>
      </c>
      <c r="L118" s="1" t="s">
        <v>493</v>
      </c>
      <c r="M118" s="1" t="s">
        <v>493</v>
      </c>
      <c r="N118" s="1" t="s">
        <v>493</v>
      </c>
      <c r="O118" s="1" t="s">
        <v>493</v>
      </c>
      <c r="P118" s="8">
        <v>10.461</v>
      </c>
      <c r="Q118" s="117">
        <f t="shared" si="2"/>
        <v>44749</v>
      </c>
      <c r="R118" s="20">
        <v>44893</v>
      </c>
      <c r="S118" s="33">
        <f t="shared" si="3"/>
        <v>144</v>
      </c>
      <c r="T118" s="7">
        <v>7.19</v>
      </c>
      <c r="V118" t="s">
        <v>36</v>
      </c>
      <c r="W118">
        <v>1</v>
      </c>
      <c r="X118" s="11" t="s">
        <v>117</v>
      </c>
      <c r="Y118" s="28">
        <v>45050</v>
      </c>
      <c r="Z118" s="28">
        <v>45077</v>
      </c>
      <c r="AA118" s="29">
        <v>17.571868815997689</v>
      </c>
      <c r="AB118" s="22">
        <v>4</v>
      </c>
      <c r="AC118" s="30" t="s">
        <v>204</v>
      </c>
      <c r="AD118" s="30" t="s">
        <v>205</v>
      </c>
      <c r="AE118" s="30" t="s">
        <v>178</v>
      </c>
      <c r="AF118" s="30" t="s">
        <v>226</v>
      </c>
      <c r="AG118">
        <v>367</v>
      </c>
      <c r="AH118" t="s">
        <v>692</v>
      </c>
      <c r="AI118" t="s">
        <v>1699</v>
      </c>
      <c r="AK118" t="s">
        <v>1754</v>
      </c>
    </row>
    <row r="119" spans="1:37">
      <c r="A119" s="5" t="s">
        <v>752</v>
      </c>
      <c r="B119" s="103">
        <v>44749</v>
      </c>
      <c r="C119" s="5" t="s">
        <v>487</v>
      </c>
      <c r="D119" s="1" t="s">
        <v>256</v>
      </c>
      <c r="E119" s="2">
        <v>20</v>
      </c>
      <c r="F119" s="1" t="s">
        <v>256</v>
      </c>
      <c r="G119" s="2" t="s">
        <v>11</v>
      </c>
      <c r="H119" s="2" t="s">
        <v>10</v>
      </c>
      <c r="I119" s="1"/>
      <c r="J119" s="2" t="s">
        <v>40</v>
      </c>
      <c r="K119" s="1" t="s">
        <v>256</v>
      </c>
      <c r="L119" s="1" t="s">
        <v>493</v>
      </c>
      <c r="M119" s="1" t="s">
        <v>493</v>
      </c>
      <c r="N119" s="1" t="s">
        <v>493</v>
      </c>
      <c r="O119" s="1" t="s">
        <v>493</v>
      </c>
      <c r="P119" s="8">
        <v>13.087199999999999</v>
      </c>
      <c r="Q119" s="117">
        <f t="shared" si="2"/>
        <v>44749</v>
      </c>
      <c r="R119" s="20">
        <v>44894</v>
      </c>
      <c r="S119" s="33">
        <f t="shared" si="3"/>
        <v>145</v>
      </c>
      <c r="T119" s="7">
        <v>6.5</v>
      </c>
      <c r="V119" t="s">
        <v>36</v>
      </c>
      <c r="W119">
        <v>1</v>
      </c>
      <c r="X119" s="11" t="s">
        <v>153</v>
      </c>
      <c r="Y119" s="28">
        <v>45050</v>
      </c>
      <c r="Z119" s="28">
        <v>45077</v>
      </c>
      <c r="AA119" s="29">
        <v>29.146126819713551</v>
      </c>
      <c r="AB119" s="22">
        <v>4</v>
      </c>
      <c r="AC119" s="30" t="s">
        <v>194</v>
      </c>
      <c r="AD119" s="30" t="s">
        <v>195</v>
      </c>
      <c r="AE119" s="30" t="s">
        <v>179</v>
      </c>
      <c r="AF119" s="30" t="s">
        <v>227</v>
      </c>
      <c r="AG119">
        <v>308</v>
      </c>
      <c r="AH119" t="s">
        <v>693</v>
      </c>
      <c r="AI119" t="s">
        <v>1699</v>
      </c>
      <c r="AK119" t="s">
        <v>1755</v>
      </c>
    </row>
    <row r="120" spans="1:37">
      <c r="A120" s="5" t="s">
        <v>753</v>
      </c>
      <c r="B120" s="103">
        <v>44749</v>
      </c>
      <c r="C120" s="5" t="s">
        <v>487</v>
      </c>
      <c r="D120" s="1" t="s">
        <v>256</v>
      </c>
      <c r="E120" s="2">
        <v>21</v>
      </c>
      <c r="F120" s="1" t="s">
        <v>256</v>
      </c>
      <c r="G120" s="2" t="s">
        <v>14</v>
      </c>
      <c r="H120" s="2" t="s">
        <v>13</v>
      </c>
      <c r="I120" s="1"/>
      <c r="J120" s="2" t="s">
        <v>40</v>
      </c>
      <c r="K120" s="1" t="s">
        <v>256</v>
      </c>
      <c r="L120" s="1" t="s">
        <v>493</v>
      </c>
      <c r="M120" s="1" t="s">
        <v>493</v>
      </c>
      <c r="N120" s="1" t="s">
        <v>493</v>
      </c>
      <c r="O120" s="1" t="s">
        <v>493</v>
      </c>
      <c r="P120" s="8">
        <v>12.626300000000001</v>
      </c>
      <c r="Q120" s="117">
        <f t="shared" si="2"/>
        <v>44749</v>
      </c>
      <c r="R120" s="20">
        <v>44893</v>
      </c>
      <c r="S120" s="33">
        <f t="shared" si="3"/>
        <v>144</v>
      </c>
      <c r="T120" s="7">
        <v>3.46</v>
      </c>
      <c r="V120" t="s">
        <v>36</v>
      </c>
      <c r="W120">
        <v>1</v>
      </c>
      <c r="X120" s="11" t="s">
        <v>120</v>
      </c>
      <c r="Y120" s="28">
        <v>45050</v>
      </c>
      <c r="Z120" s="28">
        <v>45077</v>
      </c>
      <c r="AA120" s="29">
        <v>21.106692833360771</v>
      </c>
      <c r="AB120" s="22">
        <v>4</v>
      </c>
      <c r="AC120" s="30" t="s">
        <v>200</v>
      </c>
      <c r="AD120" s="30" t="s">
        <v>201</v>
      </c>
      <c r="AE120" s="30" t="s">
        <v>179</v>
      </c>
      <c r="AF120" s="30" t="s">
        <v>227</v>
      </c>
      <c r="AG120">
        <v>344</v>
      </c>
      <c r="AH120" t="s">
        <v>694</v>
      </c>
      <c r="AI120" t="s">
        <v>1699</v>
      </c>
      <c r="AK120" t="s">
        <v>1756</v>
      </c>
    </row>
    <row r="121" spans="1:37">
      <c r="A121" s="5" t="s">
        <v>754</v>
      </c>
      <c r="B121" s="103">
        <v>44749</v>
      </c>
      <c r="C121" s="5" t="s">
        <v>487</v>
      </c>
      <c r="D121" s="1" t="s">
        <v>256</v>
      </c>
      <c r="E121" s="2">
        <v>22</v>
      </c>
      <c r="F121" s="1" t="s">
        <v>256</v>
      </c>
      <c r="G121" s="2" t="s">
        <v>12</v>
      </c>
      <c r="H121" s="2" t="s">
        <v>13</v>
      </c>
      <c r="I121" s="1"/>
      <c r="J121" s="2" t="s">
        <v>254</v>
      </c>
      <c r="K121" s="1" t="s">
        <v>256</v>
      </c>
      <c r="L121" s="1" t="s">
        <v>493</v>
      </c>
      <c r="M121" s="1" t="s">
        <v>493</v>
      </c>
      <c r="N121" s="1" t="s">
        <v>493</v>
      </c>
      <c r="O121" s="1" t="s">
        <v>493</v>
      </c>
      <c r="P121" s="8">
        <v>12.96</v>
      </c>
      <c r="Q121" s="117">
        <f t="shared" si="2"/>
        <v>44749</v>
      </c>
      <c r="R121" s="20">
        <v>44894</v>
      </c>
      <c r="S121" s="33">
        <f t="shared" si="3"/>
        <v>145</v>
      </c>
      <c r="T121" s="7">
        <v>3.04</v>
      </c>
      <c r="V121" t="s">
        <v>36</v>
      </c>
      <c r="W121">
        <v>1</v>
      </c>
      <c r="X121" s="11" t="s">
        <v>154</v>
      </c>
      <c r="Y121" s="28">
        <v>45050</v>
      </c>
      <c r="Z121" s="28">
        <v>45077</v>
      </c>
      <c r="AA121" s="29">
        <v>33.563373319715232</v>
      </c>
      <c r="AB121" s="22">
        <v>4</v>
      </c>
      <c r="AC121" s="30" t="s">
        <v>206</v>
      </c>
      <c r="AD121" s="30" t="s">
        <v>207</v>
      </c>
      <c r="AE121" s="30" t="s">
        <v>179</v>
      </c>
      <c r="AF121" s="30" t="s">
        <v>227</v>
      </c>
      <c r="AG121">
        <v>380</v>
      </c>
      <c r="AH121" t="s">
        <v>695</v>
      </c>
      <c r="AI121" t="s">
        <v>1699</v>
      </c>
      <c r="AK121" t="s">
        <v>1757</v>
      </c>
    </row>
    <row r="122" spans="1:37">
      <c r="A122" s="5" t="s">
        <v>755</v>
      </c>
      <c r="B122" s="103">
        <v>44749</v>
      </c>
      <c r="C122" s="5" t="s">
        <v>487</v>
      </c>
      <c r="D122" s="1" t="s">
        <v>256</v>
      </c>
      <c r="E122" s="2">
        <v>23</v>
      </c>
      <c r="F122" s="1" t="s">
        <v>256</v>
      </c>
      <c r="G122" s="2" t="s">
        <v>15</v>
      </c>
      <c r="H122" s="2" t="s">
        <v>13</v>
      </c>
      <c r="I122" s="1"/>
      <c r="J122" s="2" t="s">
        <v>253</v>
      </c>
      <c r="K122" s="1" t="s">
        <v>256</v>
      </c>
      <c r="L122" s="1" t="s">
        <v>493</v>
      </c>
      <c r="M122" s="1" t="s">
        <v>493</v>
      </c>
      <c r="N122" s="1" t="s">
        <v>493</v>
      </c>
      <c r="O122" s="1" t="s">
        <v>493</v>
      </c>
      <c r="P122" s="8">
        <v>9.8821999999999992</v>
      </c>
      <c r="Q122" s="117">
        <f t="shared" si="2"/>
        <v>44749</v>
      </c>
      <c r="R122" s="20">
        <v>44894</v>
      </c>
      <c r="S122" s="33">
        <f t="shared" si="3"/>
        <v>145</v>
      </c>
      <c r="T122" s="7">
        <v>7.89</v>
      </c>
      <c r="V122" t="s">
        <v>36</v>
      </c>
      <c r="W122">
        <v>1</v>
      </c>
      <c r="X122" s="11" t="s">
        <v>114</v>
      </c>
      <c r="Y122" s="28">
        <v>45050</v>
      </c>
      <c r="Z122" s="28">
        <v>45077</v>
      </c>
      <c r="AA122" s="29">
        <v>18.686280628135048</v>
      </c>
      <c r="AB122" s="22">
        <v>4</v>
      </c>
      <c r="AC122" s="30" t="s">
        <v>194</v>
      </c>
      <c r="AD122" s="30" t="s">
        <v>195</v>
      </c>
      <c r="AE122" s="30" t="s">
        <v>180</v>
      </c>
      <c r="AF122" s="30" t="s">
        <v>228</v>
      </c>
      <c r="AG122">
        <v>309</v>
      </c>
      <c r="AH122" t="s">
        <v>696</v>
      </c>
      <c r="AI122" t="s">
        <v>1699</v>
      </c>
      <c r="AK122" t="s">
        <v>1758</v>
      </c>
    </row>
    <row r="123" spans="1:37">
      <c r="A123" s="5" t="s">
        <v>756</v>
      </c>
      <c r="B123" s="103">
        <v>44749</v>
      </c>
      <c r="C123" s="5" t="s">
        <v>487</v>
      </c>
      <c r="D123" s="1" t="s">
        <v>256</v>
      </c>
      <c r="E123" s="2">
        <v>24</v>
      </c>
      <c r="F123" s="1" t="s">
        <v>256</v>
      </c>
      <c r="G123" s="2" t="s">
        <v>16</v>
      </c>
      <c r="H123" s="2" t="s">
        <v>10</v>
      </c>
      <c r="I123" s="1"/>
      <c r="J123" s="2" t="s">
        <v>254</v>
      </c>
      <c r="K123" s="1" t="s">
        <v>256</v>
      </c>
      <c r="L123" s="1" t="s">
        <v>493</v>
      </c>
      <c r="M123" s="1" t="s">
        <v>493</v>
      </c>
      <c r="N123" s="1" t="s">
        <v>493</v>
      </c>
      <c r="O123" s="1" t="s">
        <v>493</v>
      </c>
      <c r="P123" s="8">
        <v>13.586499999999999</v>
      </c>
      <c r="Q123" s="117">
        <f t="shared" si="2"/>
        <v>44749</v>
      </c>
      <c r="R123" s="20">
        <v>44894</v>
      </c>
      <c r="S123" s="33">
        <f t="shared" si="3"/>
        <v>145</v>
      </c>
      <c r="T123" s="7">
        <v>6.07</v>
      </c>
      <c r="V123" t="s">
        <v>36</v>
      </c>
      <c r="W123">
        <v>1</v>
      </c>
      <c r="X123" s="11" t="s">
        <v>124</v>
      </c>
      <c r="Y123" s="28">
        <v>45050</v>
      </c>
      <c r="Z123" s="28">
        <v>45077</v>
      </c>
      <c r="AA123" s="29">
        <v>17.301326589236098</v>
      </c>
      <c r="AB123" s="22">
        <v>4</v>
      </c>
      <c r="AC123" s="30" t="s">
        <v>200</v>
      </c>
      <c r="AD123" s="30" t="s">
        <v>201</v>
      </c>
      <c r="AE123" s="30" t="s">
        <v>180</v>
      </c>
      <c r="AF123" s="30" t="s">
        <v>228</v>
      </c>
      <c r="AG123">
        <v>345</v>
      </c>
      <c r="AH123" t="s">
        <v>697</v>
      </c>
      <c r="AI123" t="s">
        <v>1699</v>
      </c>
      <c r="AK123" t="s">
        <v>1759</v>
      </c>
    </row>
    <row r="124" spans="1:37">
      <c r="A124" s="5" t="s">
        <v>698</v>
      </c>
      <c r="B124" s="103">
        <v>44756</v>
      </c>
      <c r="C124" s="5" t="s">
        <v>487</v>
      </c>
      <c r="D124" s="1" t="s">
        <v>256</v>
      </c>
      <c r="E124" s="2">
        <v>1</v>
      </c>
      <c r="F124" s="1" t="s">
        <v>256</v>
      </c>
      <c r="G124" s="2" t="s">
        <v>9</v>
      </c>
      <c r="H124" s="2" t="s">
        <v>10</v>
      </c>
      <c r="I124" s="1"/>
      <c r="J124" s="2" t="s">
        <v>253</v>
      </c>
      <c r="K124" s="1" t="s">
        <v>256</v>
      </c>
      <c r="L124" s="1" t="s">
        <v>493</v>
      </c>
      <c r="M124" s="1" t="s">
        <v>493</v>
      </c>
      <c r="N124" s="1" t="s">
        <v>493</v>
      </c>
      <c r="O124" s="1" t="s">
        <v>493</v>
      </c>
      <c r="P124" s="8">
        <v>13.3093</v>
      </c>
      <c r="Q124" s="117">
        <f t="shared" si="2"/>
        <v>44756</v>
      </c>
      <c r="R124" s="20">
        <v>44860</v>
      </c>
      <c r="S124" s="33">
        <f t="shared" si="3"/>
        <v>104</v>
      </c>
      <c r="T124" s="7">
        <v>7.31</v>
      </c>
      <c r="V124" t="s">
        <v>36</v>
      </c>
      <c r="W124">
        <v>1</v>
      </c>
      <c r="X124" s="11" t="s">
        <v>46</v>
      </c>
      <c r="Y124" s="28">
        <v>45050</v>
      </c>
      <c r="Z124" s="28">
        <v>45077</v>
      </c>
      <c r="AA124" s="29">
        <v>17.742847555628725</v>
      </c>
      <c r="AB124" s="22">
        <v>4</v>
      </c>
      <c r="AC124" s="30" t="s">
        <v>196</v>
      </c>
      <c r="AD124" s="30" t="s">
        <v>197</v>
      </c>
      <c r="AE124" s="30" t="s">
        <v>173</v>
      </c>
      <c r="AF124" s="30" t="s">
        <v>221</v>
      </c>
      <c r="AG124">
        <v>313</v>
      </c>
      <c r="AH124" t="s">
        <v>801</v>
      </c>
      <c r="AI124" t="s">
        <v>1699</v>
      </c>
    </row>
    <row r="125" spans="1:37">
      <c r="A125" s="5" t="s">
        <v>699</v>
      </c>
      <c r="B125" s="103">
        <v>44756</v>
      </c>
      <c r="C125" s="5" t="s">
        <v>487</v>
      </c>
      <c r="D125" s="1" t="s">
        <v>256</v>
      </c>
      <c r="E125" s="2">
        <v>2</v>
      </c>
      <c r="F125" s="1" t="s">
        <v>256</v>
      </c>
      <c r="G125" s="2" t="s">
        <v>11</v>
      </c>
      <c r="H125" s="2" t="s">
        <v>10</v>
      </c>
      <c r="I125" s="1"/>
      <c r="J125" s="2" t="s">
        <v>40</v>
      </c>
      <c r="K125" s="1" t="s">
        <v>256</v>
      </c>
      <c r="L125" s="1" t="s">
        <v>493</v>
      </c>
      <c r="M125" s="1" t="s">
        <v>493</v>
      </c>
      <c r="N125" s="1" t="s">
        <v>493</v>
      </c>
      <c r="O125" s="1" t="s">
        <v>493</v>
      </c>
      <c r="P125" s="8">
        <v>15.1561</v>
      </c>
      <c r="Q125" s="117">
        <f t="shared" si="2"/>
        <v>44756</v>
      </c>
      <c r="R125" s="20">
        <v>44861</v>
      </c>
      <c r="S125" s="33">
        <f t="shared" si="3"/>
        <v>105</v>
      </c>
      <c r="T125" s="7">
        <v>12.1</v>
      </c>
      <c r="V125" t="s">
        <v>36</v>
      </c>
      <c r="W125">
        <v>1</v>
      </c>
      <c r="X125" s="11" t="s">
        <v>52</v>
      </c>
      <c r="Y125" s="28">
        <v>45050</v>
      </c>
      <c r="Z125" s="28">
        <v>45077</v>
      </c>
      <c r="AA125" s="29">
        <v>29.705616292000819</v>
      </c>
      <c r="AB125" s="22">
        <v>4</v>
      </c>
      <c r="AC125" s="30" t="s">
        <v>202</v>
      </c>
      <c r="AD125" s="30" t="s">
        <v>203</v>
      </c>
      <c r="AE125" s="30" t="s">
        <v>173</v>
      </c>
      <c r="AF125" s="30" t="s">
        <v>221</v>
      </c>
      <c r="AG125">
        <v>349</v>
      </c>
      <c r="AH125" t="s">
        <v>802</v>
      </c>
      <c r="AI125" t="s">
        <v>1699</v>
      </c>
    </row>
    <row r="126" spans="1:37">
      <c r="A126" s="5" t="s">
        <v>700</v>
      </c>
      <c r="B126" s="103">
        <v>44756</v>
      </c>
      <c r="C126" s="5" t="s">
        <v>487</v>
      </c>
      <c r="D126" s="1" t="s">
        <v>256</v>
      </c>
      <c r="E126" s="2">
        <v>3</v>
      </c>
      <c r="F126" s="1" t="s">
        <v>256</v>
      </c>
      <c r="G126" s="2" t="s">
        <v>12</v>
      </c>
      <c r="H126" s="2" t="s">
        <v>13</v>
      </c>
      <c r="I126" s="1"/>
      <c r="J126" s="2" t="s">
        <v>254</v>
      </c>
      <c r="K126" s="1" t="s">
        <v>256</v>
      </c>
      <c r="L126" s="1" t="s">
        <v>493</v>
      </c>
      <c r="M126" s="1" t="s">
        <v>493</v>
      </c>
      <c r="N126" s="1" t="s">
        <v>493</v>
      </c>
      <c r="O126" s="1" t="s">
        <v>493</v>
      </c>
      <c r="P126" s="8">
        <v>14.0321</v>
      </c>
      <c r="Q126" s="117">
        <f t="shared" si="2"/>
        <v>44756</v>
      </c>
      <c r="R126" s="20">
        <v>44860</v>
      </c>
      <c r="S126" s="33">
        <f t="shared" si="3"/>
        <v>104</v>
      </c>
      <c r="T126" s="7">
        <v>10</v>
      </c>
      <c r="V126" t="s">
        <v>36</v>
      </c>
      <c r="W126">
        <v>1</v>
      </c>
      <c r="X126" s="11" t="s">
        <v>79</v>
      </c>
      <c r="Y126" s="28">
        <v>45050</v>
      </c>
      <c r="Z126" s="28">
        <v>45077</v>
      </c>
      <c r="AA126" s="29">
        <v>21.990322718827588</v>
      </c>
      <c r="AB126" s="22">
        <v>4</v>
      </c>
      <c r="AC126" s="30" t="s">
        <v>42</v>
      </c>
      <c r="AD126" s="30" t="s">
        <v>193</v>
      </c>
      <c r="AE126" s="30" t="s">
        <v>234</v>
      </c>
      <c r="AF126" s="30" t="s">
        <v>235</v>
      </c>
      <c r="AG126">
        <v>298</v>
      </c>
      <c r="AH126" t="s">
        <v>803</v>
      </c>
      <c r="AI126" t="s">
        <v>1699</v>
      </c>
    </row>
    <row r="127" spans="1:37">
      <c r="A127" s="5" t="s">
        <v>701</v>
      </c>
      <c r="B127" s="103">
        <v>44756</v>
      </c>
      <c r="C127" s="5" t="s">
        <v>487</v>
      </c>
      <c r="D127" s="1" t="s">
        <v>256</v>
      </c>
      <c r="E127" s="2">
        <v>4</v>
      </c>
      <c r="F127" s="1" t="s">
        <v>256</v>
      </c>
      <c r="G127" s="2" t="s">
        <v>14</v>
      </c>
      <c r="H127" s="2" t="s">
        <v>13</v>
      </c>
      <c r="I127" s="1"/>
      <c r="J127" s="2" t="s">
        <v>40</v>
      </c>
      <c r="K127" s="1" t="s">
        <v>256</v>
      </c>
      <c r="L127" s="1" t="s">
        <v>493</v>
      </c>
      <c r="M127" s="1" t="s">
        <v>493</v>
      </c>
      <c r="N127" s="1" t="s">
        <v>493</v>
      </c>
      <c r="O127" s="1" t="s">
        <v>493</v>
      </c>
      <c r="P127" s="8">
        <v>14.9617</v>
      </c>
      <c r="Q127" s="117">
        <f t="shared" si="2"/>
        <v>44756</v>
      </c>
      <c r="R127" s="20">
        <v>44861</v>
      </c>
      <c r="S127" s="33">
        <f t="shared" si="3"/>
        <v>105</v>
      </c>
      <c r="T127" s="7">
        <v>18.2</v>
      </c>
      <c r="V127" t="s">
        <v>36</v>
      </c>
      <c r="W127">
        <v>1</v>
      </c>
      <c r="X127" s="11" t="s">
        <v>143</v>
      </c>
      <c r="Y127" s="28">
        <v>45050</v>
      </c>
      <c r="Z127" s="28">
        <v>45077</v>
      </c>
      <c r="AA127" s="29">
        <v>20.43645827383812</v>
      </c>
      <c r="AB127" s="22">
        <v>4</v>
      </c>
      <c r="AC127" s="30" t="s">
        <v>198</v>
      </c>
      <c r="AD127" s="30" t="s">
        <v>199</v>
      </c>
      <c r="AE127" s="30" t="s">
        <v>234</v>
      </c>
      <c r="AF127" s="30" t="s">
        <v>235</v>
      </c>
      <c r="AG127">
        <v>334</v>
      </c>
      <c r="AH127" t="s">
        <v>804</v>
      </c>
      <c r="AI127" t="s">
        <v>1699</v>
      </c>
    </row>
    <row r="128" spans="1:37">
      <c r="A128" s="5" t="s">
        <v>702</v>
      </c>
      <c r="B128" s="103">
        <v>44756</v>
      </c>
      <c r="C128" s="5" t="s">
        <v>487</v>
      </c>
      <c r="D128" s="1" t="s">
        <v>256</v>
      </c>
      <c r="E128" s="2">
        <v>5</v>
      </c>
      <c r="F128" s="1" t="s">
        <v>256</v>
      </c>
      <c r="G128" s="2" t="s">
        <v>15</v>
      </c>
      <c r="H128" s="2" t="s">
        <v>13</v>
      </c>
      <c r="I128" s="1"/>
      <c r="J128" s="2" t="s">
        <v>253</v>
      </c>
      <c r="K128" s="1" t="s">
        <v>256</v>
      </c>
      <c r="L128" s="1" t="s">
        <v>493</v>
      </c>
      <c r="M128" s="1" t="s">
        <v>493</v>
      </c>
      <c r="N128" s="1" t="s">
        <v>493</v>
      </c>
      <c r="O128" s="1" t="s">
        <v>493</v>
      </c>
      <c r="P128" s="8">
        <v>14.8302</v>
      </c>
      <c r="Q128" s="117">
        <f t="shared" si="2"/>
        <v>44756</v>
      </c>
      <c r="R128" s="20">
        <v>44861</v>
      </c>
      <c r="S128" s="33">
        <f t="shared" si="3"/>
        <v>105</v>
      </c>
      <c r="T128" s="7">
        <v>19.899999999999999</v>
      </c>
      <c r="V128" t="s">
        <v>36</v>
      </c>
      <c r="W128">
        <v>1</v>
      </c>
      <c r="X128" s="11" t="s">
        <v>84</v>
      </c>
      <c r="Y128" s="28">
        <v>45050</v>
      </c>
      <c r="Z128" s="28">
        <v>45077</v>
      </c>
      <c r="AA128" s="29">
        <v>14.445724408099636</v>
      </c>
      <c r="AB128" s="22">
        <v>4</v>
      </c>
      <c r="AC128" s="30" t="s">
        <v>204</v>
      </c>
      <c r="AD128" s="30" t="s">
        <v>205</v>
      </c>
      <c r="AE128" s="30" t="s">
        <v>234</v>
      </c>
      <c r="AF128" s="30" t="s">
        <v>235</v>
      </c>
      <c r="AG128">
        <v>370</v>
      </c>
      <c r="AH128" t="s">
        <v>805</v>
      </c>
      <c r="AI128" t="s">
        <v>1699</v>
      </c>
    </row>
    <row r="129" spans="1:37">
      <c r="A129" s="5" t="s">
        <v>703</v>
      </c>
      <c r="B129" s="103">
        <v>44756</v>
      </c>
      <c r="C129" s="5" t="s">
        <v>487</v>
      </c>
      <c r="D129" s="1" t="s">
        <v>256</v>
      </c>
      <c r="E129" s="2">
        <v>6</v>
      </c>
      <c r="F129" s="1" t="s">
        <v>256</v>
      </c>
      <c r="G129" s="2" t="s">
        <v>16</v>
      </c>
      <c r="H129" s="2" t="s">
        <v>10</v>
      </c>
      <c r="I129" s="1"/>
      <c r="J129" s="2" t="s">
        <v>254</v>
      </c>
      <c r="K129" s="1" t="s">
        <v>256</v>
      </c>
      <c r="L129" s="1" t="s">
        <v>493</v>
      </c>
      <c r="M129" s="1" t="s">
        <v>493</v>
      </c>
      <c r="N129" s="1" t="s">
        <v>493</v>
      </c>
      <c r="O129" s="1" t="s">
        <v>493</v>
      </c>
      <c r="P129" s="8">
        <v>13.0677</v>
      </c>
      <c r="Q129" s="117">
        <f t="shared" si="2"/>
        <v>44756</v>
      </c>
      <c r="R129" s="20">
        <v>44865</v>
      </c>
      <c r="S129" s="33">
        <f t="shared" si="3"/>
        <v>109</v>
      </c>
      <c r="T129" s="7">
        <v>7.42</v>
      </c>
      <c r="V129" t="s">
        <v>36</v>
      </c>
      <c r="W129">
        <v>1</v>
      </c>
      <c r="X129" s="11" t="s">
        <v>82</v>
      </c>
      <c r="Y129" s="28">
        <v>45050</v>
      </c>
      <c r="Z129" s="28">
        <v>45077</v>
      </c>
      <c r="AA129" s="29">
        <v>16.061743850854882</v>
      </c>
      <c r="AB129" s="22">
        <v>4</v>
      </c>
      <c r="AC129" s="30" t="s">
        <v>194</v>
      </c>
      <c r="AD129" s="30" t="s">
        <v>195</v>
      </c>
      <c r="AE129" s="30" t="s">
        <v>236</v>
      </c>
      <c r="AF129" s="30" t="s">
        <v>237</v>
      </c>
      <c r="AG129">
        <v>311</v>
      </c>
      <c r="AH129" t="s">
        <v>806</v>
      </c>
      <c r="AI129" t="s">
        <v>1699</v>
      </c>
    </row>
    <row r="130" spans="1:37">
      <c r="A130" s="5" t="s">
        <v>704</v>
      </c>
      <c r="B130" s="103">
        <v>44756</v>
      </c>
      <c r="C130" s="5" t="s">
        <v>487</v>
      </c>
      <c r="D130" s="1" t="s">
        <v>256</v>
      </c>
      <c r="E130" s="2">
        <v>7</v>
      </c>
      <c r="F130" s="1" t="s">
        <v>256</v>
      </c>
      <c r="G130" s="2" t="s">
        <v>14</v>
      </c>
      <c r="H130" s="2" t="s">
        <v>13</v>
      </c>
      <c r="I130" s="1"/>
      <c r="J130" s="2" t="s">
        <v>40</v>
      </c>
      <c r="K130" s="1" t="s">
        <v>256</v>
      </c>
      <c r="L130" s="1" t="s">
        <v>493</v>
      </c>
      <c r="M130" s="1" t="s">
        <v>493</v>
      </c>
      <c r="N130" s="1" t="s">
        <v>493</v>
      </c>
      <c r="O130" s="1" t="s">
        <v>493</v>
      </c>
      <c r="P130" s="8">
        <v>13.4596</v>
      </c>
      <c r="Q130" s="117">
        <f t="shared" si="2"/>
        <v>44756</v>
      </c>
      <c r="R130" s="20">
        <v>44861</v>
      </c>
      <c r="S130" s="33">
        <f t="shared" si="3"/>
        <v>105</v>
      </c>
      <c r="T130" s="7">
        <v>10.3</v>
      </c>
      <c r="V130" t="s">
        <v>36</v>
      </c>
      <c r="W130">
        <v>1</v>
      </c>
      <c r="X130" s="11" t="s">
        <v>89</v>
      </c>
      <c r="Y130" s="28">
        <v>45050</v>
      </c>
      <c r="Z130" s="28">
        <v>45077</v>
      </c>
      <c r="AA130" s="29">
        <v>15.84186004710341</v>
      </c>
      <c r="AB130" s="22">
        <v>4</v>
      </c>
      <c r="AC130" s="30" t="s">
        <v>200</v>
      </c>
      <c r="AD130" s="30" t="s">
        <v>201</v>
      </c>
      <c r="AE130" s="30" t="s">
        <v>236</v>
      </c>
      <c r="AF130" s="30" t="s">
        <v>237</v>
      </c>
      <c r="AG130">
        <v>347</v>
      </c>
      <c r="AH130" t="s">
        <v>807</v>
      </c>
      <c r="AI130" t="s">
        <v>1699</v>
      </c>
    </row>
    <row r="131" spans="1:37">
      <c r="A131" s="5" t="s">
        <v>705</v>
      </c>
      <c r="B131" s="103">
        <v>44756</v>
      </c>
      <c r="C131" s="5" t="s">
        <v>487</v>
      </c>
      <c r="D131" s="1" t="s">
        <v>256</v>
      </c>
      <c r="E131" s="2">
        <v>8</v>
      </c>
      <c r="F131" s="1" t="s">
        <v>256</v>
      </c>
      <c r="G131" s="2" t="s">
        <v>15</v>
      </c>
      <c r="H131" s="2" t="s">
        <v>13</v>
      </c>
      <c r="I131" s="1"/>
      <c r="J131" s="2" t="s">
        <v>253</v>
      </c>
      <c r="K131" s="1" t="s">
        <v>256</v>
      </c>
      <c r="L131" s="1" t="s">
        <v>493</v>
      </c>
      <c r="M131" s="1" t="s">
        <v>493</v>
      </c>
      <c r="N131" s="1" t="s">
        <v>493</v>
      </c>
      <c r="O131" s="1" t="s">
        <v>493</v>
      </c>
      <c r="P131" s="8">
        <v>12.942</v>
      </c>
      <c r="Q131" s="117">
        <f t="shared" ref="Q131:Q147" si="4">B131</f>
        <v>44756</v>
      </c>
      <c r="R131" s="20">
        <v>44865</v>
      </c>
      <c r="S131" s="33">
        <f t="shared" ref="S131:S147" si="5">R131-Q131</f>
        <v>109</v>
      </c>
      <c r="T131" s="7">
        <v>5.41</v>
      </c>
      <c r="V131" t="s">
        <v>36</v>
      </c>
      <c r="W131">
        <v>1</v>
      </c>
      <c r="X131" s="11" t="s">
        <v>147</v>
      </c>
      <c r="Y131" s="28">
        <v>45050</v>
      </c>
      <c r="Z131" s="28">
        <v>45077</v>
      </c>
      <c r="AA131" s="29">
        <v>31.962430663580196</v>
      </c>
      <c r="AB131" s="22">
        <v>4</v>
      </c>
      <c r="AC131" s="30" t="s">
        <v>206</v>
      </c>
      <c r="AD131" s="30" t="s">
        <v>207</v>
      </c>
      <c r="AE131" s="30" t="s">
        <v>236</v>
      </c>
      <c r="AF131" s="30" t="s">
        <v>237</v>
      </c>
      <c r="AG131">
        <v>383</v>
      </c>
      <c r="AH131" t="s">
        <v>808</v>
      </c>
      <c r="AI131" t="s">
        <v>1699</v>
      </c>
    </row>
    <row r="132" spans="1:37">
      <c r="A132" s="5" t="s">
        <v>757</v>
      </c>
      <c r="B132" s="103">
        <v>44756</v>
      </c>
      <c r="C132" s="5" t="s">
        <v>487</v>
      </c>
      <c r="D132" s="1" t="s">
        <v>256</v>
      </c>
      <c r="E132" s="2">
        <v>9</v>
      </c>
      <c r="F132" s="1" t="s">
        <v>256</v>
      </c>
      <c r="G132" s="2" t="s">
        <v>12</v>
      </c>
      <c r="H132" s="2" t="s">
        <v>13</v>
      </c>
      <c r="I132" s="1"/>
      <c r="J132" s="2" t="s">
        <v>254</v>
      </c>
      <c r="K132" s="1" t="s">
        <v>256</v>
      </c>
      <c r="L132" s="1" t="s">
        <v>493</v>
      </c>
      <c r="M132" s="1" t="s">
        <v>493</v>
      </c>
      <c r="N132" s="1" t="s">
        <v>493</v>
      </c>
      <c r="O132" s="1" t="s">
        <v>493</v>
      </c>
      <c r="P132" s="8">
        <v>14.6151</v>
      </c>
      <c r="Q132" s="117">
        <f t="shared" si="4"/>
        <v>44756</v>
      </c>
      <c r="R132" s="20">
        <v>44886</v>
      </c>
      <c r="S132" s="33">
        <f t="shared" si="5"/>
        <v>130</v>
      </c>
      <c r="T132" s="8" t="s">
        <v>256</v>
      </c>
      <c r="U132" s="8" t="s">
        <v>256</v>
      </c>
      <c r="V132" s="3" t="s">
        <v>256</v>
      </c>
      <c r="W132" s="3" t="s">
        <v>256</v>
      </c>
      <c r="X132" s="27" t="s">
        <v>256</v>
      </c>
      <c r="Y132" s="27" t="s">
        <v>256</v>
      </c>
      <c r="Z132" s="27" t="s">
        <v>256</v>
      </c>
      <c r="AA132" s="8" t="s">
        <v>256</v>
      </c>
      <c r="AB132" s="8" t="s">
        <v>256</v>
      </c>
      <c r="AC132" s="31" t="e">
        <v>#N/A</v>
      </c>
      <c r="AD132" s="31" t="e">
        <v>#N/A</v>
      </c>
      <c r="AE132" s="31" t="e">
        <v>#N/A</v>
      </c>
      <c r="AF132" s="31" t="e">
        <v>#N/A</v>
      </c>
      <c r="AG132" s="3" t="s">
        <v>256</v>
      </c>
      <c r="AH132" s="3"/>
      <c r="AI132" s="3" t="s">
        <v>256</v>
      </c>
      <c r="AJ132" t="s">
        <v>1788</v>
      </c>
    </row>
    <row r="133" spans="1:37">
      <c r="A133" s="5" t="s">
        <v>706</v>
      </c>
      <c r="B133" s="103">
        <v>44756</v>
      </c>
      <c r="C133" s="5" t="s">
        <v>487</v>
      </c>
      <c r="D133" s="1" t="s">
        <v>256</v>
      </c>
      <c r="E133" s="2">
        <v>10</v>
      </c>
      <c r="F133" s="1" t="s">
        <v>256</v>
      </c>
      <c r="G133" s="2" t="s">
        <v>11</v>
      </c>
      <c r="H133" s="2" t="s">
        <v>10</v>
      </c>
      <c r="I133" s="1"/>
      <c r="J133" s="2" t="s">
        <v>40</v>
      </c>
      <c r="K133" s="1" t="s">
        <v>256</v>
      </c>
      <c r="L133" s="1" t="s">
        <v>493</v>
      </c>
      <c r="M133" s="1" t="s">
        <v>493</v>
      </c>
      <c r="N133" s="1" t="s">
        <v>493</v>
      </c>
      <c r="O133" s="1" t="s">
        <v>493</v>
      </c>
      <c r="P133" s="8">
        <v>12.9176</v>
      </c>
      <c r="Q133" s="117">
        <f t="shared" si="4"/>
        <v>44756</v>
      </c>
      <c r="R133" s="20">
        <v>44861</v>
      </c>
      <c r="S133" s="33">
        <f t="shared" si="5"/>
        <v>105</v>
      </c>
      <c r="T133" s="7">
        <v>6.81</v>
      </c>
      <c r="V133" t="s">
        <v>36</v>
      </c>
      <c r="W133">
        <v>1</v>
      </c>
      <c r="X133" s="11" t="s">
        <v>88</v>
      </c>
      <c r="Y133" s="28">
        <v>45050</v>
      </c>
      <c r="Z133" s="28">
        <v>45077</v>
      </c>
      <c r="AA133" s="29">
        <v>18.195424132265835</v>
      </c>
      <c r="AB133" s="22">
        <v>4</v>
      </c>
      <c r="AC133" s="30" t="s">
        <v>200</v>
      </c>
      <c r="AD133" s="30" t="s">
        <v>201</v>
      </c>
      <c r="AE133" s="30" t="s">
        <v>238</v>
      </c>
      <c r="AF133" s="30" t="s">
        <v>239</v>
      </c>
      <c r="AG133">
        <v>348</v>
      </c>
      <c r="AH133" t="s">
        <v>706</v>
      </c>
      <c r="AI133" t="s">
        <v>1699</v>
      </c>
      <c r="AK133" t="s">
        <v>855</v>
      </c>
    </row>
    <row r="134" spans="1:37">
      <c r="A134" s="5" t="s">
        <v>707</v>
      </c>
      <c r="B134" s="103">
        <v>44756</v>
      </c>
      <c r="C134" s="5" t="s">
        <v>487</v>
      </c>
      <c r="D134" s="1" t="s">
        <v>256</v>
      </c>
      <c r="E134" s="2">
        <v>11</v>
      </c>
      <c r="F134" s="1" t="s">
        <v>256</v>
      </c>
      <c r="G134" s="2" t="s">
        <v>9</v>
      </c>
      <c r="H134" s="2" t="s">
        <v>10</v>
      </c>
      <c r="I134" s="1"/>
      <c r="J134" s="2" t="s">
        <v>253</v>
      </c>
      <c r="K134" s="1" t="s">
        <v>256</v>
      </c>
      <c r="L134" s="1" t="s">
        <v>493</v>
      </c>
      <c r="M134" s="1" t="s">
        <v>493</v>
      </c>
      <c r="N134" s="1" t="s">
        <v>493</v>
      </c>
      <c r="O134" s="1" t="s">
        <v>493</v>
      </c>
      <c r="P134" s="8">
        <v>12.7502</v>
      </c>
      <c r="Q134" s="117">
        <f t="shared" si="4"/>
        <v>44756</v>
      </c>
      <c r="R134" s="20">
        <v>44886</v>
      </c>
      <c r="S134" s="33">
        <f t="shared" si="5"/>
        <v>130</v>
      </c>
      <c r="T134" s="7">
        <v>6.59</v>
      </c>
      <c r="V134" t="s">
        <v>36</v>
      </c>
      <c r="W134">
        <v>1</v>
      </c>
      <c r="X134" s="11" t="s">
        <v>149</v>
      </c>
      <c r="Y134" s="28">
        <v>45050</v>
      </c>
      <c r="Z134" s="28">
        <v>45077</v>
      </c>
      <c r="AA134" s="29">
        <v>24.850649519726652</v>
      </c>
      <c r="AB134" s="22">
        <v>4</v>
      </c>
      <c r="AC134" s="30" t="s">
        <v>206</v>
      </c>
      <c r="AD134" s="30" t="s">
        <v>207</v>
      </c>
      <c r="AE134" s="30" t="s">
        <v>238</v>
      </c>
      <c r="AF134" s="30" t="s">
        <v>239</v>
      </c>
      <c r="AG134">
        <v>384</v>
      </c>
      <c r="AH134" t="s">
        <v>707</v>
      </c>
      <c r="AI134" t="s">
        <v>1699</v>
      </c>
      <c r="AK134" t="s">
        <v>856</v>
      </c>
    </row>
    <row r="135" spans="1:37">
      <c r="A135" s="5" t="s">
        <v>708</v>
      </c>
      <c r="B135" s="103">
        <v>44756</v>
      </c>
      <c r="C135" s="5" t="s">
        <v>487</v>
      </c>
      <c r="D135" s="1" t="s">
        <v>256</v>
      </c>
      <c r="E135" s="2">
        <v>12</v>
      </c>
      <c r="F135" s="1" t="s">
        <v>256</v>
      </c>
      <c r="G135" s="2" t="s">
        <v>16</v>
      </c>
      <c r="H135" s="2" t="s">
        <v>10</v>
      </c>
      <c r="I135" s="1"/>
      <c r="J135" s="2" t="s">
        <v>254</v>
      </c>
      <c r="K135" s="1" t="s">
        <v>256</v>
      </c>
      <c r="L135" s="1" t="s">
        <v>493</v>
      </c>
      <c r="M135" s="1" t="s">
        <v>493</v>
      </c>
      <c r="N135" s="1" t="s">
        <v>493</v>
      </c>
      <c r="O135" s="1" t="s">
        <v>493</v>
      </c>
      <c r="P135" s="8">
        <v>13.8323</v>
      </c>
      <c r="Q135" s="117">
        <f t="shared" si="4"/>
        <v>44756</v>
      </c>
      <c r="R135" s="20">
        <v>44861</v>
      </c>
      <c r="S135" s="33">
        <f t="shared" si="5"/>
        <v>105</v>
      </c>
      <c r="T135" s="7">
        <v>10.1</v>
      </c>
      <c r="V135" t="s">
        <v>36</v>
      </c>
      <c r="W135">
        <v>1</v>
      </c>
      <c r="X135" s="11" t="s">
        <v>100</v>
      </c>
      <c r="Y135" s="28">
        <v>45050</v>
      </c>
      <c r="Z135" s="28">
        <v>45077</v>
      </c>
      <c r="AA135" s="29">
        <v>16.356875098692058</v>
      </c>
      <c r="AB135" s="22">
        <v>4</v>
      </c>
      <c r="AC135" s="30" t="s">
        <v>196</v>
      </c>
      <c r="AD135" s="30" t="s">
        <v>197</v>
      </c>
      <c r="AE135" s="30" t="s">
        <v>181</v>
      </c>
      <c r="AF135" s="30" t="s">
        <v>229</v>
      </c>
      <c r="AG135">
        <v>317</v>
      </c>
      <c r="AH135" t="s">
        <v>708</v>
      </c>
      <c r="AI135" t="s">
        <v>1699</v>
      </c>
      <c r="AK135" t="s">
        <v>857</v>
      </c>
    </row>
    <row r="136" spans="1:37">
      <c r="A136" s="5" t="s">
        <v>709</v>
      </c>
      <c r="B136" s="103">
        <v>44756</v>
      </c>
      <c r="C136" s="5" t="s">
        <v>487</v>
      </c>
      <c r="D136" s="1" t="s">
        <v>256</v>
      </c>
      <c r="E136" s="2">
        <v>13</v>
      </c>
      <c r="F136" s="1" t="s">
        <v>256</v>
      </c>
      <c r="G136" s="2" t="s">
        <v>11</v>
      </c>
      <c r="H136" s="2" t="s">
        <v>10</v>
      </c>
      <c r="I136" s="1"/>
      <c r="J136" s="2" t="s">
        <v>40</v>
      </c>
      <c r="K136" s="1" t="s">
        <v>256</v>
      </c>
      <c r="L136" s="1" t="s">
        <v>493</v>
      </c>
      <c r="M136" s="1" t="s">
        <v>493</v>
      </c>
      <c r="N136" s="1" t="s">
        <v>493</v>
      </c>
      <c r="O136" s="1" t="s">
        <v>493</v>
      </c>
      <c r="P136" s="8">
        <v>13.8224</v>
      </c>
      <c r="Q136" s="117">
        <f t="shared" si="4"/>
        <v>44756</v>
      </c>
      <c r="R136" s="20">
        <v>44890</v>
      </c>
      <c r="S136" s="33">
        <f t="shared" si="5"/>
        <v>134</v>
      </c>
      <c r="T136" s="7">
        <v>9.52</v>
      </c>
      <c r="V136" t="s">
        <v>36</v>
      </c>
      <c r="W136">
        <v>1</v>
      </c>
      <c r="X136" s="11" t="s">
        <v>93</v>
      </c>
      <c r="Y136" s="28">
        <v>45050</v>
      </c>
      <c r="Z136" s="28">
        <v>45077</v>
      </c>
      <c r="AA136" s="29">
        <v>18.124134869625692</v>
      </c>
      <c r="AB136" s="22">
        <v>4</v>
      </c>
      <c r="AC136" s="30" t="s">
        <v>202</v>
      </c>
      <c r="AD136" s="30" t="s">
        <v>203</v>
      </c>
      <c r="AE136" s="30" t="s">
        <v>181</v>
      </c>
      <c r="AF136" s="30" t="s">
        <v>229</v>
      </c>
      <c r="AG136">
        <v>353</v>
      </c>
      <c r="AH136" t="s">
        <v>709</v>
      </c>
      <c r="AI136" t="s">
        <v>1699</v>
      </c>
      <c r="AK136" t="s">
        <v>858</v>
      </c>
    </row>
    <row r="137" spans="1:37">
      <c r="A137" s="5" t="s">
        <v>710</v>
      </c>
      <c r="B137" s="103">
        <v>44756</v>
      </c>
      <c r="C137" s="5" t="s">
        <v>487</v>
      </c>
      <c r="D137" s="1" t="s">
        <v>256</v>
      </c>
      <c r="E137" s="2">
        <v>14</v>
      </c>
      <c r="F137" s="1" t="s">
        <v>256</v>
      </c>
      <c r="G137" s="2" t="s">
        <v>16</v>
      </c>
      <c r="H137" s="2" t="s">
        <v>10</v>
      </c>
      <c r="I137" s="1"/>
      <c r="J137" s="2" t="s">
        <v>254</v>
      </c>
      <c r="K137" s="1" t="s">
        <v>256</v>
      </c>
      <c r="L137" s="1" t="s">
        <v>493</v>
      </c>
      <c r="M137" s="1" t="s">
        <v>493</v>
      </c>
      <c r="N137" s="1" t="s">
        <v>493</v>
      </c>
      <c r="O137" s="1" t="s">
        <v>493</v>
      </c>
      <c r="P137" s="8">
        <v>14.4657</v>
      </c>
      <c r="Q137" s="117">
        <f t="shared" si="4"/>
        <v>44756</v>
      </c>
      <c r="R137" s="20">
        <v>44890</v>
      </c>
      <c r="S137" s="33">
        <f t="shared" si="5"/>
        <v>134</v>
      </c>
      <c r="T137" s="7">
        <v>15.3</v>
      </c>
      <c r="V137" t="s">
        <v>36</v>
      </c>
      <c r="W137">
        <v>1</v>
      </c>
      <c r="X137" s="11" t="s">
        <v>95</v>
      </c>
      <c r="Y137" s="28">
        <v>45050</v>
      </c>
      <c r="Z137" s="28">
        <v>45077</v>
      </c>
      <c r="AA137" s="29">
        <v>21.170464701000864</v>
      </c>
      <c r="AB137" s="22">
        <v>4</v>
      </c>
      <c r="AC137" s="30" t="s">
        <v>42</v>
      </c>
      <c r="AD137" s="30" t="s">
        <v>193</v>
      </c>
      <c r="AE137" s="30" t="s">
        <v>177</v>
      </c>
      <c r="AF137" s="30" t="s">
        <v>225</v>
      </c>
      <c r="AG137">
        <v>294</v>
      </c>
      <c r="AH137" t="s">
        <v>710</v>
      </c>
      <c r="AI137" t="s">
        <v>1699</v>
      </c>
      <c r="AK137" t="s">
        <v>859</v>
      </c>
    </row>
    <row r="138" spans="1:37">
      <c r="A138" s="5" t="s">
        <v>711</v>
      </c>
      <c r="B138" s="103">
        <v>44756</v>
      </c>
      <c r="C138" s="5" t="s">
        <v>487</v>
      </c>
      <c r="D138" s="1" t="s">
        <v>256</v>
      </c>
      <c r="E138" s="2">
        <v>15</v>
      </c>
      <c r="F138" s="1" t="s">
        <v>256</v>
      </c>
      <c r="G138" s="2" t="s">
        <v>9</v>
      </c>
      <c r="H138" s="2" t="s">
        <v>10</v>
      </c>
      <c r="I138" s="1"/>
      <c r="J138" s="2" t="s">
        <v>253</v>
      </c>
      <c r="K138" s="1" t="s">
        <v>256</v>
      </c>
      <c r="L138" s="1" t="s">
        <v>493</v>
      </c>
      <c r="M138" s="1" t="s">
        <v>493</v>
      </c>
      <c r="N138" s="1" t="s">
        <v>493</v>
      </c>
      <c r="O138" s="1" t="s">
        <v>493</v>
      </c>
      <c r="P138" s="8">
        <v>14.111700000000001</v>
      </c>
      <c r="Q138" s="117">
        <f t="shared" si="4"/>
        <v>44756</v>
      </c>
      <c r="R138" s="20">
        <v>44890</v>
      </c>
      <c r="S138" s="33">
        <f t="shared" si="5"/>
        <v>134</v>
      </c>
      <c r="T138" s="7">
        <v>5.56</v>
      </c>
      <c r="V138" t="s">
        <v>36</v>
      </c>
      <c r="W138">
        <v>1</v>
      </c>
      <c r="X138" s="11" t="s">
        <v>97</v>
      </c>
      <c r="Y138" s="28">
        <v>45050</v>
      </c>
      <c r="Z138" s="28">
        <v>45077</v>
      </c>
      <c r="AA138" s="29">
        <v>18.13150527645535</v>
      </c>
      <c r="AB138" s="22">
        <v>4</v>
      </c>
      <c r="AC138" s="30" t="s">
        <v>198</v>
      </c>
      <c r="AD138" s="30" t="s">
        <v>199</v>
      </c>
      <c r="AE138" s="30" t="s">
        <v>177</v>
      </c>
      <c r="AF138" s="30" t="s">
        <v>225</v>
      </c>
      <c r="AG138">
        <v>330</v>
      </c>
      <c r="AH138" t="s">
        <v>711</v>
      </c>
      <c r="AI138" t="s">
        <v>1699</v>
      </c>
      <c r="AK138" t="s">
        <v>860</v>
      </c>
    </row>
    <row r="139" spans="1:37">
      <c r="A139" s="5" t="s">
        <v>712</v>
      </c>
      <c r="B139" s="103">
        <v>44756</v>
      </c>
      <c r="C139" s="5" t="s">
        <v>487</v>
      </c>
      <c r="D139" s="1" t="s">
        <v>256</v>
      </c>
      <c r="E139" s="2">
        <v>16</v>
      </c>
      <c r="F139" s="1" t="s">
        <v>256</v>
      </c>
      <c r="G139" s="2" t="s">
        <v>15</v>
      </c>
      <c r="H139" s="2" t="s">
        <v>13</v>
      </c>
      <c r="I139" s="1"/>
      <c r="J139" s="2" t="s">
        <v>253</v>
      </c>
      <c r="K139" s="1" t="s">
        <v>256</v>
      </c>
      <c r="L139" s="1" t="s">
        <v>493</v>
      </c>
      <c r="M139" s="1" t="s">
        <v>493</v>
      </c>
      <c r="N139" s="1" t="s">
        <v>493</v>
      </c>
      <c r="O139" s="1" t="s">
        <v>493</v>
      </c>
      <c r="P139" s="8">
        <v>14.2883</v>
      </c>
      <c r="Q139" s="117">
        <f t="shared" si="4"/>
        <v>44756</v>
      </c>
      <c r="R139" s="20">
        <v>44890</v>
      </c>
      <c r="S139" s="33">
        <f t="shared" si="5"/>
        <v>134</v>
      </c>
      <c r="T139" s="7">
        <v>2.3199999999999998</v>
      </c>
      <c r="V139" t="s">
        <v>36</v>
      </c>
      <c r="W139">
        <v>1</v>
      </c>
      <c r="X139" s="11" t="s">
        <v>110</v>
      </c>
      <c r="Y139" s="28">
        <v>45050</v>
      </c>
      <c r="Z139" s="28">
        <v>45077</v>
      </c>
      <c r="AA139" s="29">
        <v>19.429998773698692</v>
      </c>
      <c r="AB139" s="22">
        <v>4</v>
      </c>
      <c r="AC139" s="30" t="s">
        <v>204</v>
      </c>
      <c r="AD139" s="30" t="s">
        <v>205</v>
      </c>
      <c r="AE139" s="30" t="s">
        <v>177</v>
      </c>
      <c r="AF139" s="30" t="s">
        <v>225</v>
      </c>
      <c r="AG139">
        <v>366</v>
      </c>
      <c r="AH139" t="s">
        <v>712</v>
      </c>
      <c r="AI139" t="s">
        <v>1699</v>
      </c>
      <c r="AK139" t="s">
        <v>861</v>
      </c>
    </row>
    <row r="140" spans="1:37">
      <c r="A140" s="5" t="s">
        <v>713</v>
      </c>
      <c r="B140" s="103">
        <v>44756</v>
      </c>
      <c r="C140" s="5" t="s">
        <v>487</v>
      </c>
      <c r="D140" s="1" t="s">
        <v>256</v>
      </c>
      <c r="E140" s="2">
        <v>17</v>
      </c>
      <c r="F140" s="1" t="s">
        <v>256</v>
      </c>
      <c r="G140" s="2" t="s">
        <v>14</v>
      </c>
      <c r="H140" s="2" t="s">
        <v>13</v>
      </c>
      <c r="I140" s="1"/>
      <c r="J140" s="2" t="s">
        <v>40</v>
      </c>
      <c r="K140" s="1" t="s">
        <v>256</v>
      </c>
      <c r="L140" s="1" t="s">
        <v>493</v>
      </c>
      <c r="M140" s="1" t="s">
        <v>493</v>
      </c>
      <c r="N140" s="1" t="s">
        <v>493</v>
      </c>
      <c r="O140" s="1" t="s">
        <v>493</v>
      </c>
      <c r="P140" s="8">
        <v>15.281599999999999</v>
      </c>
      <c r="Q140" s="117">
        <f t="shared" si="4"/>
        <v>44756</v>
      </c>
      <c r="R140" s="20">
        <v>44893</v>
      </c>
      <c r="S140" s="33">
        <f t="shared" si="5"/>
        <v>137</v>
      </c>
      <c r="T140" s="7">
        <v>5.01</v>
      </c>
      <c r="V140" t="s">
        <v>36</v>
      </c>
      <c r="W140">
        <v>1</v>
      </c>
      <c r="X140" s="11" t="s">
        <v>112</v>
      </c>
      <c r="Y140" s="28">
        <v>45050</v>
      </c>
      <c r="Z140" s="28">
        <v>45077</v>
      </c>
      <c r="AA140" s="29">
        <v>23.116220606565584</v>
      </c>
      <c r="AB140" s="22">
        <v>4</v>
      </c>
      <c r="AC140" s="30" t="s">
        <v>194</v>
      </c>
      <c r="AD140" s="30" t="s">
        <v>195</v>
      </c>
      <c r="AE140" s="30" t="s">
        <v>178</v>
      </c>
      <c r="AF140" s="30" t="s">
        <v>226</v>
      </c>
      <c r="AG140">
        <v>307</v>
      </c>
      <c r="AH140" t="s">
        <v>713</v>
      </c>
      <c r="AI140" t="s">
        <v>1699</v>
      </c>
      <c r="AK140" t="s">
        <v>862</v>
      </c>
    </row>
    <row r="141" spans="1:37">
      <c r="A141" s="5" t="s">
        <v>714</v>
      </c>
      <c r="B141" s="103">
        <v>44756</v>
      </c>
      <c r="C141" s="5" t="s">
        <v>487</v>
      </c>
      <c r="D141" s="1" t="s">
        <v>256</v>
      </c>
      <c r="E141" s="2">
        <v>18</v>
      </c>
      <c r="F141" s="1" t="s">
        <v>256</v>
      </c>
      <c r="G141" s="2" t="s">
        <v>12</v>
      </c>
      <c r="H141" s="2" t="s">
        <v>13</v>
      </c>
      <c r="I141" s="1"/>
      <c r="J141" s="2" t="s">
        <v>254</v>
      </c>
      <c r="K141" s="1" t="s">
        <v>256</v>
      </c>
      <c r="L141" s="1" t="s">
        <v>493</v>
      </c>
      <c r="M141" s="1" t="s">
        <v>493</v>
      </c>
      <c r="N141" s="1" t="s">
        <v>493</v>
      </c>
      <c r="O141" s="1" t="s">
        <v>493</v>
      </c>
      <c r="P141" s="8">
        <v>17.497</v>
      </c>
      <c r="Q141" s="117">
        <f t="shared" si="4"/>
        <v>44756</v>
      </c>
      <c r="R141" s="20">
        <v>44893</v>
      </c>
      <c r="S141" s="33">
        <f t="shared" si="5"/>
        <v>137</v>
      </c>
      <c r="T141" s="7">
        <v>8.86</v>
      </c>
      <c r="V141" t="s">
        <v>36</v>
      </c>
      <c r="W141">
        <v>1</v>
      </c>
      <c r="X141" s="11" t="s">
        <v>105</v>
      </c>
      <c r="Y141" s="28">
        <v>45050</v>
      </c>
      <c r="Z141" s="28">
        <v>45077</v>
      </c>
      <c r="AA141" s="29">
        <v>16.116381453620612</v>
      </c>
      <c r="AB141" s="22">
        <v>4</v>
      </c>
      <c r="AC141" s="30" t="s">
        <v>200</v>
      </c>
      <c r="AD141" s="30" t="s">
        <v>201</v>
      </c>
      <c r="AE141" s="30" t="s">
        <v>178</v>
      </c>
      <c r="AF141" s="30" t="s">
        <v>226</v>
      </c>
      <c r="AG141">
        <v>343</v>
      </c>
      <c r="AH141" t="s">
        <v>714</v>
      </c>
      <c r="AI141" t="s">
        <v>1699</v>
      </c>
      <c r="AK141" t="s">
        <v>863</v>
      </c>
    </row>
    <row r="142" spans="1:37">
      <c r="A142" s="5" t="s">
        <v>715</v>
      </c>
      <c r="B142" s="103">
        <v>44756</v>
      </c>
      <c r="C142" s="5" t="s">
        <v>487</v>
      </c>
      <c r="D142" s="1" t="s">
        <v>256</v>
      </c>
      <c r="E142" s="2">
        <v>19</v>
      </c>
      <c r="F142" s="1" t="s">
        <v>256</v>
      </c>
      <c r="G142" s="2" t="s">
        <v>9</v>
      </c>
      <c r="H142" s="2" t="s">
        <v>10</v>
      </c>
      <c r="I142" s="1"/>
      <c r="J142" s="2" t="s">
        <v>253</v>
      </c>
      <c r="K142" s="1" t="s">
        <v>256</v>
      </c>
      <c r="L142" s="1" t="s">
        <v>493</v>
      </c>
      <c r="M142" s="1" t="s">
        <v>493</v>
      </c>
      <c r="N142" s="1" t="s">
        <v>493</v>
      </c>
      <c r="O142" s="1" t="s">
        <v>493</v>
      </c>
      <c r="P142" s="8">
        <v>10.903700000000001</v>
      </c>
      <c r="Q142" s="117">
        <f t="shared" si="4"/>
        <v>44756</v>
      </c>
      <c r="R142" s="20">
        <v>44893</v>
      </c>
      <c r="S142" s="33">
        <f t="shared" si="5"/>
        <v>137</v>
      </c>
      <c r="T142" s="7">
        <v>0.65600000000000003</v>
      </c>
      <c r="V142" t="s">
        <v>36</v>
      </c>
      <c r="W142">
        <v>1</v>
      </c>
      <c r="X142" s="11" t="s">
        <v>142</v>
      </c>
      <c r="Y142" s="28">
        <v>45050</v>
      </c>
      <c r="Z142" s="28">
        <v>45077</v>
      </c>
      <c r="AA142" s="29">
        <v>27.13159094956038</v>
      </c>
      <c r="AB142" s="22">
        <v>4</v>
      </c>
      <c r="AC142" s="30" t="s">
        <v>206</v>
      </c>
      <c r="AD142" s="30" t="s">
        <v>207</v>
      </c>
      <c r="AE142" s="30" t="s">
        <v>178</v>
      </c>
      <c r="AF142" s="30" t="s">
        <v>226</v>
      </c>
      <c r="AG142">
        <v>379</v>
      </c>
      <c r="AH142" t="s">
        <v>715</v>
      </c>
      <c r="AI142" t="s">
        <v>1699</v>
      </c>
      <c r="AK142" t="s">
        <v>864</v>
      </c>
    </row>
    <row r="143" spans="1:37">
      <c r="A143" s="5" t="s">
        <v>716</v>
      </c>
      <c r="B143" s="103">
        <v>44756</v>
      </c>
      <c r="C143" s="5" t="s">
        <v>487</v>
      </c>
      <c r="D143" s="1" t="s">
        <v>256</v>
      </c>
      <c r="E143" s="2">
        <v>20</v>
      </c>
      <c r="F143" s="1" t="s">
        <v>256</v>
      </c>
      <c r="G143" s="2" t="s">
        <v>11</v>
      </c>
      <c r="H143" s="2" t="s">
        <v>10</v>
      </c>
      <c r="I143" s="1"/>
      <c r="J143" s="2" t="s">
        <v>40</v>
      </c>
      <c r="K143" s="1" t="s">
        <v>256</v>
      </c>
      <c r="L143" s="1" t="s">
        <v>493</v>
      </c>
      <c r="M143" s="1" t="s">
        <v>493</v>
      </c>
      <c r="N143" s="1" t="s">
        <v>493</v>
      </c>
      <c r="O143" s="1" t="s">
        <v>493</v>
      </c>
      <c r="P143" s="8">
        <v>13.937799999999999</v>
      </c>
      <c r="Q143" s="117">
        <f t="shared" si="4"/>
        <v>44756</v>
      </c>
      <c r="R143" s="20">
        <v>44894</v>
      </c>
      <c r="S143" s="33">
        <f t="shared" si="5"/>
        <v>138</v>
      </c>
      <c r="T143" s="7">
        <v>2.48</v>
      </c>
      <c r="V143" t="s">
        <v>36</v>
      </c>
      <c r="W143">
        <v>1</v>
      </c>
      <c r="X143" s="11" t="s">
        <v>139</v>
      </c>
      <c r="Y143" s="28">
        <v>45050</v>
      </c>
      <c r="Z143" s="28">
        <v>45077</v>
      </c>
      <c r="AA143" s="29">
        <v>24.254780475267349</v>
      </c>
      <c r="AB143" s="22">
        <v>4</v>
      </c>
      <c r="AC143" s="30" t="s">
        <v>196</v>
      </c>
      <c r="AD143" s="30" t="s">
        <v>197</v>
      </c>
      <c r="AE143" s="30" t="s">
        <v>179</v>
      </c>
      <c r="AF143" s="30" t="s">
        <v>227</v>
      </c>
      <c r="AG143">
        <v>320</v>
      </c>
      <c r="AH143" t="s">
        <v>716</v>
      </c>
      <c r="AI143" t="s">
        <v>1699</v>
      </c>
      <c r="AK143" t="s">
        <v>865</v>
      </c>
    </row>
    <row r="144" spans="1:37">
      <c r="A144" s="5" t="s">
        <v>717</v>
      </c>
      <c r="B144" s="103">
        <v>44756</v>
      </c>
      <c r="C144" s="5" t="s">
        <v>487</v>
      </c>
      <c r="D144" s="1" t="s">
        <v>256</v>
      </c>
      <c r="E144" s="2">
        <v>21</v>
      </c>
      <c r="F144" s="1" t="s">
        <v>256</v>
      </c>
      <c r="G144" s="2" t="s">
        <v>14</v>
      </c>
      <c r="H144" s="2" t="s">
        <v>13</v>
      </c>
      <c r="I144" s="1"/>
      <c r="J144" s="2" t="s">
        <v>40</v>
      </c>
      <c r="K144" s="1" t="s">
        <v>256</v>
      </c>
      <c r="L144" s="1" t="s">
        <v>493</v>
      </c>
      <c r="M144" s="1" t="s">
        <v>493</v>
      </c>
      <c r="N144" s="1" t="s">
        <v>493</v>
      </c>
      <c r="O144" s="1" t="s">
        <v>493</v>
      </c>
      <c r="P144" s="8">
        <v>17.104299999999999</v>
      </c>
      <c r="Q144" s="117">
        <f t="shared" si="4"/>
        <v>44756</v>
      </c>
      <c r="R144" s="20">
        <v>44893</v>
      </c>
      <c r="S144" s="33">
        <f t="shared" si="5"/>
        <v>137</v>
      </c>
      <c r="T144" s="7">
        <v>4.22</v>
      </c>
      <c r="V144" t="s">
        <v>36</v>
      </c>
      <c r="W144">
        <v>1</v>
      </c>
      <c r="X144" s="11" t="s">
        <v>121</v>
      </c>
      <c r="Y144" s="28">
        <v>45050</v>
      </c>
      <c r="Z144" s="28">
        <v>45077</v>
      </c>
      <c r="AA144" s="29">
        <v>20.82937865160612</v>
      </c>
      <c r="AB144" s="22">
        <v>4</v>
      </c>
      <c r="AC144" s="30" t="s">
        <v>202</v>
      </c>
      <c r="AD144" s="30" t="s">
        <v>203</v>
      </c>
      <c r="AE144" s="30" t="s">
        <v>179</v>
      </c>
      <c r="AF144" s="30" t="s">
        <v>227</v>
      </c>
      <c r="AG144">
        <v>356</v>
      </c>
      <c r="AH144" t="s">
        <v>717</v>
      </c>
      <c r="AI144" t="s">
        <v>1699</v>
      </c>
      <c r="AK144" t="s">
        <v>1782</v>
      </c>
    </row>
    <row r="145" spans="1:37">
      <c r="A145" s="5" t="s">
        <v>718</v>
      </c>
      <c r="B145" s="103">
        <v>44756</v>
      </c>
      <c r="C145" s="5" t="s">
        <v>487</v>
      </c>
      <c r="D145" s="1" t="s">
        <v>256</v>
      </c>
      <c r="E145" s="2">
        <v>22</v>
      </c>
      <c r="F145" s="1" t="s">
        <v>256</v>
      </c>
      <c r="G145" s="2" t="s">
        <v>12</v>
      </c>
      <c r="H145" s="2" t="s">
        <v>13</v>
      </c>
      <c r="I145" s="1"/>
      <c r="J145" s="2" t="s">
        <v>254</v>
      </c>
      <c r="K145" s="1" t="s">
        <v>256</v>
      </c>
      <c r="L145" s="1" t="s">
        <v>493</v>
      </c>
      <c r="M145" s="1" t="s">
        <v>493</v>
      </c>
      <c r="N145" s="1" t="s">
        <v>493</v>
      </c>
      <c r="O145" s="1" t="s">
        <v>493</v>
      </c>
      <c r="P145" s="8">
        <v>15.5319</v>
      </c>
      <c r="Q145" s="117">
        <f t="shared" si="4"/>
        <v>44756</v>
      </c>
      <c r="R145" s="20">
        <v>44894</v>
      </c>
      <c r="S145" s="33">
        <f t="shared" si="5"/>
        <v>138</v>
      </c>
      <c r="T145" s="7">
        <v>0.02</v>
      </c>
      <c r="V145" t="s">
        <v>36</v>
      </c>
      <c r="W145">
        <v>1</v>
      </c>
      <c r="X145" s="27" t="s">
        <v>256</v>
      </c>
      <c r="Y145" s="27" t="s">
        <v>256</v>
      </c>
      <c r="Z145" s="27" t="s">
        <v>256</v>
      </c>
      <c r="AA145" s="8" t="s">
        <v>256</v>
      </c>
      <c r="AB145" s="8" t="s">
        <v>256</v>
      </c>
      <c r="AC145" s="31" t="e">
        <v>#N/A</v>
      </c>
      <c r="AD145" s="31" t="e">
        <v>#N/A</v>
      </c>
      <c r="AE145" s="31" t="e">
        <v>#N/A</v>
      </c>
      <c r="AF145" s="31" t="e">
        <v>#N/A</v>
      </c>
      <c r="AG145" s="3" t="s">
        <v>256</v>
      </c>
      <c r="AH145" s="3"/>
      <c r="AI145" s="3" t="s">
        <v>256</v>
      </c>
      <c r="AJ145" s="9" t="s">
        <v>1787</v>
      </c>
    </row>
    <row r="146" spans="1:37">
      <c r="A146" s="5" t="s">
        <v>719</v>
      </c>
      <c r="B146" s="103">
        <v>44756</v>
      </c>
      <c r="C146" s="5" t="s">
        <v>487</v>
      </c>
      <c r="D146" s="1" t="s">
        <v>256</v>
      </c>
      <c r="E146" s="2">
        <v>23</v>
      </c>
      <c r="F146" s="1" t="s">
        <v>256</v>
      </c>
      <c r="G146" s="2" t="s">
        <v>15</v>
      </c>
      <c r="H146" s="2" t="s">
        <v>13</v>
      </c>
      <c r="I146" s="1"/>
      <c r="J146" s="2" t="s">
        <v>253</v>
      </c>
      <c r="K146" s="1" t="s">
        <v>256</v>
      </c>
      <c r="L146" s="1" t="s">
        <v>493</v>
      </c>
      <c r="M146" s="1" t="s">
        <v>493</v>
      </c>
      <c r="N146" s="1" t="s">
        <v>493</v>
      </c>
      <c r="O146" s="1" t="s">
        <v>493</v>
      </c>
      <c r="P146" s="8">
        <v>15.396699999999999</v>
      </c>
      <c r="Q146" s="117">
        <f t="shared" si="4"/>
        <v>44756</v>
      </c>
      <c r="R146" s="20">
        <v>44894</v>
      </c>
      <c r="S146" s="33">
        <f t="shared" si="5"/>
        <v>138</v>
      </c>
      <c r="T146" s="7">
        <v>3.62</v>
      </c>
      <c r="V146" t="s">
        <v>36</v>
      </c>
      <c r="W146">
        <v>1</v>
      </c>
      <c r="X146" s="11" t="s">
        <v>115</v>
      </c>
      <c r="Y146" s="28">
        <v>45050</v>
      </c>
      <c r="Z146" s="28">
        <v>45077</v>
      </c>
      <c r="AA146" s="29">
        <v>2.1386778792042815E-2</v>
      </c>
      <c r="AB146" s="22">
        <v>4</v>
      </c>
      <c r="AC146" s="30" t="s">
        <v>196</v>
      </c>
      <c r="AD146" s="30" t="s">
        <v>197</v>
      </c>
      <c r="AE146" s="30" t="s">
        <v>180</v>
      </c>
      <c r="AF146" s="30" t="s">
        <v>228</v>
      </c>
      <c r="AG146">
        <v>321</v>
      </c>
      <c r="AH146" t="s">
        <v>719</v>
      </c>
      <c r="AI146" t="s">
        <v>1699</v>
      </c>
      <c r="AK146" t="s">
        <v>866</v>
      </c>
    </row>
    <row r="147" spans="1:37">
      <c r="A147" s="5" t="s">
        <v>720</v>
      </c>
      <c r="B147" s="103">
        <v>44756</v>
      </c>
      <c r="C147" s="5" t="s">
        <v>487</v>
      </c>
      <c r="D147" s="1" t="s">
        <v>256</v>
      </c>
      <c r="E147" s="2">
        <v>24</v>
      </c>
      <c r="F147" s="1" t="s">
        <v>256</v>
      </c>
      <c r="G147" s="2" t="s">
        <v>16</v>
      </c>
      <c r="H147" s="2" t="s">
        <v>10</v>
      </c>
      <c r="I147" s="1"/>
      <c r="J147" s="2" t="s">
        <v>254</v>
      </c>
      <c r="K147" s="1" t="s">
        <v>256</v>
      </c>
      <c r="L147" s="1" t="s">
        <v>493</v>
      </c>
      <c r="M147" s="1" t="s">
        <v>493</v>
      </c>
      <c r="N147" s="1" t="s">
        <v>493</v>
      </c>
      <c r="O147" s="1" t="s">
        <v>493</v>
      </c>
      <c r="P147" s="8">
        <v>15.1089</v>
      </c>
      <c r="Q147" s="117">
        <f t="shared" si="4"/>
        <v>44756</v>
      </c>
      <c r="R147" s="20">
        <v>44894</v>
      </c>
      <c r="S147" s="33">
        <f t="shared" si="5"/>
        <v>138</v>
      </c>
      <c r="T147" s="7">
        <v>2.91</v>
      </c>
      <c r="V147" t="s">
        <v>36</v>
      </c>
      <c r="W147">
        <v>1</v>
      </c>
      <c r="X147" s="11" t="s">
        <v>125</v>
      </c>
      <c r="Y147" s="28">
        <v>45050</v>
      </c>
      <c r="Z147" s="28">
        <v>45077</v>
      </c>
      <c r="AA147" s="29">
        <v>18.09011760733496</v>
      </c>
      <c r="AB147" s="22">
        <v>4</v>
      </c>
      <c r="AC147" s="30" t="s">
        <v>202</v>
      </c>
      <c r="AD147" s="30" t="s">
        <v>203</v>
      </c>
      <c r="AE147" s="30" t="s">
        <v>180</v>
      </c>
      <c r="AF147" s="30" t="s">
        <v>228</v>
      </c>
      <c r="AG147">
        <v>357</v>
      </c>
      <c r="AH147" t="s">
        <v>720</v>
      </c>
      <c r="AI147" t="s">
        <v>1699</v>
      </c>
      <c r="AK147" t="s">
        <v>867</v>
      </c>
    </row>
    <row r="148" spans="1:37">
      <c r="A148" s="5" t="s">
        <v>758</v>
      </c>
      <c r="B148" s="12" t="s">
        <v>256</v>
      </c>
      <c r="C148" s="5" t="s">
        <v>256</v>
      </c>
      <c r="D148" s="1" t="s">
        <v>256</v>
      </c>
      <c r="E148" s="3" t="s">
        <v>256</v>
      </c>
      <c r="F148" s="1" t="s">
        <v>256</v>
      </c>
      <c r="G148" s="3" t="s">
        <v>256</v>
      </c>
      <c r="H148" s="3" t="s">
        <v>256</v>
      </c>
      <c r="I148" s="1"/>
      <c r="J148" s="3" t="s">
        <v>256</v>
      </c>
      <c r="K148" s="1" t="s">
        <v>256</v>
      </c>
      <c r="L148" s="1" t="s">
        <v>493</v>
      </c>
      <c r="M148" s="1" t="s">
        <v>493</v>
      </c>
      <c r="N148" s="1" t="s">
        <v>493</v>
      </c>
      <c r="O148" s="1" t="s">
        <v>493</v>
      </c>
      <c r="P148" s="8" t="s">
        <v>256</v>
      </c>
      <c r="Q148" s="27" t="s">
        <v>256</v>
      </c>
      <c r="R148" s="27" t="s">
        <v>256</v>
      </c>
      <c r="S148" s="8" t="s">
        <v>256</v>
      </c>
      <c r="T148" s="8" t="s">
        <v>256</v>
      </c>
      <c r="U148" s="8" t="s">
        <v>256</v>
      </c>
      <c r="V148" t="s">
        <v>36</v>
      </c>
      <c r="W148">
        <v>1</v>
      </c>
      <c r="X148" s="11" t="s">
        <v>126</v>
      </c>
      <c r="Y148" s="28">
        <v>45050</v>
      </c>
      <c r="Z148" s="28">
        <v>45077</v>
      </c>
      <c r="AA148" s="29">
        <v>1.013000473721875</v>
      </c>
      <c r="AB148" s="22">
        <v>4</v>
      </c>
      <c r="AC148" s="30" t="s">
        <v>204</v>
      </c>
      <c r="AD148" s="30" t="s">
        <v>205</v>
      </c>
      <c r="AE148" s="30" t="s">
        <v>180</v>
      </c>
      <c r="AF148" s="30" t="s">
        <v>228</v>
      </c>
      <c r="AG148">
        <v>369</v>
      </c>
      <c r="AH148" t="s">
        <v>1783</v>
      </c>
      <c r="AI148" t="s">
        <v>1699</v>
      </c>
      <c r="AK148" t="s">
        <v>1784</v>
      </c>
    </row>
    <row r="149" spans="1:37">
      <c r="A149" s="5" t="s">
        <v>759</v>
      </c>
      <c r="B149" s="12" t="s">
        <v>256</v>
      </c>
      <c r="C149" s="5" t="s">
        <v>256</v>
      </c>
      <c r="D149" s="1" t="s">
        <v>256</v>
      </c>
      <c r="E149" s="3" t="s">
        <v>256</v>
      </c>
      <c r="F149" s="1" t="s">
        <v>256</v>
      </c>
      <c r="G149" s="3" t="s">
        <v>256</v>
      </c>
      <c r="H149" s="3" t="s">
        <v>256</v>
      </c>
      <c r="I149" s="1"/>
      <c r="J149" s="3" t="s">
        <v>256</v>
      </c>
      <c r="K149" s="1" t="s">
        <v>256</v>
      </c>
      <c r="L149" s="1" t="s">
        <v>493</v>
      </c>
      <c r="M149" s="1" t="s">
        <v>493</v>
      </c>
      <c r="N149" s="1" t="s">
        <v>493</v>
      </c>
      <c r="O149" s="1" t="s">
        <v>493</v>
      </c>
      <c r="P149" s="8" t="s">
        <v>256</v>
      </c>
      <c r="Q149" s="27" t="s">
        <v>256</v>
      </c>
      <c r="R149" s="27" t="s">
        <v>256</v>
      </c>
      <c r="S149" s="8" t="s">
        <v>256</v>
      </c>
      <c r="T149" s="8" t="s">
        <v>256</v>
      </c>
      <c r="U149" s="8" t="s">
        <v>256</v>
      </c>
      <c r="V149" t="s">
        <v>36</v>
      </c>
      <c r="W149">
        <v>1</v>
      </c>
      <c r="X149" s="11" t="s">
        <v>127</v>
      </c>
      <c r="Y149" s="28">
        <v>45050</v>
      </c>
      <c r="Z149" s="28">
        <v>45077</v>
      </c>
      <c r="AA149" s="29">
        <v>24.55389090286014</v>
      </c>
      <c r="AB149" s="22">
        <v>4</v>
      </c>
      <c r="AC149" s="30" t="s">
        <v>206</v>
      </c>
      <c r="AD149" s="30" t="s">
        <v>207</v>
      </c>
      <c r="AE149" s="30" t="s">
        <v>180</v>
      </c>
      <c r="AF149" s="30" t="s">
        <v>228</v>
      </c>
      <c r="AG149">
        <v>381</v>
      </c>
      <c r="AH149" t="s">
        <v>1785</v>
      </c>
      <c r="AI149" t="s">
        <v>1699</v>
      </c>
      <c r="AK149" t="s">
        <v>1786</v>
      </c>
    </row>
  </sheetData>
  <autoFilter ref="A1:BF149" xr:uid="{41EF7E39-107A-E74D-B1D1-4FE8BDADB71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FA98-2202-D543-8E4E-0C21EFF7327D}">
  <dimension ref="A1:AI53"/>
  <sheetViews>
    <sheetView zoomScaleNormal="100" workbookViewId="0">
      <selection activeCell="B9" sqref="B9"/>
    </sheetView>
  </sheetViews>
  <sheetFormatPr baseColWidth="10" defaultRowHeight="16"/>
  <sheetData>
    <row r="1" spans="1:35">
      <c r="A1" s="41" t="s">
        <v>279</v>
      </c>
      <c r="B1" s="41" t="s">
        <v>279</v>
      </c>
      <c r="C1" s="41" t="s">
        <v>279</v>
      </c>
      <c r="D1" s="41" t="s">
        <v>279</v>
      </c>
      <c r="E1" s="41" t="s">
        <v>279</v>
      </c>
      <c r="F1" s="41" t="s">
        <v>279</v>
      </c>
      <c r="G1" s="41" t="s">
        <v>279</v>
      </c>
      <c r="H1" s="41" t="s">
        <v>279</v>
      </c>
      <c r="I1" s="41" t="s">
        <v>279</v>
      </c>
      <c r="J1" s="41" t="s">
        <v>279</v>
      </c>
      <c r="K1" s="41" t="s">
        <v>279</v>
      </c>
      <c r="L1" s="41" t="s">
        <v>279</v>
      </c>
      <c r="M1" s="41" t="s">
        <v>279</v>
      </c>
      <c r="N1" s="41" t="s">
        <v>279</v>
      </c>
      <c r="O1" s="41" t="s">
        <v>279</v>
      </c>
      <c r="P1" s="41" t="s">
        <v>279</v>
      </c>
      <c r="Q1" s="41" t="s">
        <v>279</v>
      </c>
      <c r="R1" s="41" t="s">
        <v>279</v>
      </c>
      <c r="S1" s="41" t="s">
        <v>279</v>
      </c>
      <c r="T1" s="41" t="s">
        <v>279</v>
      </c>
      <c r="U1" s="41" t="s">
        <v>279</v>
      </c>
      <c r="V1" s="41" t="s">
        <v>279</v>
      </c>
      <c r="W1" s="41" t="s">
        <v>279</v>
      </c>
      <c r="X1" s="41" t="s">
        <v>279</v>
      </c>
      <c r="Y1" s="41" t="s">
        <v>279</v>
      </c>
      <c r="Z1" s="41" t="s">
        <v>279</v>
      </c>
      <c r="AA1" s="41" t="s">
        <v>279</v>
      </c>
      <c r="AB1" s="41" t="s">
        <v>279</v>
      </c>
      <c r="AC1" s="41" t="s">
        <v>279</v>
      </c>
      <c r="AD1" s="41" t="s">
        <v>279</v>
      </c>
      <c r="AE1" s="41" t="s">
        <v>279</v>
      </c>
      <c r="AF1" s="41" t="s">
        <v>279</v>
      </c>
      <c r="AG1" s="41" t="s">
        <v>279</v>
      </c>
      <c r="AH1" s="41" t="s">
        <v>279</v>
      </c>
      <c r="AI1" s="42"/>
    </row>
    <row r="2" spans="1:35">
      <c r="A2" s="43"/>
      <c r="B2" s="43"/>
      <c r="C2" s="42"/>
      <c r="D2" s="43"/>
      <c r="E2" s="42"/>
      <c r="F2" s="43"/>
      <c r="G2" s="43"/>
      <c r="H2" s="43"/>
      <c r="I2" s="42"/>
      <c r="J2" s="43"/>
      <c r="K2" s="43"/>
      <c r="L2" s="43"/>
      <c r="M2" s="42"/>
      <c r="N2" s="43"/>
      <c r="O2" s="43"/>
      <c r="P2" s="43"/>
      <c r="Q2" s="42"/>
      <c r="R2" s="43"/>
      <c r="S2" s="43"/>
      <c r="T2" s="43"/>
      <c r="U2" s="42"/>
      <c r="V2" s="43"/>
      <c r="W2" s="43"/>
      <c r="X2" s="43"/>
      <c r="Y2" s="42"/>
      <c r="Z2" s="43"/>
      <c r="AA2" s="43"/>
      <c r="AB2" s="43"/>
      <c r="AC2" s="42"/>
      <c r="AD2" s="43"/>
      <c r="AE2" s="43"/>
      <c r="AF2" s="43"/>
      <c r="AG2" s="42"/>
      <c r="AH2" s="43"/>
      <c r="AI2" s="42"/>
    </row>
    <row r="3" spans="1:35">
      <c r="A3" s="44"/>
      <c r="B3" s="45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 t="e" vm="1">
        <v>#VALUE!</v>
      </c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</row>
    <row r="4" spans="1:35" ht="24">
      <c r="A4" s="46" t="s">
        <v>280</v>
      </c>
      <c r="B4" s="46"/>
      <c r="C4" s="46"/>
      <c r="D4" s="46"/>
      <c r="E4" s="46"/>
      <c r="F4" s="46"/>
      <c r="G4" s="43"/>
      <c r="H4" s="43"/>
      <c r="I4" s="42"/>
      <c r="J4" s="43"/>
      <c r="K4" s="43"/>
      <c r="L4" s="43"/>
      <c r="M4" s="42"/>
      <c r="N4" s="43"/>
      <c r="O4" s="43"/>
      <c r="P4" s="43"/>
      <c r="Q4" s="42"/>
      <c r="R4" s="43"/>
      <c r="S4" s="43"/>
      <c r="T4" s="43"/>
      <c r="U4" s="42"/>
      <c r="V4" s="43"/>
      <c r="W4" s="43"/>
      <c r="X4" s="43"/>
      <c r="Y4" s="42"/>
      <c r="Z4" s="43"/>
      <c r="AA4" s="43"/>
      <c r="AB4" s="43"/>
      <c r="AC4" s="42"/>
      <c r="AD4" s="43"/>
      <c r="AE4" s="43"/>
      <c r="AF4" s="43"/>
      <c r="AG4" s="42"/>
      <c r="AH4" s="43"/>
      <c r="AI4" s="42"/>
    </row>
    <row r="5" spans="1:35">
      <c r="A5" s="43"/>
      <c r="B5" s="43"/>
      <c r="C5" s="42"/>
      <c r="D5" s="43"/>
      <c r="E5" s="42"/>
      <c r="F5" s="43"/>
      <c r="G5" s="43"/>
      <c r="H5" s="43"/>
      <c r="I5" s="42"/>
      <c r="J5" s="43"/>
      <c r="K5" s="43"/>
      <c r="L5" s="43"/>
      <c r="M5" s="42"/>
      <c r="N5" s="43"/>
      <c r="O5" s="43"/>
      <c r="P5" s="43"/>
      <c r="Q5" s="42"/>
      <c r="R5" s="43"/>
      <c r="S5" s="47" t="s">
        <v>281</v>
      </c>
      <c r="T5" s="48"/>
      <c r="U5" s="42"/>
      <c r="V5" s="43"/>
      <c r="W5" s="43"/>
      <c r="X5" s="43"/>
      <c r="Y5" s="42"/>
      <c r="Z5" s="43"/>
      <c r="AA5" s="43"/>
      <c r="AB5" s="43"/>
      <c r="AC5" s="42"/>
      <c r="AD5" s="43"/>
      <c r="AE5" s="43"/>
      <c r="AF5" s="43"/>
      <c r="AG5" s="42"/>
      <c r="AH5" s="43"/>
      <c r="AI5" s="42"/>
    </row>
    <row r="6" spans="1:35">
      <c r="A6" s="45" t="s">
        <v>282</v>
      </c>
      <c r="B6" s="45"/>
      <c r="C6" s="45"/>
      <c r="D6" s="45"/>
      <c r="E6" s="45"/>
      <c r="F6" s="45"/>
      <c r="G6" s="45"/>
      <c r="H6" s="45"/>
      <c r="I6" s="45"/>
      <c r="J6" s="45"/>
      <c r="K6" s="43"/>
      <c r="L6" s="43"/>
      <c r="M6" s="42"/>
      <c r="N6" s="43"/>
      <c r="O6" s="43"/>
      <c r="P6" s="43"/>
      <c r="Q6" s="42"/>
      <c r="R6" s="43"/>
      <c r="S6" s="43"/>
      <c r="T6" s="43"/>
      <c r="U6" s="42"/>
      <c r="V6" s="43"/>
      <c r="W6" s="43"/>
      <c r="X6" s="43"/>
      <c r="Y6" s="42"/>
      <c r="Z6" s="43"/>
      <c r="AA6" s="43"/>
      <c r="AB6" s="43"/>
      <c r="AC6" s="42"/>
      <c r="AD6" s="43"/>
      <c r="AE6" s="43"/>
      <c r="AF6" s="43"/>
      <c r="AG6" s="42"/>
      <c r="AH6" s="43"/>
      <c r="AI6" s="42"/>
    </row>
    <row r="7" spans="1:35">
      <c r="A7" s="43"/>
      <c r="B7" s="43"/>
      <c r="C7" s="42"/>
      <c r="D7" s="43"/>
      <c r="E7" s="42"/>
      <c r="F7" s="43"/>
      <c r="G7" s="43"/>
      <c r="H7" s="43"/>
      <c r="I7" s="42"/>
      <c r="J7" s="43"/>
      <c r="K7" s="43"/>
      <c r="L7" s="43"/>
      <c r="M7" s="42"/>
      <c r="N7" s="43"/>
      <c r="O7" s="43"/>
      <c r="P7" s="43"/>
      <c r="Q7" s="42"/>
      <c r="R7" s="43"/>
      <c r="S7" s="43"/>
      <c r="T7" s="43"/>
      <c r="U7" s="42"/>
      <c r="V7" s="43"/>
      <c r="W7" s="43"/>
      <c r="X7" s="43"/>
      <c r="Y7" s="42"/>
      <c r="Z7" s="43"/>
      <c r="AA7" s="43"/>
      <c r="AB7" s="43"/>
      <c r="AC7" s="42"/>
      <c r="AD7" s="43"/>
      <c r="AE7" s="43"/>
      <c r="AF7" s="43"/>
      <c r="AG7" s="42"/>
      <c r="AH7" s="43"/>
      <c r="AI7" s="42"/>
    </row>
    <row r="8" spans="1:35">
      <c r="A8" s="43"/>
      <c r="B8" s="43"/>
      <c r="C8" s="42"/>
      <c r="D8" s="43"/>
      <c r="E8" s="42"/>
      <c r="F8" s="43"/>
      <c r="G8" s="43"/>
      <c r="H8" s="43"/>
      <c r="I8" s="42"/>
      <c r="J8" s="43"/>
      <c r="K8" s="43"/>
      <c r="L8" s="43"/>
      <c r="M8" s="42"/>
      <c r="N8" s="43"/>
      <c r="O8" s="43"/>
      <c r="P8" s="43"/>
      <c r="Q8" s="42"/>
      <c r="R8" s="43"/>
      <c r="S8" s="43"/>
      <c r="T8" s="43"/>
      <c r="U8" s="42"/>
      <c r="V8" s="43"/>
      <c r="W8" s="43"/>
      <c r="X8" s="43"/>
      <c r="Y8" s="42"/>
      <c r="Z8" s="43"/>
      <c r="AA8" s="43"/>
      <c r="AB8" s="43"/>
      <c r="AC8" s="42"/>
      <c r="AD8" s="43"/>
      <c r="AE8" s="43"/>
      <c r="AF8" s="43"/>
      <c r="AG8" s="42"/>
      <c r="AH8" s="43"/>
      <c r="AI8" s="42"/>
    </row>
    <row r="9" spans="1:35">
      <c r="A9" s="43"/>
      <c r="B9" s="43"/>
      <c r="C9" s="42"/>
      <c r="D9" s="43"/>
      <c r="E9" s="42"/>
      <c r="F9" s="43"/>
      <c r="G9" s="43"/>
      <c r="H9" s="43"/>
      <c r="I9" s="42"/>
      <c r="J9" s="43"/>
      <c r="K9" s="43"/>
      <c r="L9" s="43"/>
      <c r="M9" s="42"/>
      <c r="N9" s="43"/>
      <c r="O9" s="43"/>
      <c r="P9" s="43"/>
      <c r="Q9" s="42"/>
      <c r="R9" s="43"/>
      <c r="S9" s="43"/>
      <c r="T9" s="43"/>
      <c r="U9" s="42"/>
      <c r="V9" s="43"/>
      <c r="W9" s="43"/>
      <c r="X9" s="43"/>
      <c r="Y9" s="42"/>
      <c r="Z9" s="43"/>
      <c r="AA9" s="43"/>
      <c r="AB9" s="43"/>
      <c r="AC9" s="42"/>
      <c r="AD9" s="43"/>
      <c r="AE9" s="43"/>
      <c r="AF9" s="43"/>
      <c r="AG9" s="42"/>
      <c r="AH9" s="43"/>
      <c r="AI9" s="42"/>
    </row>
    <row r="10" spans="1:35">
      <c r="A10" s="43"/>
      <c r="B10" s="43"/>
      <c r="C10" s="49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43"/>
      <c r="U10" s="42"/>
      <c r="V10" s="43"/>
      <c r="W10" s="43"/>
      <c r="X10" s="43"/>
      <c r="Y10" s="42"/>
      <c r="Z10" s="43"/>
      <c r="AA10" s="43"/>
      <c r="AB10" s="43"/>
      <c r="AC10" s="42"/>
      <c r="AD10" s="43"/>
      <c r="AE10" s="43"/>
      <c r="AF10" s="43"/>
      <c r="AG10" s="42"/>
      <c r="AH10" s="43"/>
      <c r="AI10" s="42"/>
    </row>
    <row r="11" spans="1:35">
      <c r="A11" s="43"/>
      <c r="B11" s="43"/>
      <c r="C11" s="5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43"/>
      <c r="U11" s="42"/>
      <c r="V11" s="43"/>
      <c r="W11" s="43"/>
      <c r="X11" s="43"/>
      <c r="Y11" s="42"/>
      <c r="Z11" s="43"/>
      <c r="AA11" s="43"/>
      <c r="AB11" s="43"/>
      <c r="AC11" s="42"/>
      <c r="AD11" s="43"/>
      <c r="AE11" s="43"/>
      <c r="AF11" s="43"/>
      <c r="AG11" s="42"/>
      <c r="AH11" s="43"/>
      <c r="AI11" s="42"/>
    </row>
    <row r="12" spans="1:35">
      <c r="A12" s="43"/>
      <c r="B12" s="43"/>
      <c r="C12" s="51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43"/>
      <c r="U12" s="42"/>
      <c r="V12" s="43"/>
      <c r="W12" s="43"/>
      <c r="X12" s="43"/>
      <c r="Y12" s="42"/>
      <c r="Z12" s="43"/>
      <c r="AA12" s="43"/>
      <c r="AB12" s="43"/>
      <c r="AC12" s="42"/>
      <c r="AD12" s="43"/>
      <c r="AE12" s="43"/>
      <c r="AF12" s="43"/>
      <c r="AG12" s="42"/>
      <c r="AH12" s="43"/>
      <c r="AI12" s="42"/>
    </row>
    <row r="13" spans="1:35">
      <c r="A13" s="42"/>
      <c r="B13" s="42"/>
      <c r="C13" s="53"/>
      <c r="D13" s="54" t="s">
        <v>283</v>
      </c>
      <c r="E13" s="54"/>
      <c r="F13" s="54"/>
      <c r="G13" s="54" t="s">
        <v>283</v>
      </c>
      <c r="H13" s="54"/>
      <c r="I13" s="54"/>
      <c r="J13" s="54" t="s">
        <v>283</v>
      </c>
      <c r="K13" s="54"/>
      <c r="L13" s="54"/>
      <c r="M13" s="54"/>
      <c r="N13" s="54"/>
      <c r="O13" s="54" t="s">
        <v>283</v>
      </c>
      <c r="P13" s="54"/>
      <c r="Q13" s="54" t="s">
        <v>283</v>
      </c>
      <c r="R13" s="54"/>
      <c r="S13" s="54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</row>
    <row r="14" spans="1:35">
      <c r="A14" s="43"/>
      <c r="B14" s="43"/>
      <c r="C14" s="51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43"/>
      <c r="U14" s="42"/>
      <c r="V14" s="43"/>
      <c r="W14" s="43"/>
      <c r="X14" s="43"/>
      <c r="Y14" s="42"/>
      <c r="Z14" s="43"/>
      <c r="AA14" s="43"/>
      <c r="AB14" s="43"/>
      <c r="AC14" s="42"/>
      <c r="AD14" s="43"/>
      <c r="AE14" s="43"/>
      <c r="AF14" s="43"/>
      <c r="AG14" s="42"/>
      <c r="AH14" s="43"/>
      <c r="AI14" s="42"/>
    </row>
    <row r="15" spans="1:35">
      <c r="A15" s="43"/>
      <c r="B15" s="43"/>
      <c r="C15" s="51"/>
      <c r="D15" s="52" t="e" vm="2">
        <v>#VALUE!</v>
      </c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43"/>
      <c r="U15" s="42"/>
      <c r="V15" s="43"/>
      <c r="W15" s="43"/>
      <c r="X15" s="43"/>
      <c r="Y15" s="42"/>
      <c r="Z15" s="43"/>
      <c r="AA15" s="43"/>
      <c r="AB15" s="43"/>
      <c r="AC15" s="42"/>
      <c r="AD15" s="43"/>
      <c r="AE15" s="43"/>
      <c r="AF15" s="43"/>
      <c r="AG15" s="42"/>
      <c r="AH15" s="43"/>
      <c r="AI15" s="42"/>
    </row>
    <row r="16" spans="1:35">
      <c r="A16" s="43"/>
      <c r="B16" s="43"/>
      <c r="C16" s="51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43"/>
      <c r="U16" s="42"/>
      <c r="V16" s="43"/>
      <c r="W16" s="43"/>
      <c r="X16" s="43"/>
      <c r="Y16" s="42"/>
      <c r="Z16" s="43"/>
      <c r="AA16" s="43"/>
      <c r="AB16" s="43"/>
      <c r="AC16" s="42"/>
      <c r="AD16" s="43"/>
      <c r="AE16" s="43"/>
      <c r="AF16" s="43"/>
      <c r="AG16" s="42"/>
      <c r="AH16" s="43"/>
      <c r="AI16" s="42"/>
    </row>
    <row r="17" spans="1:35">
      <c r="A17" s="43"/>
      <c r="B17" s="55">
        <v>0</v>
      </c>
      <c r="C17" s="56" t="s">
        <v>284</v>
      </c>
      <c r="D17" s="57" t="s">
        <v>284</v>
      </c>
      <c r="E17" s="58" t="s">
        <v>284</v>
      </c>
      <c r="F17" s="57" t="s">
        <v>284</v>
      </c>
      <c r="G17" s="57" t="s">
        <v>284</v>
      </c>
      <c r="H17" s="57" t="s">
        <v>284</v>
      </c>
      <c r="I17" s="58" t="s">
        <v>284</v>
      </c>
      <c r="J17" s="57" t="s">
        <v>284</v>
      </c>
      <c r="K17" s="57" t="s">
        <v>284</v>
      </c>
      <c r="L17" s="57" t="s">
        <v>284</v>
      </c>
      <c r="M17" s="58" t="s">
        <v>284</v>
      </c>
      <c r="N17" s="57" t="s">
        <v>284</v>
      </c>
      <c r="O17" s="57" t="s">
        <v>284</v>
      </c>
      <c r="P17" s="57" t="s">
        <v>284</v>
      </c>
      <c r="Q17" s="58" t="s">
        <v>284</v>
      </c>
      <c r="R17" s="57" t="s">
        <v>284</v>
      </c>
      <c r="S17" s="57" t="s">
        <v>284</v>
      </c>
      <c r="T17" s="57" t="s">
        <v>284</v>
      </c>
      <c r="U17" s="58" t="s">
        <v>284</v>
      </c>
      <c r="V17" s="57" t="s">
        <v>284</v>
      </c>
      <c r="W17" s="57" t="s">
        <v>284</v>
      </c>
      <c r="X17" s="57" t="s">
        <v>284</v>
      </c>
      <c r="Y17" s="58" t="s">
        <v>284</v>
      </c>
      <c r="Z17" s="57" t="s">
        <v>284</v>
      </c>
      <c r="AA17" s="57" t="s">
        <v>284</v>
      </c>
      <c r="AB17" s="57" t="s">
        <v>284</v>
      </c>
      <c r="AC17" s="58" t="s">
        <v>284</v>
      </c>
      <c r="AD17" s="57" t="s">
        <v>284</v>
      </c>
      <c r="AE17" s="57" t="s">
        <v>284</v>
      </c>
      <c r="AF17" s="57" t="s">
        <v>284</v>
      </c>
      <c r="AG17" s="58" t="s">
        <v>284</v>
      </c>
      <c r="AH17" s="57" t="s">
        <v>284</v>
      </c>
      <c r="AI17" s="58" t="s">
        <v>284</v>
      </c>
    </row>
    <row r="18" spans="1:35" ht="24">
      <c r="A18" s="43"/>
      <c r="B18" s="59">
        <v>1</v>
      </c>
      <c r="C18" s="60" t="s">
        <v>4</v>
      </c>
      <c r="D18" s="61" t="s">
        <v>285</v>
      </c>
      <c r="E18" s="60" t="s">
        <v>4</v>
      </c>
      <c r="F18" s="62" t="s">
        <v>286</v>
      </c>
      <c r="G18" s="63" t="s">
        <v>287</v>
      </c>
      <c r="H18" s="62" t="s">
        <v>288</v>
      </c>
      <c r="I18" s="60" t="s">
        <v>4</v>
      </c>
      <c r="J18" s="64" t="s">
        <v>289</v>
      </c>
      <c r="K18" s="63" t="s">
        <v>287</v>
      </c>
      <c r="L18" s="64" t="s">
        <v>290</v>
      </c>
      <c r="M18" s="60" t="s">
        <v>4</v>
      </c>
      <c r="N18" s="62" t="s">
        <v>291</v>
      </c>
      <c r="O18" s="63" t="s">
        <v>287</v>
      </c>
      <c r="P18" s="62" t="s">
        <v>292</v>
      </c>
      <c r="Q18" s="60" t="s">
        <v>4</v>
      </c>
      <c r="R18" s="65" t="s">
        <v>293</v>
      </c>
      <c r="S18" s="63" t="s">
        <v>287</v>
      </c>
      <c r="T18" s="64" t="s">
        <v>294</v>
      </c>
      <c r="U18" s="60" t="s">
        <v>4</v>
      </c>
      <c r="V18" s="62" t="s">
        <v>295</v>
      </c>
      <c r="W18" s="63" t="s">
        <v>287</v>
      </c>
      <c r="X18" s="62" t="s">
        <v>296</v>
      </c>
      <c r="Y18" s="60" t="s">
        <v>4</v>
      </c>
      <c r="Z18" s="64" t="s">
        <v>297</v>
      </c>
      <c r="AA18" s="63" t="s">
        <v>287</v>
      </c>
      <c r="AB18" s="64" t="s">
        <v>298</v>
      </c>
      <c r="AC18" s="60" t="s">
        <v>4</v>
      </c>
      <c r="AD18" s="62" t="s">
        <v>299</v>
      </c>
      <c r="AE18" s="63" t="s">
        <v>287</v>
      </c>
      <c r="AF18" s="62" t="s">
        <v>300</v>
      </c>
      <c r="AG18" s="60" t="s">
        <v>4</v>
      </c>
      <c r="AH18" s="66" t="s">
        <v>301</v>
      </c>
      <c r="AI18" s="60" t="s">
        <v>4</v>
      </c>
    </row>
    <row r="19" spans="1:35" ht="24">
      <c r="A19" s="43"/>
      <c r="B19" s="59">
        <v>2</v>
      </c>
      <c r="C19" s="60" t="s">
        <v>4</v>
      </c>
      <c r="D19" s="67" t="s">
        <v>302</v>
      </c>
      <c r="E19" s="60" t="s">
        <v>4</v>
      </c>
      <c r="F19" s="62" t="s">
        <v>303</v>
      </c>
      <c r="G19" s="63" t="s">
        <v>287</v>
      </c>
      <c r="H19" s="62" t="s">
        <v>304</v>
      </c>
      <c r="I19" s="60" t="s">
        <v>4</v>
      </c>
      <c r="J19" s="64" t="s">
        <v>305</v>
      </c>
      <c r="K19" s="63" t="s">
        <v>287</v>
      </c>
      <c r="L19" s="64" t="s">
        <v>306</v>
      </c>
      <c r="M19" s="60" t="s">
        <v>4</v>
      </c>
      <c r="N19" s="62" t="s">
        <v>307</v>
      </c>
      <c r="O19" s="63" t="s">
        <v>287</v>
      </c>
      <c r="P19" s="62" t="s">
        <v>308</v>
      </c>
      <c r="Q19" s="60" t="s">
        <v>4</v>
      </c>
      <c r="R19" s="64" t="s">
        <v>309</v>
      </c>
      <c r="S19" s="63" t="s">
        <v>287</v>
      </c>
      <c r="T19" s="64" t="s">
        <v>298</v>
      </c>
      <c r="U19" s="60" t="s">
        <v>4</v>
      </c>
      <c r="V19" s="65" t="s">
        <v>310</v>
      </c>
      <c r="W19" s="63" t="s">
        <v>287</v>
      </c>
      <c r="X19" s="62" t="s">
        <v>311</v>
      </c>
      <c r="Y19" s="60" t="s">
        <v>4</v>
      </c>
      <c r="Z19" s="64" t="s">
        <v>312</v>
      </c>
      <c r="AA19" s="63" t="s">
        <v>287</v>
      </c>
      <c r="AB19" s="64" t="s">
        <v>313</v>
      </c>
      <c r="AC19" s="60" t="s">
        <v>4</v>
      </c>
      <c r="AD19" s="62" t="s">
        <v>314</v>
      </c>
      <c r="AE19" s="63" t="s">
        <v>287</v>
      </c>
      <c r="AF19" s="62" t="s">
        <v>315</v>
      </c>
      <c r="AG19" s="60" t="s">
        <v>4</v>
      </c>
      <c r="AH19" s="66" t="s">
        <v>309</v>
      </c>
      <c r="AI19" s="60" t="s">
        <v>4</v>
      </c>
    </row>
    <row r="20" spans="1:35">
      <c r="A20" s="43"/>
      <c r="B20" s="59">
        <v>3</v>
      </c>
      <c r="C20" s="60" t="s">
        <v>4</v>
      </c>
      <c r="D20" s="67" t="s">
        <v>316</v>
      </c>
      <c r="E20" s="60" t="s">
        <v>4</v>
      </c>
      <c r="F20" s="62" t="s">
        <v>296</v>
      </c>
      <c r="G20" s="63" t="s">
        <v>287</v>
      </c>
      <c r="H20" s="62" t="s">
        <v>317</v>
      </c>
      <c r="I20" s="60" t="s">
        <v>4</v>
      </c>
      <c r="J20" s="64" t="s">
        <v>318</v>
      </c>
      <c r="K20" s="63" t="s">
        <v>287</v>
      </c>
      <c r="L20" s="64" t="s">
        <v>289</v>
      </c>
      <c r="M20" s="60" t="s">
        <v>4</v>
      </c>
      <c r="N20" s="62" t="s">
        <v>319</v>
      </c>
      <c r="O20" s="63" t="s">
        <v>287</v>
      </c>
      <c r="P20" s="62" t="s">
        <v>320</v>
      </c>
      <c r="Q20" s="60" t="s">
        <v>4</v>
      </c>
      <c r="R20" s="64" t="s">
        <v>316</v>
      </c>
      <c r="S20" s="63" t="s">
        <v>287</v>
      </c>
      <c r="T20" s="64" t="s">
        <v>321</v>
      </c>
      <c r="U20" s="60" t="s">
        <v>4</v>
      </c>
      <c r="V20" s="62" t="s">
        <v>288</v>
      </c>
      <c r="W20" s="63" t="s">
        <v>287</v>
      </c>
      <c r="X20" s="62" t="s">
        <v>322</v>
      </c>
      <c r="Y20" s="60" t="s">
        <v>4</v>
      </c>
      <c r="Z20" s="64" t="s">
        <v>323</v>
      </c>
      <c r="AA20" s="63" t="s">
        <v>287</v>
      </c>
      <c r="AB20" s="64" t="s">
        <v>324</v>
      </c>
      <c r="AC20" s="60" t="s">
        <v>4</v>
      </c>
      <c r="AD20" s="62" t="s">
        <v>325</v>
      </c>
      <c r="AE20" s="63" t="s">
        <v>287</v>
      </c>
      <c r="AF20" s="62" t="s">
        <v>296</v>
      </c>
      <c r="AG20" s="60" t="s">
        <v>4</v>
      </c>
      <c r="AH20" s="66" t="s">
        <v>326</v>
      </c>
      <c r="AI20" s="60" t="s">
        <v>4</v>
      </c>
    </row>
    <row r="21" spans="1:35">
      <c r="A21" s="43"/>
      <c r="B21" s="59">
        <v>4</v>
      </c>
      <c r="C21" s="60" t="s">
        <v>4</v>
      </c>
      <c r="D21" s="67" t="s">
        <v>327</v>
      </c>
      <c r="E21" s="60" t="s">
        <v>4</v>
      </c>
      <c r="F21" s="62" t="s">
        <v>325</v>
      </c>
      <c r="G21" s="63" t="s">
        <v>287</v>
      </c>
      <c r="H21" s="62" t="s">
        <v>328</v>
      </c>
      <c r="I21" s="60" t="s">
        <v>4</v>
      </c>
      <c r="J21" s="64" t="s">
        <v>301</v>
      </c>
      <c r="K21" s="63" t="s">
        <v>287</v>
      </c>
      <c r="L21" s="64" t="s">
        <v>329</v>
      </c>
      <c r="M21" s="60" t="s">
        <v>4</v>
      </c>
      <c r="N21" s="62" t="s">
        <v>330</v>
      </c>
      <c r="O21" s="63" t="s">
        <v>287</v>
      </c>
      <c r="P21" s="62" t="s">
        <v>331</v>
      </c>
      <c r="Q21" s="60" t="s">
        <v>4</v>
      </c>
      <c r="R21" s="64" t="s">
        <v>285</v>
      </c>
      <c r="S21" s="63" t="s">
        <v>287</v>
      </c>
      <c r="T21" s="64" t="s">
        <v>332</v>
      </c>
      <c r="U21" s="60" t="s">
        <v>4</v>
      </c>
      <c r="V21" s="62" t="s">
        <v>314</v>
      </c>
      <c r="W21" s="63" t="s">
        <v>287</v>
      </c>
      <c r="X21" s="62" t="s">
        <v>333</v>
      </c>
      <c r="Y21" s="60" t="s">
        <v>4</v>
      </c>
      <c r="Z21" s="64" t="s">
        <v>334</v>
      </c>
      <c r="AA21" s="63" t="s">
        <v>287</v>
      </c>
      <c r="AB21" s="64" t="s">
        <v>334</v>
      </c>
      <c r="AC21" s="60" t="s">
        <v>4</v>
      </c>
      <c r="AD21" s="62" t="s">
        <v>335</v>
      </c>
      <c r="AE21" s="63" t="s">
        <v>287</v>
      </c>
      <c r="AF21" s="62" t="s">
        <v>322</v>
      </c>
      <c r="AG21" s="60" t="s">
        <v>4</v>
      </c>
      <c r="AH21" s="66" t="s">
        <v>336</v>
      </c>
      <c r="AI21" s="60" t="s">
        <v>4</v>
      </c>
    </row>
    <row r="22" spans="1:35" ht="24">
      <c r="A22" s="43"/>
      <c r="B22" s="59">
        <v>5</v>
      </c>
      <c r="C22" s="60" t="s">
        <v>4</v>
      </c>
      <c r="D22" s="67" t="s">
        <v>329</v>
      </c>
      <c r="E22" s="60" t="s">
        <v>4</v>
      </c>
      <c r="F22" s="62" t="s">
        <v>337</v>
      </c>
      <c r="G22" s="63" t="s">
        <v>287</v>
      </c>
      <c r="H22" s="62" t="s">
        <v>338</v>
      </c>
      <c r="I22" s="60" t="s">
        <v>4</v>
      </c>
      <c r="J22" s="64" t="s">
        <v>309</v>
      </c>
      <c r="K22" s="63" t="s">
        <v>287</v>
      </c>
      <c r="L22" s="64" t="s">
        <v>339</v>
      </c>
      <c r="M22" s="60" t="s">
        <v>4</v>
      </c>
      <c r="N22" s="62" t="s">
        <v>303</v>
      </c>
      <c r="O22" s="63" t="s">
        <v>287</v>
      </c>
      <c r="P22" s="62" t="s">
        <v>328</v>
      </c>
      <c r="Q22" s="60" t="s">
        <v>4</v>
      </c>
      <c r="R22" s="65" t="s">
        <v>340</v>
      </c>
      <c r="S22" s="63" t="s">
        <v>287</v>
      </c>
      <c r="T22" s="64" t="s">
        <v>341</v>
      </c>
      <c r="U22" s="60" t="s">
        <v>4</v>
      </c>
      <c r="V22" s="62" t="s">
        <v>317</v>
      </c>
      <c r="W22" s="63" t="s">
        <v>287</v>
      </c>
      <c r="X22" s="62" t="s">
        <v>319</v>
      </c>
      <c r="Y22" s="60" t="s">
        <v>4</v>
      </c>
      <c r="Z22" s="64" t="s">
        <v>342</v>
      </c>
      <c r="AA22" s="63" t="s">
        <v>287</v>
      </c>
      <c r="AB22" s="64" t="s">
        <v>343</v>
      </c>
      <c r="AC22" s="60" t="s">
        <v>4</v>
      </c>
      <c r="AD22" s="62" t="s">
        <v>344</v>
      </c>
      <c r="AE22" s="63" t="s">
        <v>287</v>
      </c>
      <c r="AF22" s="62" t="s">
        <v>295</v>
      </c>
      <c r="AG22" s="60" t="s">
        <v>4</v>
      </c>
      <c r="AH22" s="66" t="s">
        <v>345</v>
      </c>
      <c r="AI22" s="60" t="s">
        <v>4</v>
      </c>
    </row>
    <row r="23" spans="1:35">
      <c r="A23" s="43"/>
      <c r="B23" s="59">
        <v>6</v>
      </c>
      <c r="C23" s="60" t="s">
        <v>4</v>
      </c>
      <c r="D23" s="67" t="s">
        <v>290</v>
      </c>
      <c r="E23" s="60" t="s">
        <v>4</v>
      </c>
      <c r="F23" s="62" t="s">
        <v>319</v>
      </c>
      <c r="G23" s="63" t="s">
        <v>287</v>
      </c>
      <c r="H23" s="62" t="s">
        <v>346</v>
      </c>
      <c r="I23" s="60" t="s">
        <v>4</v>
      </c>
      <c r="J23" s="64" t="s">
        <v>347</v>
      </c>
      <c r="K23" s="63" t="s">
        <v>287</v>
      </c>
      <c r="L23" s="64" t="s">
        <v>348</v>
      </c>
      <c r="M23" s="60" t="s">
        <v>4</v>
      </c>
      <c r="N23" s="62" t="s">
        <v>349</v>
      </c>
      <c r="O23" s="63" t="s">
        <v>287</v>
      </c>
      <c r="P23" s="62" t="s">
        <v>350</v>
      </c>
      <c r="Q23" s="60" t="s">
        <v>4</v>
      </c>
      <c r="R23" s="64" t="s">
        <v>301</v>
      </c>
      <c r="S23" s="63" t="s">
        <v>287</v>
      </c>
      <c r="T23" s="64" t="s">
        <v>301</v>
      </c>
      <c r="U23" s="60" t="s">
        <v>4</v>
      </c>
      <c r="V23" s="62" t="s">
        <v>351</v>
      </c>
      <c r="W23" s="63" t="s">
        <v>287</v>
      </c>
      <c r="X23" s="62" t="s">
        <v>344</v>
      </c>
      <c r="Y23" s="60" t="s">
        <v>4</v>
      </c>
      <c r="Z23" s="64" t="s">
        <v>316</v>
      </c>
      <c r="AA23" s="63" t="s">
        <v>287</v>
      </c>
      <c r="AB23" s="64" t="s">
        <v>323</v>
      </c>
      <c r="AC23" s="60" t="s">
        <v>4</v>
      </c>
      <c r="AD23" s="62" t="s">
        <v>349</v>
      </c>
      <c r="AE23" s="63" t="s">
        <v>287</v>
      </c>
      <c r="AF23" s="62" t="s">
        <v>351</v>
      </c>
      <c r="AG23" s="60" t="s">
        <v>4</v>
      </c>
      <c r="AH23" s="66" t="s">
        <v>348</v>
      </c>
      <c r="AI23" s="60" t="s">
        <v>4</v>
      </c>
    </row>
    <row r="24" spans="1:35" ht="24">
      <c r="A24" s="43"/>
      <c r="B24" s="59">
        <v>7</v>
      </c>
      <c r="C24" s="60" t="s">
        <v>4</v>
      </c>
      <c r="D24" s="68" t="s">
        <v>352</v>
      </c>
      <c r="E24" s="60" t="s">
        <v>4</v>
      </c>
      <c r="F24" s="62" t="s">
        <v>353</v>
      </c>
      <c r="G24" s="63" t="s">
        <v>287</v>
      </c>
      <c r="H24" s="65" t="s">
        <v>354</v>
      </c>
      <c r="I24" s="60" t="s">
        <v>4</v>
      </c>
      <c r="J24" s="64" t="s">
        <v>355</v>
      </c>
      <c r="K24" s="63" t="s">
        <v>287</v>
      </c>
      <c r="L24" s="64" t="s">
        <v>342</v>
      </c>
      <c r="M24" s="60" t="s">
        <v>4</v>
      </c>
      <c r="N24" s="62" t="s">
        <v>356</v>
      </c>
      <c r="O24" s="63" t="s">
        <v>287</v>
      </c>
      <c r="P24" s="62" t="s">
        <v>315</v>
      </c>
      <c r="Q24" s="60" t="s">
        <v>4</v>
      </c>
      <c r="R24" s="64" t="s">
        <v>323</v>
      </c>
      <c r="S24" s="63" t="s">
        <v>287</v>
      </c>
      <c r="T24" s="64" t="s">
        <v>357</v>
      </c>
      <c r="U24" s="60" t="s">
        <v>4</v>
      </c>
      <c r="V24" s="62" t="s">
        <v>303</v>
      </c>
      <c r="W24" s="63" t="s">
        <v>287</v>
      </c>
      <c r="X24" s="62" t="s">
        <v>338</v>
      </c>
      <c r="Y24" s="60" t="s">
        <v>4</v>
      </c>
      <c r="Z24" s="64" t="s">
        <v>358</v>
      </c>
      <c r="AA24" s="63" t="s">
        <v>287</v>
      </c>
      <c r="AB24" s="64" t="s">
        <v>327</v>
      </c>
      <c r="AC24" s="60" t="s">
        <v>4</v>
      </c>
      <c r="AD24" s="62" t="s">
        <v>359</v>
      </c>
      <c r="AE24" s="63" t="s">
        <v>287</v>
      </c>
      <c r="AF24" s="62" t="s">
        <v>360</v>
      </c>
      <c r="AG24" s="60" t="s">
        <v>4</v>
      </c>
      <c r="AH24" s="66" t="s">
        <v>290</v>
      </c>
      <c r="AI24" s="60" t="s">
        <v>4</v>
      </c>
    </row>
    <row r="25" spans="1:35" ht="24">
      <c r="A25" s="43"/>
      <c r="B25" s="59">
        <v>8</v>
      </c>
      <c r="C25" s="60" t="s">
        <v>4</v>
      </c>
      <c r="D25" s="67" t="s">
        <v>361</v>
      </c>
      <c r="E25" s="60" t="s">
        <v>4</v>
      </c>
      <c r="F25" s="62" t="s">
        <v>362</v>
      </c>
      <c r="G25" s="63" t="s">
        <v>287</v>
      </c>
      <c r="H25" s="65" t="s">
        <v>363</v>
      </c>
      <c r="I25" s="60" t="s">
        <v>4</v>
      </c>
      <c r="J25" s="64" t="s">
        <v>343</v>
      </c>
      <c r="K25" s="63" t="s">
        <v>287</v>
      </c>
      <c r="L25" s="64" t="s">
        <v>334</v>
      </c>
      <c r="M25" s="60" t="s">
        <v>4</v>
      </c>
      <c r="N25" s="62" t="s">
        <v>364</v>
      </c>
      <c r="O25" s="63" t="s">
        <v>287</v>
      </c>
      <c r="P25" s="62" t="s">
        <v>299</v>
      </c>
      <c r="Q25" s="60" t="s">
        <v>4</v>
      </c>
      <c r="R25" s="64" t="s">
        <v>365</v>
      </c>
      <c r="S25" s="63" t="s">
        <v>287</v>
      </c>
      <c r="T25" s="64" t="s">
        <v>305</v>
      </c>
      <c r="U25" s="60" t="s">
        <v>4</v>
      </c>
      <c r="V25" s="62" t="s">
        <v>366</v>
      </c>
      <c r="W25" s="63" t="s">
        <v>287</v>
      </c>
      <c r="X25" s="62" t="s">
        <v>367</v>
      </c>
      <c r="Y25" s="60" t="s">
        <v>4</v>
      </c>
      <c r="Z25" s="64" t="s">
        <v>365</v>
      </c>
      <c r="AA25" s="63" t="s">
        <v>287</v>
      </c>
      <c r="AB25" s="64" t="s">
        <v>289</v>
      </c>
      <c r="AC25" s="60" t="s">
        <v>4</v>
      </c>
      <c r="AD25" s="62" t="s">
        <v>346</v>
      </c>
      <c r="AE25" s="63" t="s">
        <v>287</v>
      </c>
      <c r="AF25" s="62" t="s">
        <v>301</v>
      </c>
      <c r="AG25" s="60" t="s">
        <v>4</v>
      </c>
      <c r="AH25" s="66" t="s">
        <v>316</v>
      </c>
      <c r="AI25" s="60" t="s">
        <v>4</v>
      </c>
    </row>
    <row r="26" spans="1:35" ht="24">
      <c r="A26" s="43"/>
      <c r="B26" s="59">
        <v>9</v>
      </c>
      <c r="C26" s="60" t="s">
        <v>4</v>
      </c>
      <c r="D26" s="67" t="s">
        <v>332</v>
      </c>
      <c r="E26" s="60" t="s">
        <v>4</v>
      </c>
      <c r="F26" s="62" t="s">
        <v>300</v>
      </c>
      <c r="G26" s="63" t="s">
        <v>287</v>
      </c>
      <c r="H26" s="62" t="s">
        <v>366</v>
      </c>
      <c r="I26" s="60" t="s">
        <v>4</v>
      </c>
      <c r="J26" s="64" t="s">
        <v>358</v>
      </c>
      <c r="K26" s="63" t="s">
        <v>287</v>
      </c>
      <c r="L26" s="64" t="s">
        <v>368</v>
      </c>
      <c r="M26" s="60" t="s">
        <v>4</v>
      </c>
      <c r="N26" s="62" t="s">
        <v>369</v>
      </c>
      <c r="O26" s="63" t="s">
        <v>287</v>
      </c>
      <c r="P26" s="62" t="s">
        <v>295</v>
      </c>
      <c r="Q26" s="60" t="s">
        <v>4</v>
      </c>
      <c r="R26" s="64" t="s">
        <v>347</v>
      </c>
      <c r="S26" s="63" t="s">
        <v>287</v>
      </c>
      <c r="T26" s="64" t="s">
        <v>329</v>
      </c>
      <c r="U26" s="60" t="s">
        <v>4</v>
      </c>
      <c r="V26" s="62" t="s">
        <v>300</v>
      </c>
      <c r="W26" s="63" t="s">
        <v>287</v>
      </c>
      <c r="X26" s="62" t="s">
        <v>308</v>
      </c>
      <c r="Y26" s="60" t="s">
        <v>4</v>
      </c>
      <c r="Z26" s="64" t="s">
        <v>370</v>
      </c>
      <c r="AA26" s="63" t="s">
        <v>287</v>
      </c>
      <c r="AB26" s="64" t="s">
        <v>332</v>
      </c>
      <c r="AC26" s="60" t="s">
        <v>4</v>
      </c>
      <c r="AD26" s="62" t="s">
        <v>317</v>
      </c>
      <c r="AE26" s="63" t="s">
        <v>287</v>
      </c>
      <c r="AF26" s="62" t="s">
        <v>338</v>
      </c>
      <c r="AG26" s="60" t="s">
        <v>4</v>
      </c>
      <c r="AH26" s="69" t="s">
        <v>371</v>
      </c>
      <c r="AI26" s="60" t="s">
        <v>4</v>
      </c>
    </row>
    <row r="27" spans="1:35">
      <c r="A27" s="43"/>
      <c r="B27" s="59">
        <v>10</v>
      </c>
      <c r="C27" s="60" t="s">
        <v>4</v>
      </c>
      <c r="D27" s="67" t="s">
        <v>370</v>
      </c>
      <c r="E27" s="60" t="s">
        <v>4</v>
      </c>
      <c r="F27" s="62" t="s">
        <v>333</v>
      </c>
      <c r="G27" s="63" t="s">
        <v>287</v>
      </c>
      <c r="H27" s="62" t="s">
        <v>315</v>
      </c>
      <c r="I27" s="60" t="s">
        <v>4</v>
      </c>
      <c r="J27" s="64" t="s">
        <v>334</v>
      </c>
      <c r="K27" s="63" t="s">
        <v>287</v>
      </c>
      <c r="L27" s="64" t="s">
        <v>324</v>
      </c>
      <c r="M27" s="60" t="s">
        <v>4</v>
      </c>
      <c r="N27" s="62" t="s">
        <v>322</v>
      </c>
      <c r="O27" s="63" t="s">
        <v>287</v>
      </c>
      <c r="P27" s="62" t="s">
        <v>296</v>
      </c>
      <c r="Q27" s="60" t="s">
        <v>4</v>
      </c>
      <c r="R27" s="64" t="s">
        <v>321</v>
      </c>
      <c r="S27" s="63" t="s">
        <v>287</v>
      </c>
      <c r="T27" s="64" t="s">
        <v>289</v>
      </c>
      <c r="U27" s="60" t="s">
        <v>4</v>
      </c>
      <c r="V27" s="62" t="s">
        <v>330</v>
      </c>
      <c r="W27" s="63" t="s">
        <v>287</v>
      </c>
      <c r="X27" s="62" t="s">
        <v>292</v>
      </c>
      <c r="Y27" s="60" t="s">
        <v>4</v>
      </c>
      <c r="Z27" s="64" t="s">
        <v>368</v>
      </c>
      <c r="AA27" s="63" t="s">
        <v>287</v>
      </c>
      <c r="AB27" s="64" t="s">
        <v>372</v>
      </c>
      <c r="AC27" s="60" t="s">
        <v>4</v>
      </c>
      <c r="AD27" s="62" t="s">
        <v>319</v>
      </c>
      <c r="AE27" s="63" t="s">
        <v>287</v>
      </c>
      <c r="AF27" s="62" t="s">
        <v>286</v>
      </c>
      <c r="AG27" s="60" t="s">
        <v>4</v>
      </c>
      <c r="AH27" s="66" t="s">
        <v>357</v>
      </c>
      <c r="AI27" s="60" t="s">
        <v>4</v>
      </c>
    </row>
    <row r="28" spans="1:35" ht="24">
      <c r="A28" s="43"/>
      <c r="B28" s="59">
        <v>11</v>
      </c>
      <c r="C28" s="60" t="s">
        <v>4</v>
      </c>
      <c r="D28" s="67" t="s">
        <v>368</v>
      </c>
      <c r="E28" s="60" t="s">
        <v>4</v>
      </c>
      <c r="F28" s="62" t="s">
        <v>373</v>
      </c>
      <c r="G28" s="63" t="s">
        <v>287</v>
      </c>
      <c r="H28" s="62" t="s">
        <v>344</v>
      </c>
      <c r="I28" s="60" t="s">
        <v>4</v>
      </c>
      <c r="J28" s="64" t="s">
        <v>374</v>
      </c>
      <c r="K28" s="63" t="s">
        <v>287</v>
      </c>
      <c r="L28" s="64" t="s">
        <v>343</v>
      </c>
      <c r="M28" s="60" t="s">
        <v>4</v>
      </c>
      <c r="N28" s="62" t="s">
        <v>311</v>
      </c>
      <c r="O28" s="63" t="s">
        <v>287</v>
      </c>
      <c r="P28" s="62" t="s">
        <v>346</v>
      </c>
      <c r="Q28" s="60" t="s">
        <v>4</v>
      </c>
      <c r="R28" s="64" t="s">
        <v>298</v>
      </c>
      <c r="S28" s="63" t="s">
        <v>287</v>
      </c>
      <c r="T28" s="64" t="s">
        <v>375</v>
      </c>
      <c r="U28" s="60" t="s">
        <v>4</v>
      </c>
      <c r="V28" s="62" t="s">
        <v>320</v>
      </c>
      <c r="W28" s="63" t="s">
        <v>287</v>
      </c>
      <c r="X28" s="62" t="s">
        <v>362</v>
      </c>
      <c r="Y28" s="60" t="s">
        <v>4</v>
      </c>
      <c r="Z28" s="64" t="s">
        <v>372</v>
      </c>
      <c r="AA28" s="63" t="s">
        <v>287</v>
      </c>
      <c r="AB28" s="64" t="s">
        <v>376</v>
      </c>
      <c r="AC28" s="60" t="s">
        <v>4</v>
      </c>
      <c r="AD28" s="62" t="s">
        <v>308</v>
      </c>
      <c r="AE28" s="63" t="s">
        <v>287</v>
      </c>
      <c r="AF28" s="65" t="s">
        <v>377</v>
      </c>
      <c r="AG28" s="60" t="s">
        <v>4</v>
      </c>
      <c r="AH28" s="66" t="s">
        <v>378</v>
      </c>
      <c r="AI28" s="60" t="s">
        <v>4</v>
      </c>
    </row>
    <row r="29" spans="1:35" ht="24">
      <c r="A29" s="43"/>
      <c r="B29" s="59">
        <v>12</v>
      </c>
      <c r="C29" s="60" t="s">
        <v>4</v>
      </c>
      <c r="D29" s="67" t="s">
        <v>378</v>
      </c>
      <c r="E29" s="60" t="s">
        <v>4</v>
      </c>
      <c r="F29" s="62" t="s">
        <v>350</v>
      </c>
      <c r="G29" s="63" t="s">
        <v>287</v>
      </c>
      <c r="H29" s="62" t="s">
        <v>356</v>
      </c>
      <c r="I29" s="60" t="s">
        <v>4</v>
      </c>
      <c r="J29" s="64" t="s">
        <v>342</v>
      </c>
      <c r="K29" s="63" t="s">
        <v>287</v>
      </c>
      <c r="L29" s="64" t="s">
        <v>379</v>
      </c>
      <c r="M29" s="60" t="s">
        <v>4</v>
      </c>
      <c r="N29" s="62" t="s">
        <v>338</v>
      </c>
      <c r="O29" s="63" t="s">
        <v>287</v>
      </c>
      <c r="P29" s="65" t="s">
        <v>380</v>
      </c>
      <c r="Q29" s="60" t="s">
        <v>4</v>
      </c>
      <c r="R29" s="64" t="s">
        <v>381</v>
      </c>
      <c r="S29" s="63" t="s">
        <v>287</v>
      </c>
      <c r="T29" s="65" t="s">
        <v>382</v>
      </c>
      <c r="U29" s="60" t="s">
        <v>4</v>
      </c>
      <c r="V29" s="62" t="s">
        <v>337</v>
      </c>
      <c r="W29" s="63" t="s">
        <v>287</v>
      </c>
      <c r="X29" s="62" t="s">
        <v>304</v>
      </c>
      <c r="Y29" s="60" t="s">
        <v>4</v>
      </c>
      <c r="Z29" s="64" t="s">
        <v>336</v>
      </c>
      <c r="AA29" s="63" t="s">
        <v>287</v>
      </c>
      <c r="AB29" s="65" t="s">
        <v>383</v>
      </c>
      <c r="AC29" s="60" t="s">
        <v>4</v>
      </c>
      <c r="AD29" s="62" t="s">
        <v>364</v>
      </c>
      <c r="AE29" s="63" t="s">
        <v>287</v>
      </c>
      <c r="AF29" s="62" t="s">
        <v>291</v>
      </c>
      <c r="AG29" s="60" t="s">
        <v>4</v>
      </c>
      <c r="AH29" s="66" t="s">
        <v>368</v>
      </c>
      <c r="AI29" s="60" t="s">
        <v>4</v>
      </c>
    </row>
    <row r="30" spans="1:35">
      <c r="A30" s="43"/>
      <c r="B30" s="59">
        <v>13</v>
      </c>
      <c r="C30" s="60" t="s">
        <v>4</v>
      </c>
      <c r="D30" s="67" t="s">
        <v>341</v>
      </c>
      <c r="E30" s="60" t="s">
        <v>4</v>
      </c>
      <c r="F30" s="62" t="s">
        <v>384</v>
      </c>
      <c r="G30" s="63" t="s">
        <v>287</v>
      </c>
      <c r="H30" s="62" t="s">
        <v>349</v>
      </c>
      <c r="I30" s="60" t="s">
        <v>4</v>
      </c>
      <c r="J30" s="64" t="s">
        <v>357</v>
      </c>
      <c r="K30" s="63" t="s">
        <v>287</v>
      </c>
      <c r="L30" s="64" t="s">
        <v>294</v>
      </c>
      <c r="M30" s="60" t="s">
        <v>4</v>
      </c>
      <c r="N30" s="62" t="s">
        <v>337</v>
      </c>
      <c r="O30" s="63" t="s">
        <v>287</v>
      </c>
      <c r="P30" s="62" t="s">
        <v>373</v>
      </c>
      <c r="Q30" s="60" t="s">
        <v>4</v>
      </c>
      <c r="R30" s="64" t="s">
        <v>385</v>
      </c>
      <c r="S30" s="63" t="s">
        <v>287</v>
      </c>
      <c r="T30" s="64" t="s">
        <v>345</v>
      </c>
      <c r="U30" s="60" t="s">
        <v>4</v>
      </c>
      <c r="V30" s="62" t="s">
        <v>335</v>
      </c>
      <c r="W30" s="63" t="s">
        <v>287</v>
      </c>
      <c r="X30" s="62" t="s">
        <v>386</v>
      </c>
      <c r="Y30" s="60" t="s">
        <v>4</v>
      </c>
      <c r="Z30" s="64" t="s">
        <v>379</v>
      </c>
      <c r="AA30" s="63" t="s">
        <v>287</v>
      </c>
      <c r="AB30" s="64" t="s">
        <v>375</v>
      </c>
      <c r="AC30" s="60" t="s">
        <v>4</v>
      </c>
      <c r="AD30" s="62" t="s">
        <v>350</v>
      </c>
      <c r="AE30" s="63" t="s">
        <v>287</v>
      </c>
      <c r="AF30" s="62" t="s">
        <v>387</v>
      </c>
      <c r="AG30" s="60" t="s">
        <v>4</v>
      </c>
      <c r="AH30" s="66" t="s">
        <v>388</v>
      </c>
      <c r="AI30" s="60" t="s">
        <v>4</v>
      </c>
    </row>
    <row r="31" spans="1:35">
      <c r="A31" s="43"/>
      <c r="B31" s="59">
        <v>14</v>
      </c>
      <c r="C31" s="60" t="s">
        <v>4</v>
      </c>
      <c r="D31" s="67" t="s">
        <v>312</v>
      </c>
      <c r="E31" s="60" t="s">
        <v>4</v>
      </c>
      <c r="F31" s="62" t="s">
        <v>314</v>
      </c>
      <c r="G31" s="63" t="s">
        <v>287</v>
      </c>
      <c r="H31" s="62" t="s">
        <v>330</v>
      </c>
      <c r="I31" s="60" t="s">
        <v>4</v>
      </c>
      <c r="J31" s="64" t="s">
        <v>294</v>
      </c>
      <c r="K31" s="63" t="s">
        <v>287</v>
      </c>
      <c r="L31" s="64" t="s">
        <v>357</v>
      </c>
      <c r="M31" s="60" t="s">
        <v>4</v>
      </c>
      <c r="N31" s="62" t="s">
        <v>286</v>
      </c>
      <c r="O31" s="63" t="s">
        <v>287</v>
      </c>
      <c r="P31" s="62" t="s">
        <v>384</v>
      </c>
      <c r="Q31" s="60" t="s">
        <v>4</v>
      </c>
      <c r="R31" s="64" t="s">
        <v>313</v>
      </c>
      <c r="S31" s="63" t="s">
        <v>287</v>
      </c>
      <c r="T31" s="64" t="s">
        <v>327</v>
      </c>
      <c r="U31" s="60" t="s">
        <v>4</v>
      </c>
      <c r="V31" s="62" t="s">
        <v>286</v>
      </c>
      <c r="W31" s="63" t="s">
        <v>287</v>
      </c>
      <c r="X31" s="62" t="s">
        <v>315</v>
      </c>
      <c r="Y31" s="60" t="s">
        <v>4</v>
      </c>
      <c r="Z31" s="64" t="s">
        <v>376</v>
      </c>
      <c r="AA31" s="63" t="s">
        <v>287</v>
      </c>
      <c r="AB31" s="64" t="s">
        <v>381</v>
      </c>
      <c r="AC31" s="60" t="s">
        <v>4</v>
      </c>
      <c r="AD31" s="62" t="s">
        <v>356</v>
      </c>
      <c r="AE31" s="63" t="s">
        <v>287</v>
      </c>
      <c r="AF31" s="62" t="s">
        <v>362</v>
      </c>
      <c r="AG31" s="60" t="s">
        <v>4</v>
      </c>
      <c r="AH31" s="66" t="s">
        <v>385</v>
      </c>
      <c r="AI31" s="60" t="s">
        <v>4</v>
      </c>
    </row>
    <row r="32" spans="1:35" ht="24">
      <c r="A32" s="43"/>
      <c r="B32" s="59">
        <v>15</v>
      </c>
      <c r="C32" s="60" t="s">
        <v>4</v>
      </c>
      <c r="D32" s="67" t="s">
        <v>348</v>
      </c>
      <c r="E32" s="60" t="s">
        <v>4</v>
      </c>
      <c r="F32" s="62" t="s">
        <v>359</v>
      </c>
      <c r="G32" s="63" t="s">
        <v>287</v>
      </c>
      <c r="H32" s="62" t="s">
        <v>308</v>
      </c>
      <c r="I32" s="60" t="s">
        <v>4</v>
      </c>
      <c r="J32" s="64" t="s">
        <v>389</v>
      </c>
      <c r="K32" s="63" t="s">
        <v>287</v>
      </c>
      <c r="L32" s="64" t="s">
        <v>376</v>
      </c>
      <c r="M32" s="60" t="s">
        <v>4</v>
      </c>
      <c r="N32" s="62" t="s">
        <v>317</v>
      </c>
      <c r="O32" s="63" t="s">
        <v>287</v>
      </c>
      <c r="P32" s="65" t="s">
        <v>390</v>
      </c>
      <c r="Q32" s="60" t="s">
        <v>4</v>
      </c>
      <c r="R32" s="64" t="s">
        <v>336</v>
      </c>
      <c r="S32" s="63" t="s">
        <v>287</v>
      </c>
      <c r="T32" s="64" t="s">
        <v>391</v>
      </c>
      <c r="U32" s="60" t="s">
        <v>4</v>
      </c>
      <c r="V32" s="62" t="s">
        <v>359</v>
      </c>
      <c r="W32" s="63" t="s">
        <v>287</v>
      </c>
      <c r="X32" s="62" t="s">
        <v>356</v>
      </c>
      <c r="Y32" s="60" t="s">
        <v>4</v>
      </c>
      <c r="Z32" s="64" t="s">
        <v>313</v>
      </c>
      <c r="AA32" s="63" t="s">
        <v>287</v>
      </c>
      <c r="AB32" s="64" t="s">
        <v>370</v>
      </c>
      <c r="AC32" s="60" t="s">
        <v>4</v>
      </c>
      <c r="AD32" s="65" t="s">
        <v>392</v>
      </c>
      <c r="AE32" s="63" t="s">
        <v>287</v>
      </c>
      <c r="AF32" s="62" t="s">
        <v>386</v>
      </c>
      <c r="AG32" s="60" t="s">
        <v>4</v>
      </c>
      <c r="AH32" s="66" t="s">
        <v>318</v>
      </c>
      <c r="AI32" s="60" t="s">
        <v>4</v>
      </c>
    </row>
    <row r="33" spans="1:35" ht="24">
      <c r="A33" s="43"/>
      <c r="B33" s="59">
        <v>16</v>
      </c>
      <c r="C33" s="60" t="s">
        <v>4</v>
      </c>
      <c r="D33" s="67" t="s">
        <v>339</v>
      </c>
      <c r="E33" s="60" t="s">
        <v>4</v>
      </c>
      <c r="F33" s="62" t="s">
        <v>393</v>
      </c>
      <c r="G33" s="63" t="s">
        <v>287</v>
      </c>
      <c r="H33" s="62" t="s">
        <v>335</v>
      </c>
      <c r="I33" s="60" t="s">
        <v>4</v>
      </c>
      <c r="J33" s="64" t="s">
        <v>324</v>
      </c>
      <c r="K33" s="63" t="s">
        <v>287</v>
      </c>
      <c r="L33" s="64" t="s">
        <v>341</v>
      </c>
      <c r="M33" s="60" t="s">
        <v>4</v>
      </c>
      <c r="N33" s="62" t="s">
        <v>360</v>
      </c>
      <c r="O33" s="63" t="s">
        <v>287</v>
      </c>
      <c r="P33" s="62" t="s">
        <v>333</v>
      </c>
      <c r="Q33" s="60" t="s">
        <v>4</v>
      </c>
      <c r="R33" s="64" t="s">
        <v>332</v>
      </c>
      <c r="S33" s="63" t="s">
        <v>287</v>
      </c>
      <c r="T33" s="64" t="s">
        <v>374</v>
      </c>
      <c r="U33" s="60" t="s">
        <v>4</v>
      </c>
      <c r="V33" s="65" t="s">
        <v>394</v>
      </c>
      <c r="W33" s="63" t="s">
        <v>287</v>
      </c>
      <c r="X33" s="62" t="s">
        <v>301</v>
      </c>
      <c r="Y33" s="60" t="s">
        <v>4</v>
      </c>
      <c r="Z33" s="64" t="s">
        <v>389</v>
      </c>
      <c r="AA33" s="63" t="s">
        <v>287</v>
      </c>
      <c r="AB33" s="64" t="s">
        <v>285</v>
      </c>
      <c r="AC33" s="60" t="s">
        <v>4</v>
      </c>
      <c r="AD33" s="62" t="s">
        <v>303</v>
      </c>
      <c r="AE33" s="63" t="s">
        <v>287</v>
      </c>
      <c r="AF33" s="62" t="s">
        <v>384</v>
      </c>
      <c r="AG33" s="60" t="s">
        <v>4</v>
      </c>
      <c r="AH33" s="66" t="s">
        <v>302</v>
      </c>
      <c r="AI33" s="60" t="s">
        <v>4</v>
      </c>
    </row>
    <row r="34" spans="1:35">
      <c r="A34" s="43"/>
      <c r="B34" s="59">
        <v>17</v>
      </c>
      <c r="C34" s="60" t="s">
        <v>4</v>
      </c>
      <c r="D34" s="67" t="s">
        <v>381</v>
      </c>
      <c r="E34" s="60" t="s">
        <v>4</v>
      </c>
      <c r="F34" s="62" t="s">
        <v>295</v>
      </c>
      <c r="G34" s="63" t="s">
        <v>287</v>
      </c>
      <c r="H34" s="62" t="s">
        <v>386</v>
      </c>
      <c r="I34" s="60" t="s">
        <v>4</v>
      </c>
      <c r="J34" s="64" t="s">
        <v>385</v>
      </c>
      <c r="K34" s="63" t="s">
        <v>287</v>
      </c>
      <c r="L34" s="64" t="s">
        <v>374</v>
      </c>
      <c r="M34" s="60" t="s">
        <v>4</v>
      </c>
      <c r="N34" s="62" t="s">
        <v>351</v>
      </c>
      <c r="O34" s="63" t="s">
        <v>287</v>
      </c>
      <c r="P34" s="62" t="s">
        <v>304</v>
      </c>
      <c r="Q34" s="60" t="s">
        <v>4</v>
      </c>
      <c r="R34" s="64" t="s">
        <v>326</v>
      </c>
      <c r="S34" s="63" t="s">
        <v>287</v>
      </c>
      <c r="T34" s="64" t="s">
        <v>361</v>
      </c>
      <c r="U34" s="60" t="s">
        <v>4</v>
      </c>
      <c r="V34" s="62" t="s">
        <v>349</v>
      </c>
      <c r="W34" s="63" t="s">
        <v>287</v>
      </c>
      <c r="X34" s="62" t="s">
        <v>346</v>
      </c>
      <c r="Y34" s="60" t="s">
        <v>4</v>
      </c>
      <c r="Z34" s="64" t="s">
        <v>285</v>
      </c>
      <c r="AA34" s="63" t="s">
        <v>287</v>
      </c>
      <c r="AB34" s="64" t="s">
        <v>365</v>
      </c>
      <c r="AC34" s="60" t="s">
        <v>4</v>
      </c>
      <c r="AD34" s="62" t="s">
        <v>367</v>
      </c>
      <c r="AE34" s="63" t="s">
        <v>287</v>
      </c>
      <c r="AF34" s="62" t="s">
        <v>369</v>
      </c>
      <c r="AG34" s="60" t="s">
        <v>4</v>
      </c>
      <c r="AH34" s="66" t="s">
        <v>294</v>
      </c>
      <c r="AI34" s="60" t="s">
        <v>4</v>
      </c>
    </row>
    <row r="35" spans="1:35">
      <c r="A35" s="43"/>
      <c r="B35" s="59">
        <v>18</v>
      </c>
      <c r="C35" s="60" t="s">
        <v>4</v>
      </c>
      <c r="D35" s="67" t="s">
        <v>388</v>
      </c>
      <c r="E35" s="60" t="s">
        <v>4</v>
      </c>
      <c r="F35" s="62" t="s">
        <v>320</v>
      </c>
      <c r="G35" s="63" t="s">
        <v>287</v>
      </c>
      <c r="H35" s="62" t="s">
        <v>364</v>
      </c>
      <c r="I35" s="60" t="s">
        <v>4</v>
      </c>
      <c r="J35" s="64" t="s">
        <v>323</v>
      </c>
      <c r="K35" s="63" t="s">
        <v>287</v>
      </c>
      <c r="L35" s="64" t="s">
        <v>361</v>
      </c>
      <c r="M35" s="60" t="s">
        <v>4</v>
      </c>
      <c r="N35" s="62" t="s">
        <v>393</v>
      </c>
      <c r="O35" s="63" t="s">
        <v>287</v>
      </c>
      <c r="P35" s="62" t="s">
        <v>395</v>
      </c>
      <c r="Q35" s="60" t="s">
        <v>4</v>
      </c>
      <c r="R35" s="64" t="s">
        <v>345</v>
      </c>
      <c r="S35" s="63" t="s">
        <v>287</v>
      </c>
      <c r="T35" s="64" t="s">
        <v>388</v>
      </c>
      <c r="U35" s="60" t="s">
        <v>4</v>
      </c>
      <c r="V35" s="62" t="s">
        <v>393</v>
      </c>
      <c r="W35" s="63" t="s">
        <v>287</v>
      </c>
      <c r="X35" s="62" t="s">
        <v>360</v>
      </c>
      <c r="Y35" s="60" t="s">
        <v>4</v>
      </c>
      <c r="Z35" s="64" t="s">
        <v>302</v>
      </c>
      <c r="AA35" s="63" t="s">
        <v>287</v>
      </c>
      <c r="AB35" s="64" t="s">
        <v>374</v>
      </c>
      <c r="AC35" s="60" t="s">
        <v>4</v>
      </c>
      <c r="AD35" s="62" t="s">
        <v>330</v>
      </c>
      <c r="AE35" s="63" t="s">
        <v>287</v>
      </c>
      <c r="AF35" s="62" t="s">
        <v>304</v>
      </c>
      <c r="AG35" s="60" t="s">
        <v>4</v>
      </c>
      <c r="AH35" s="66" t="s">
        <v>321</v>
      </c>
      <c r="AI35" s="60" t="s">
        <v>4</v>
      </c>
    </row>
    <row r="36" spans="1:35" ht="24">
      <c r="A36" s="43"/>
      <c r="B36" s="59">
        <v>19</v>
      </c>
      <c r="C36" s="60" t="s">
        <v>4</v>
      </c>
      <c r="D36" s="67" t="s">
        <v>379</v>
      </c>
      <c r="E36" s="60" t="s">
        <v>4</v>
      </c>
      <c r="F36" s="62" t="s">
        <v>299</v>
      </c>
      <c r="G36" s="63" t="s">
        <v>287</v>
      </c>
      <c r="H36" s="62" t="s">
        <v>331</v>
      </c>
      <c r="I36" s="60" t="s">
        <v>4</v>
      </c>
      <c r="J36" s="64" t="s">
        <v>391</v>
      </c>
      <c r="K36" s="63" t="s">
        <v>287</v>
      </c>
      <c r="L36" s="64" t="s">
        <v>378</v>
      </c>
      <c r="M36" s="60" t="s">
        <v>4</v>
      </c>
      <c r="N36" s="62" t="s">
        <v>386</v>
      </c>
      <c r="O36" s="63" t="s">
        <v>287</v>
      </c>
      <c r="P36" s="62" t="s">
        <v>301</v>
      </c>
      <c r="Q36" s="60" t="s">
        <v>4</v>
      </c>
      <c r="R36" s="64" t="s">
        <v>312</v>
      </c>
      <c r="S36" s="63" t="s">
        <v>287</v>
      </c>
      <c r="T36" s="64" t="s">
        <v>381</v>
      </c>
      <c r="U36" s="60" t="s">
        <v>4</v>
      </c>
      <c r="V36" s="62" t="s">
        <v>307</v>
      </c>
      <c r="W36" s="63" t="s">
        <v>287</v>
      </c>
      <c r="X36" s="62" t="s">
        <v>396</v>
      </c>
      <c r="Y36" s="60" t="s">
        <v>4</v>
      </c>
      <c r="Z36" s="64" t="s">
        <v>326</v>
      </c>
      <c r="AA36" s="63" t="s">
        <v>287</v>
      </c>
      <c r="AB36" s="65" t="s">
        <v>397</v>
      </c>
      <c r="AC36" s="60" t="s">
        <v>4</v>
      </c>
      <c r="AD36" s="62" t="s">
        <v>333</v>
      </c>
      <c r="AE36" s="63" t="s">
        <v>287</v>
      </c>
      <c r="AF36" s="65" t="s">
        <v>398</v>
      </c>
      <c r="AG36" s="60" t="s">
        <v>4</v>
      </c>
      <c r="AH36" s="66" t="s">
        <v>347</v>
      </c>
      <c r="AI36" s="60" t="s">
        <v>4</v>
      </c>
    </row>
    <row r="37" spans="1:35" ht="24">
      <c r="A37" s="43"/>
      <c r="B37" s="59">
        <v>20</v>
      </c>
      <c r="C37" s="60" t="s">
        <v>4</v>
      </c>
      <c r="D37" s="68" t="s">
        <v>399</v>
      </c>
      <c r="E37" s="60" t="s">
        <v>4</v>
      </c>
      <c r="F37" s="62" t="s">
        <v>387</v>
      </c>
      <c r="G37" s="63" t="s">
        <v>287</v>
      </c>
      <c r="H37" s="65" t="s">
        <v>400</v>
      </c>
      <c r="I37" s="60" t="s">
        <v>4</v>
      </c>
      <c r="J37" s="64" t="s">
        <v>321</v>
      </c>
      <c r="K37" s="63" t="s">
        <v>287</v>
      </c>
      <c r="L37" s="64" t="s">
        <v>375</v>
      </c>
      <c r="M37" s="60" t="s">
        <v>4</v>
      </c>
      <c r="N37" s="62" t="s">
        <v>362</v>
      </c>
      <c r="O37" s="63" t="s">
        <v>287</v>
      </c>
      <c r="P37" s="62" t="s">
        <v>359</v>
      </c>
      <c r="Q37" s="60" t="s">
        <v>4</v>
      </c>
      <c r="R37" s="64" t="s">
        <v>318</v>
      </c>
      <c r="S37" s="63" t="s">
        <v>287</v>
      </c>
      <c r="T37" s="64" t="s">
        <v>347</v>
      </c>
      <c r="U37" s="60" t="s">
        <v>4</v>
      </c>
      <c r="V37" s="65" t="s">
        <v>401</v>
      </c>
      <c r="W37" s="63" t="s">
        <v>287</v>
      </c>
      <c r="X37" s="62" t="s">
        <v>299</v>
      </c>
      <c r="Y37" s="60" t="s">
        <v>4</v>
      </c>
      <c r="Z37" s="64" t="s">
        <v>378</v>
      </c>
      <c r="AA37" s="63" t="s">
        <v>287</v>
      </c>
      <c r="AB37" s="64" t="s">
        <v>355</v>
      </c>
      <c r="AC37" s="60" t="s">
        <v>4</v>
      </c>
      <c r="AD37" s="62" t="s">
        <v>366</v>
      </c>
      <c r="AE37" s="63" t="s">
        <v>287</v>
      </c>
      <c r="AF37" s="62" t="s">
        <v>395</v>
      </c>
      <c r="AG37" s="60" t="s">
        <v>4</v>
      </c>
      <c r="AH37" s="66" t="s">
        <v>339</v>
      </c>
      <c r="AI37" s="60" t="s">
        <v>4</v>
      </c>
    </row>
    <row r="38" spans="1:35" ht="24">
      <c r="A38" s="43"/>
      <c r="B38" s="59">
        <v>21</v>
      </c>
      <c r="C38" s="60" t="s">
        <v>4</v>
      </c>
      <c r="D38" s="67" t="s">
        <v>313</v>
      </c>
      <c r="E38" s="60" t="s">
        <v>4</v>
      </c>
      <c r="F38" s="62" t="s">
        <v>369</v>
      </c>
      <c r="G38" s="63" t="s">
        <v>287</v>
      </c>
      <c r="H38" s="62" t="s">
        <v>301</v>
      </c>
      <c r="I38" s="60" t="s">
        <v>4</v>
      </c>
      <c r="J38" s="64" t="s">
        <v>326</v>
      </c>
      <c r="K38" s="63" t="s">
        <v>287</v>
      </c>
      <c r="L38" s="64" t="s">
        <v>389</v>
      </c>
      <c r="M38" s="60" t="s">
        <v>4</v>
      </c>
      <c r="N38" s="62" t="s">
        <v>288</v>
      </c>
      <c r="O38" s="63" t="s">
        <v>287</v>
      </c>
      <c r="P38" s="62" t="s">
        <v>366</v>
      </c>
      <c r="Q38" s="60" t="s">
        <v>4</v>
      </c>
      <c r="R38" s="65" t="s">
        <v>402</v>
      </c>
      <c r="S38" s="63" t="s">
        <v>287</v>
      </c>
      <c r="T38" s="64" t="s">
        <v>324</v>
      </c>
      <c r="U38" s="60" t="s">
        <v>4</v>
      </c>
      <c r="V38" s="62" t="s">
        <v>291</v>
      </c>
      <c r="W38" s="63" t="s">
        <v>287</v>
      </c>
      <c r="X38" s="62" t="s">
        <v>395</v>
      </c>
      <c r="Y38" s="60" t="s">
        <v>4</v>
      </c>
      <c r="Z38" s="64" t="s">
        <v>318</v>
      </c>
      <c r="AA38" s="63" t="s">
        <v>287</v>
      </c>
      <c r="AB38" s="64" t="s">
        <v>342</v>
      </c>
      <c r="AC38" s="60" t="s">
        <v>4</v>
      </c>
      <c r="AD38" s="62" t="s">
        <v>353</v>
      </c>
      <c r="AE38" s="63" t="s">
        <v>287</v>
      </c>
      <c r="AF38" s="62" t="s">
        <v>328</v>
      </c>
      <c r="AG38" s="60" t="s">
        <v>4</v>
      </c>
      <c r="AH38" s="66" t="s">
        <v>358</v>
      </c>
      <c r="AI38" s="60" t="s">
        <v>4</v>
      </c>
    </row>
    <row r="39" spans="1:35" ht="24">
      <c r="A39" s="43"/>
      <c r="B39" s="59">
        <v>22</v>
      </c>
      <c r="C39" s="60" t="s">
        <v>4</v>
      </c>
      <c r="D39" s="67" t="s">
        <v>376</v>
      </c>
      <c r="E39" s="60" t="s">
        <v>4</v>
      </c>
      <c r="F39" s="62" t="s">
        <v>322</v>
      </c>
      <c r="G39" s="63" t="s">
        <v>287</v>
      </c>
      <c r="H39" s="62" t="s">
        <v>367</v>
      </c>
      <c r="I39" s="60" t="s">
        <v>4</v>
      </c>
      <c r="J39" s="64" t="s">
        <v>375</v>
      </c>
      <c r="K39" s="63" t="s">
        <v>287</v>
      </c>
      <c r="L39" s="64" t="s">
        <v>372</v>
      </c>
      <c r="M39" s="60" t="s">
        <v>4</v>
      </c>
      <c r="N39" s="62" t="s">
        <v>314</v>
      </c>
      <c r="O39" s="63" t="s">
        <v>287</v>
      </c>
      <c r="P39" s="62" t="s">
        <v>344</v>
      </c>
      <c r="Q39" s="60" t="s">
        <v>4</v>
      </c>
      <c r="R39" s="64" t="s">
        <v>370</v>
      </c>
      <c r="S39" s="63" t="s">
        <v>287</v>
      </c>
      <c r="T39" s="65" t="s">
        <v>403</v>
      </c>
      <c r="U39" s="60" t="s">
        <v>4</v>
      </c>
      <c r="V39" s="62" t="s">
        <v>331</v>
      </c>
      <c r="W39" s="63" t="s">
        <v>287</v>
      </c>
      <c r="X39" s="62" t="s">
        <v>384</v>
      </c>
      <c r="Y39" s="60" t="s">
        <v>4</v>
      </c>
      <c r="Z39" s="64" t="s">
        <v>309</v>
      </c>
      <c r="AA39" s="63" t="s">
        <v>287</v>
      </c>
      <c r="AB39" s="64" t="s">
        <v>306</v>
      </c>
      <c r="AC39" s="60" t="s">
        <v>4</v>
      </c>
      <c r="AD39" s="62" t="s">
        <v>320</v>
      </c>
      <c r="AE39" s="63" t="s">
        <v>287</v>
      </c>
      <c r="AF39" s="62" t="s">
        <v>393</v>
      </c>
      <c r="AG39" s="60" t="s">
        <v>4</v>
      </c>
      <c r="AH39" s="66" t="s">
        <v>361</v>
      </c>
      <c r="AI39" s="60" t="s">
        <v>4</v>
      </c>
    </row>
    <row r="40" spans="1:35" ht="24">
      <c r="A40" s="43"/>
      <c r="B40" s="59">
        <v>23</v>
      </c>
      <c r="C40" s="60" t="s">
        <v>4</v>
      </c>
      <c r="D40" s="67" t="s">
        <v>345</v>
      </c>
      <c r="E40" s="60" t="s">
        <v>4</v>
      </c>
      <c r="F40" s="62" t="s">
        <v>360</v>
      </c>
      <c r="G40" s="63" t="s">
        <v>287</v>
      </c>
      <c r="H40" s="62" t="s">
        <v>307</v>
      </c>
      <c r="I40" s="60" t="s">
        <v>4</v>
      </c>
      <c r="J40" s="65" t="s">
        <v>404</v>
      </c>
      <c r="K40" s="63" t="s">
        <v>287</v>
      </c>
      <c r="L40" s="64" t="s">
        <v>388</v>
      </c>
      <c r="M40" s="60" t="s">
        <v>4</v>
      </c>
      <c r="N40" s="62" t="s">
        <v>367</v>
      </c>
      <c r="O40" s="63" t="s">
        <v>287</v>
      </c>
      <c r="P40" s="62" t="s">
        <v>387</v>
      </c>
      <c r="Q40" s="60" t="s">
        <v>4</v>
      </c>
      <c r="R40" s="64" t="s">
        <v>355</v>
      </c>
      <c r="S40" s="63" t="s">
        <v>287</v>
      </c>
      <c r="T40" s="64" t="s">
        <v>290</v>
      </c>
      <c r="U40" s="60" t="s">
        <v>4</v>
      </c>
      <c r="V40" s="62" t="s">
        <v>373</v>
      </c>
      <c r="W40" s="63" t="s">
        <v>287</v>
      </c>
      <c r="X40" s="62" t="s">
        <v>369</v>
      </c>
      <c r="Y40" s="60" t="s">
        <v>4</v>
      </c>
      <c r="Z40" s="64" t="s">
        <v>306</v>
      </c>
      <c r="AA40" s="63" t="s">
        <v>287</v>
      </c>
      <c r="AB40" s="64" t="s">
        <v>389</v>
      </c>
      <c r="AC40" s="60" t="s">
        <v>4</v>
      </c>
      <c r="AD40" s="62" t="s">
        <v>373</v>
      </c>
      <c r="AE40" s="63" t="s">
        <v>287</v>
      </c>
      <c r="AF40" s="62" t="s">
        <v>288</v>
      </c>
      <c r="AG40" s="60" t="s">
        <v>4</v>
      </c>
      <c r="AH40" s="66" t="s">
        <v>312</v>
      </c>
      <c r="AI40" s="60" t="s">
        <v>4</v>
      </c>
    </row>
    <row r="41" spans="1:35" ht="24">
      <c r="A41" s="43"/>
      <c r="B41" s="59">
        <v>24</v>
      </c>
      <c r="C41" s="60" t="s">
        <v>4</v>
      </c>
      <c r="D41" s="67" t="s">
        <v>365</v>
      </c>
      <c r="E41" s="60" t="s">
        <v>4</v>
      </c>
      <c r="F41" s="62" t="s">
        <v>396</v>
      </c>
      <c r="G41" s="63" t="s">
        <v>287</v>
      </c>
      <c r="H41" s="62" t="s">
        <v>291</v>
      </c>
      <c r="I41" s="60" t="s">
        <v>4</v>
      </c>
      <c r="J41" s="64" t="s">
        <v>336</v>
      </c>
      <c r="K41" s="63" t="s">
        <v>287</v>
      </c>
      <c r="L41" s="64" t="s">
        <v>302</v>
      </c>
      <c r="M41" s="60" t="s">
        <v>4</v>
      </c>
      <c r="N41" s="65" t="s">
        <v>405</v>
      </c>
      <c r="O41" s="63" t="s">
        <v>287</v>
      </c>
      <c r="P41" s="62" t="s">
        <v>396</v>
      </c>
      <c r="Q41" s="60" t="s">
        <v>4</v>
      </c>
      <c r="R41" s="64" t="s">
        <v>391</v>
      </c>
      <c r="S41" s="63" t="s">
        <v>287</v>
      </c>
      <c r="T41" s="64" t="s">
        <v>355</v>
      </c>
      <c r="U41" s="60" t="s">
        <v>4</v>
      </c>
      <c r="V41" s="62" t="s">
        <v>387</v>
      </c>
      <c r="W41" s="63" t="s">
        <v>287</v>
      </c>
      <c r="X41" s="62" t="s">
        <v>364</v>
      </c>
      <c r="Y41" s="60" t="s">
        <v>4</v>
      </c>
      <c r="Z41" s="64" t="s">
        <v>343</v>
      </c>
      <c r="AA41" s="63" t="s">
        <v>287</v>
      </c>
      <c r="AB41" s="64" t="s">
        <v>305</v>
      </c>
      <c r="AC41" s="60" t="s">
        <v>4</v>
      </c>
      <c r="AD41" s="62" t="s">
        <v>396</v>
      </c>
      <c r="AE41" s="63" t="s">
        <v>287</v>
      </c>
      <c r="AF41" s="62" t="s">
        <v>292</v>
      </c>
      <c r="AG41" s="60" t="s">
        <v>4</v>
      </c>
      <c r="AH41" s="66" t="s">
        <v>391</v>
      </c>
      <c r="AI41" s="60" t="s">
        <v>4</v>
      </c>
    </row>
    <row r="42" spans="1:35">
      <c r="A42" s="43"/>
      <c r="B42" s="59">
        <v>25</v>
      </c>
      <c r="C42" s="60" t="s">
        <v>4</v>
      </c>
      <c r="D42" s="67" t="s">
        <v>298</v>
      </c>
      <c r="E42" s="60" t="s">
        <v>4</v>
      </c>
      <c r="F42" s="62" t="s">
        <v>311</v>
      </c>
      <c r="G42" s="63" t="s">
        <v>287</v>
      </c>
      <c r="H42" s="62" t="s">
        <v>395</v>
      </c>
      <c r="I42" s="60" t="s">
        <v>4</v>
      </c>
      <c r="J42" s="64" t="s">
        <v>297</v>
      </c>
      <c r="K42" s="63" t="s">
        <v>287</v>
      </c>
      <c r="L42" s="64" t="s">
        <v>297</v>
      </c>
      <c r="M42" s="60" t="s">
        <v>4</v>
      </c>
      <c r="N42" s="62" t="s">
        <v>325</v>
      </c>
      <c r="O42" s="63" t="s">
        <v>287</v>
      </c>
      <c r="P42" s="62" t="s">
        <v>300</v>
      </c>
      <c r="Q42" s="60" t="s">
        <v>4</v>
      </c>
      <c r="R42" s="64" t="s">
        <v>327</v>
      </c>
      <c r="S42" s="63" t="s">
        <v>287</v>
      </c>
      <c r="T42" s="64" t="s">
        <v>339</v>
      </c>
      <c r="U42" s="60" t="s">
        <v>4</v>
      </c>
      <c r="V42" s="62" t="s">
        <v>350</v>
      </c>
      <c r="W42" s="63" t="s">
        <v>287</v>
      </c>
      <c r="X42" s="62" t="s">
        <v>353</v>
      </c>
      <c r="Y42" s="60" t="s">
        <v>4</v>
      </c>
      <c r="Z42" s="64" t="s">
        <v>348</v>
      </c>
      <c r="AA42" s="63" t="s">
        <v>287</v>
      </c>
      <c r="AB42" s="64" t="s">
        <v>329</v>
      </c>
      <c r="AC42" s="60" t="s">
        <v>4</v>
      </c>
      <c r="AD42" s="62" t="s">
        <v>311</v>
      </c>
      <c r="AE42" s="63" t="s">
        <v>287</v>
      </c>
      <c r="AF42" s="62" t="s">
        <v>337</v>
      </c>
      <c r="AG42" s="60" t="s">
        <v>4</v>
      </c>
      <c r="AH42" s="66" t="s">
        <v>341</v>
      </c>
      <c r="AI42" s="60" t="s">
        <v>4</v>
      </c>
    </row>
    <row r="43" spans="1:35" ht="24">
      <c r="A43" s="43"/>
      <c r="B43" s="59">
        <v>26</v>
      </c>
      <c r="C43" s="60" t="s">
        <v>4</v>
      </c>
      <c r="D43" s="70" t="s">
        <v>372</v>
      </c>
      <c r="E43" s="60" t="s">
        <v>4</v>
      </c>
      <c r="F43" s="71" t="s">
        <v>292</v>
      </c>
      <c r="G43" s="63" t="s">
        <v>287</v>
      </c>
      <c r="H43" s="71" t="s">
        <v>351</v>
      </c>
      <c r="I43" s="60" t="s">
        <v>4</v>
      </c>
      <c r="J43" s="72" t="s">
        <v>306</v>
      </c>
      <c r="K43" s="63" t="s">
        <v>287</v>
      </c>
      <c r="L43" s="72" t="s">
        <v>358</v>
      </c>
      <c r="M43" s="60" t="s">
        <v>4</v>
      </c>
      <c r="N43" s="71" t="s">
        <v>353</v>
      </c>
      <c r="O43" s="63" t="s">
        <v>287</v>
      </c>
      <c r="P43" s="71" t="s">
        <v>335</v>
      </c>
      <c r="Q43" s="60" t="s">
        <v>4</v>
      </c>
      <c r="R43" s="72" t="s">
        <v>305</v>
      </c>
      <c r="S43" s="63" t="s">
        <v>287</v>
      </c>
      <c r="T43" s="73" t="s">
        <v>406</v>
      </c>
      <c r="U43" s="60" t="s">
        <v>4</v>
      </c>
      <c r="V43" s="71" t="s">
        <v>328</v>
      </c>
      <c r="W43" s="63" t="s">
        <v>287</v>
      </c>
      <c r="X43" s="71" t="s">
        <v>325</v>
      </c>
      <c r="Y43" s="60" t="s">
        <v>4</v>
      </c>
      <c r="Z43" s="72" t="s">
        <v>385</v>
      </c>
      <c r="AA43" s="63" t="s">
        <v>287</v>
      </c>
      <c r="AB43" s="72" t="s">
        <v>297</v>
      </c>
      <c r="AC43" s="60" t="s">
        <v>4</v>
      </c>
      <c r="AD43" s="71" t="s">
        <v>331</v>
      </c>
      <c r="AE43" s="63" t="s">
        <v>287</v>
      </c>
      <c r="AF43" s="71" t="s">
        <v>307</v>
      </c>
      <c r="AG43" s="60" t="s">
        <v>4</v>
      </c>
      <c r="AH43" s="74" t="s">
        <v>379</v>
      </c>
      <c r="AI43" s="60" t="s">
        <v>4</v>
      </c>
    </row>
    <row r="44" spans="1:35">
      <c r="A44" s="43"/>
      <c r="B44" s="59">
        <v>27</v>
      </c>
      <c r="C44" s="75" t="s">
        <v>284</v>
      </c>
      <c r="D44" s="57" t="s">
        <v>284</v>
      </c>
      <c r="E44" s="76" t="s">
        <v>284</v>
      </c>
      <c r="F44" s="57" t="s">
        <v>284</v>
      </c>
      <c r="G44" s="77" t="s">
        <v>284</v>
      </c>
      <c r="H44" s="57" t="s">
        <v>284</v>
      </c>
      <c r="I44" s="76" t="s">
        <v>284</v>
      </c>
      <c r="J44" s="57" t="s">
        <v>284</v>
      </c>
      <c r="K44" s="77" t="s">
        <v>284</v>
      </c>
      <c r="L44" s="57" t="s">
        <v>284</v>
      </c>
      <c r="M44" s="76" t="s">
        <v>284</v>
      </c>
      <c r="N44" s="57" t="s">
        <v>284</v>
      </c>
      <c r="O44" s="77" t="s">
        <v>284</v>
      </c>
      <c r="P44" s="57" t="s">
        <v>284</v>
      </c>
      <c r="Q44" s="76" t="s">
        <v>284</v>
      </c>
      <c r="R44" s="57" t="s">
        <v>284</v>
      </c>
      <c r="S44" s="77" t="s">
        <v>284</v>
      </c>
      <c r="T44" s="57" t="s">
        <v>284</v>
      </c>
      <c r="U44" s="76" t="s">
        <v>284</v>
      </c>
      <c r="V44" s="57" t="s">
        <v>284</v>
      </c>
      <c r="W44" s="77" t="s">
        <v>284</v>
      </c>
      <c r="X44" s="57" t="s">
        <v>284</v>
      </c>
      <c r="Y44" s="76" t="s">
        <v>284</v>
      </c>
      <c r="Z44" s="57" t="s">
        <v>284</v>
      </c>
      <c r="AA44" s="77" t="s">
        <v>284</v>
      </c>
      <c r="AB44" s="57" t="s">
        <v>284</v>
      </c>
      <c r="AC44" s="76" t="s">
        <v>284</v>
      </c>
      <c r="AD44" s="57" t="s">
        <v>284</v>
      </c>
      <c r="AE44" s="77" t="s">
        <v>284</v>
      </c>
      <c r="AF44" s="57" t="s">
        <v>284</v>
      </c>
      <c r="AG44" s="76" t="s">
        <v>284</v>
      </c>
      <c r="AH44" s="57" t="s">
        <v>284</v>
      </c>
      <c r="AI44" s="76" t="s">
        <v>284</v>
      </c>
    </row>
    <row r="45" spans="1:35">
      <c r="A45" s="43"/>
      <c r="B45" s="43"/>
      <c r="C45" s="49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</row>
    <row r="46" spans="1:35">
      <c r="A46" s="43"/>
      <c r="B46" s="43"/>
      <c r="C46" s="5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</row>
    <row r="47" spans="1:35">
      <c r="A47" s="43"/>
      <c r="B47" s="43"/>
      <c r="C47" s="5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</row>
    <row r="48" spans="1:35">
      <c r="A48" s="43"/>
      <c r="B48" s="43"/>
      <c r="C48" s="5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</row>
    <row r="49" spans="1:35">
      <c r="A49" s="43"/>
      <c r="B49" s="43"/>
      <c r="C49" s="51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</row>
    <row r="50" spans="1:35">
      <c r="A50" s="43"/>
      <c r="B50" s="43"/>
      <c r="C50" s="51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</row>
    <row r="51" spans="1:35">
      <c r="A51" s="43"/>
      <c r="B51" s="43"/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</row>
    <row r="52" spans="1:35">
      <c r="A52" s="43"/>
      <c r="B52" s="43"/>
      <c r="C52" s="51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</row>
    <row r="53" spans="1:35" ht="40">
      <c r="A53" s="78"/>
      <c r="B53" s="78"/>
      <c r="C53" s="79"/>
      <c r="D53" s="80" t="s">
        <v>407</v>
      </c>
      <c r="E53" s="81"/>
      <c r="F53" s="81"/>
      <c r="G53" s="81"/>
      <c r="H53" s="81"/>
      <c r="I53" s="81"/>
      <c r="J53" s="80" t="s">
        <v>407</v>
      </c>
      <c r="K53" s="81"/>
      <c r="L53" s="81"/>
      <c r="M53" s="81"/>
      <c r="N53" s="81"/>
      <c r="O53" s="81"/>
      <c r="P53" s="80" t="s">
        <v>407</v>
      </c>
      <c r="Q53" s="81"/>
      <c r="R53" s="81"/>
      <c r="S53" s="81"/>
      <c r="T53" s="80" t="s">
        <v>407</v>
      </c>
      <c r="U53" s="81"/>
      <c r="V53" s="81"/>
      <c r="W53" s="81"/>
      <c r="X53" s="81"/>
      <c r="Y53" s="81"/>
      <c r="Z53" s="80" t="s">
        <v>407</v>
      </c>
      <c r="AA53" s="81"/>
      <c r="AB53" s="81"/>
      <c r="AC53" s="81"/>
      <c r="AD53" s="81"/>
      <c r="AE53" s="82" t="s">
        <v>407</v>
      </c>
      <c r="AF53" s="81"/>
      <c r="AG53" s="81"/>
      <c r="AH53" s="81"/>
      <c r="AI53" s="8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BA297-D32A-9544-AB9B-91724AC9CA69}">
  <dimension ref="A1:AL300"/>
  <sheetViews>
    <sheetView topLeftCell="V1" zoomScaleNormal="100" workbookViewId="0">
      <pane ySplit="1" topLeftCell="A2" activePane="bottomLeft" state="frozen"/>
      <selection pane="bottomLeft" activeCell="AJ318" sqref="AJ318"/>
    </sheetView>
  </sheetViews>
  <sheetFormatPr baseColWidth="10" defaultRowHeight="16"/>
  <cols>
    <col min="1" max="1" width="20.33203125" style="2" bestFit="1" customWidth="1"/>
    <col min="2" max="2" width="11.5" style="18" bestFit="1" customWidth="1"/>
    <col min="3" max="3" width="11.33203125" style="2" bestFit="1" customWidth="1"/>
    <col min="4" max="4" width="5.5" style="6" bestFit="1" customWidth="1"/>
    <col min="5" max="5" width="5" style="6" bestFit="1" customWidth="1"/>
    <col min="6" max="6" width="7.1640625" style="6" bestFit="1" customWidth="1"/>
    <col min="7" max="8" width="7.1640625" style="6" customWidth="1"/>
    <col min="9" max="9" width="8" style="2" bestFit="1" customWidth="1"/>
    <col min="10" max="10" width="9.6640625" style="2" bestFit="1" customWidth="1"/>
    <col min="11" max="11" width="7" style="6" bestFit="1" customWidth="1"/>
    <col min="12" max="13" width="4.1640625" style="6" bestFit="1" customWidth="1"/>
    <col min="14" max="17" width="4.1640625" style="6" customWidth="1"/>
    <col min="18" max="18" width="14.83203125" style="6" bestFit="1" customWidth="1"/>
    <col min="19" max="19" width="11.83203125" style="20" bestFit="1" customWidth="1"/>
    <col min="20" max="20" width="12.6640625" style="20" bestFit="1" customWidth="1"/>
    <col min="21" max="21" width="19" style="19" bestFit="1" customWidth="1"/>
    <col min="22" max="22" width="18.5" style="6" bestFit="1" customWidth="1"/>
    <col min="23" max="23" width="27.33203125" style="6" bestFit="1" customWidth="1"/>
    <col min="24" max="24" width="9.33203125" style="2" bestFit="1" customWidth="1"/>
    <col min="25" max="25" width="15.1640625" style="2" bestFit="1" customWidth="1"/>
    <col min="26" max="26" width="12.6640625" style="18" bestFit="1" customWidth="1"/>
    <col min="27" max="27" width="10.5" style="18" bestFit="1" customWidth="1"/>
    <col min="28" max="28" width="12.5" style="6" bestFit="1" customWidth="1"/>
    <col min="29" max="29" width="8.83203125" style="6" bestFit="1" customWidth="1"/>
    <col min="30" max="30" width="11" style="24" bestFit="1" customWidth="1"/>
    <col min="31" max="31" width="10.33203125" style="24" bestFit="1" customWidth="1"/>
    <col min="32" max="32" width="11.33203125" style="24" bestFit="1" customWidth="1"/>
    <col min="33" max="33" width="11" style="24" bestFit="1" customWidth="1"/>
    <col min="34" max="34" width="9.5" style="6" bestFit="1" customWidth="1"/>
    <col min="35" max="35" width="22.1640625" style="2" bestFit="1" customWidth="1"/>
    <col min="36" max="36" width="16" bestFit="1" customWidth="1"/>
    <col min="37" max="37" width="44.5" style="2" bestFit="1" customWidth="1"/>
    <col min="38" max="16384" width="10.83203125" style="2"/>
  </cols>
  <sheetData>
    <row r="1" spans="1:38" s="24" customFormat="1">
      <c r="A1" s="1" t="s">
        <v>732</v>
      </c>
      <c r="B1" s="1" t="s">
        <v>482</v>
      </c>
      <c r="C1" s="1" t="s">
        <v>483</v>
      </c>
      <c r="D1" s="24" t="s">
        <v>231</v>
      </c>
      <c r="E1" s="24" t="s">
        <v>58</v>
      </c>
      <c r="F1" s="24" t="s">
        <v>246</v>
      </c>
      <c r="G1" s="24" t="s">
        <v>488</v>
      </c>
      <c r="H1" s="24" t="s">
        <v>60</v>
      </c>
      <c r="I1" s="24" t="s">
        <v>232</v>
      </c>
      <c r="J1" s="24" t="s">
        <v>59</v>
      </c>
      <c r="K1" s="24" t="s">
        <v>233</v>
      </c>
      <c r="L1" s="24" t="s">
        <v>2</v>
      </c>
      <c r="M1" s="24" t="s">
        <v>3</v>
      </c>
      <c r="N1" s="24" t="s">
        <v>489</v>
      </c>
      <c r="O1" s="24" t="s">
        <v>490</v>
      </c>
      <c r="P1" s="24" t="s">
        <v>491</v>
      </c>
      <c r="Q1" s="24" t="s">
        <v>492</v>
      </c>
      <c r="R1" s="25" t="s">
        <v>8</v>
      </c>
      <c r="S1" s="25" t="s">
        <v>61</v>
      </c>
      <c r="T1" s="25" t="s">
        <v>62</v>
      </c>
      <c r="U1" s="25" t="s">
        <v>242</v>
      </c>
      <c r="V1" s="1" t="s">
        <v>7</v>
      </c>
      <c r="W1" s="1" t="s">
        <v>19</v>
      </c>
      <c r="X1" s="24" t="s">
        <v>31</v>
      </c>
      <c r="Y1" s="1" t="s">
        <v>23</v>
      </c>
      <c r="Z1" s="1" t="s">
        <v>63</v>
      </c>
      <c r="AA1" s="1" t="s">
        <v>77</v>
      </c>
      <c r="AB1" s="1" t="s">
        <v>30</v>
      </c>
      <c r="AC1" s="4" t="s">
        <v>64</v>
      </c>
      <c r="AD1" s="1" t="s">
        <v>183</v>
      </c>
      <c r="AE1" s="1" t="s">
        <v>65</v>
      </c>
      <c r="AF1" s="1" t="s">
        <v>182</v>
      </c>
      <c r="AG1" s="1" t="s">
        <v>66</v>
      </c>
      <c r="AH1" s="1" t="s">
        <v>26</v>
      </c>
      <c r="AI1" s="1" t="s">
        <v>27</v>
      </c>
      <c r="AJ1" s="1" t="s">
        <v>28</v>
      </c>
      <c r="AK1" s="1" t="s">
        <v>29</v>
      </c>
      <c r="AL1" s="9" t="s">
        <v>245</v>
      </c>
    </row>
    <row r="2" spans="1:38">
      <c r="A2" s="2" t="s">
        <v>1761</v>
      </c>
      <c r="B2" s="20">
        <v>45076</v>
      </c>
      <c r="C2" s="2" t="s">
        <v>487</v>
      </c>
      <c r="D2" s="6">
        <v>1</v>
      </c>
      <c r="E2" s="6">
        <v>3</v>
      </c>
      <c r="F2" s="6">
        <v>1</v>
      </c>
      <c r="G2" s="6" t="s">
        <v>256</v>
      </c>
      <c r="H2" s="6" t="s">
        <v>256</v>
      </c>
      <c r="I2" s="2" t="s">
        <v>5</v>
      </c>
      <c r="J2" s="2" t="s">
        <v>40</v>
      </c>
      <c r="K2" s="6">
        <v>300</v>
      </c>
      <c r="L2" s="6">
        <v>6</v>
      </c>
      <c r="M2" s="6">
        <v>3</v>
      </c>
      <c r="N2" s="6" t="s">
        <v>493</v>
      </c>
      <c r="O2" s="6" t="s">
        <v>493</v>
      </c>
      <c r="P2" s="6" t="s">
        <v>493</v>
      </c>
      <c r="Q2" s="6" t="s">
        <v>493</v>
      </c>
      <c r="R2" s="8">
        <v>7.8</v>
      </c>
      <c r="S2" s="20">
        <v>45076</v>
      </c>
      <c r="T2" s="20">
        <v>45147</v>
      </c>
      <c r="U2" s="33">
        <v>71</v>
      </c>
      <c r="V2" s="8">
        <v>0.13307747752995097</v>
      </c>
      <c r="W2" s="8" t="s">
        <v>256</v>
      </c>
      <c r="X2" s="2" t="s">
        <v>33</v>
      </c>
      <c r="Y2" s="2">
        <v>1</v>
      </c>
      <c r="Z2" s="11" t="s">
        <v>41</v>
      </c>
      <c r="AA2" s="20">
        <v>45184</v>
      </c>
      <c r="AB2" s="8">
        <v>0.77639979599520426</v>
      </c>
      <c r="AC2" s="33">
        <v>1</v>
      </c>
      <c r="AD2" s="31" t="s">
        <v>155</v>
      </c>
      <c r="AE2" s="31" t="s">
        <v>184</v>
      </c>
      <c r="AF2" s="31" t="s">
        <v>163</v>
      </c>
      <c r="AG2" s="31" t="s">
        <v>209</v>
      </c>
      <c r="AH2" s="6">
        <v>1</v>
      </c>
      <c r="AI2" s="2" t="s">
        <v>1163</v>
      </c>
      <c r="AJ2" s="2" t="s">
        <v>1696</v>
      </c>
    </row>
    <row r="3" spans="1:38">
      <c r="A3" s="2" t="s">
        <v>868</v>
      </c>
      <c r="B3" s="20">
        <v>45076</v>
      </c>
      <c r="C3" s="2" t="s">
        <v>487</v>
      </c>
      <c r="D3" s="6">
        <v>1</v>
      </c>
      <c r="E3" s="6">
        <v>5</v>
      </c>
      <c r="F3" s="6">
        <v>1</v>
      </c>
      <c r="G3" s="8" t="s">
        <v>256</v>
      </c>
      <c r="H3" s="8" t="s">
        <v>256</v>
      </c>
      <c r="I3" s="2" t="s">
        <v>5</v>
      </c>
      <c r="J3" s="2" t="s">
        <v>255</v>
      </c>
      <c r="K3" s="6">
        <v>300</v>
      </c>
      <c r="L3" s="6">
        <v>6</v>
      </c>
      <c r="M3" s="6">
        <v>5</v>
      </c>
      <c r="N3" s="6" t="s">
        <v>493</v>
      </c>
      <c r="O3" s="6" t="s">
        <v>493</v>
      </c>
      <c r="P3" s="6" t="s">
        <v>493</v>
      </c>
      <c r="Q3" s="6" t="s">
        <v>493</v>
      </c>
      <c r="R3" s="8">
        <v>6.28</v>
      </c>
      <c r="S3" s="20">
        <v>45076</v>
      </c>
      <c r="T3" s="20">
        <v>45147</v>
      </c>
      <c r="U3" s="33">
        <v>71</v>
      </c>
      <c r="V3" s="8">
        <v>0.28213835871262727</v>
      </c>
      <c r="W3" s="8" t="s">
        <v>256</v>
      </c>
      <c r="X3" s="2" t="s">
        <v>33</v>
      </c>
      <c r="Y3" s="2">
        <v>1</v>
      </c>
      <c r="Z3" s="11" t="s">
        <v>44</v>
      </c>
      <c r="AA3" s="20">
        <v>45184</v>
      </c>
      <c r="AB3" s="8">
        <v>1.3438882673210486</v>
      </c>
      <c r="AC3" s="33">
        <v>1</v>
      </c>
      <c r="AD3" s="31" t="s">
        <v>156</v>
      </c>
      <c r="AE3" s="31" t="s">
        <v>185</v>
      </c>
      <c r="AF3" s="31" t="s">
        <v>163</v>
      </c>
      <c r="AG3" s="31" t="s">
        <v>209</v>
      </c>
      <c r="AH3" s="6">
        <v>13</v>
      </c>
      <c r="AI3" s="2" t="s">
        <v>1164</v>
      </c>
      <c r="AJ3" s="2" t="s">
        <v>1696</v>
      </c>
    </row>
    <row r="4" spans="1:38">
      <c r="A4" s="2" t="s">
        <v>869</v>
      </c>
      <c r="B4" s="20">
        <v>45076</v>
      </c>
      <c r="C4" s="2" t="s">
        <v>487</v>
      </c>
      <c r="D4" s="6">
        <v>1</v>
      </c>
      <c r="E4" s="6">
        <v>9</v>
      </c>
      <c r="F4" s="6">
        <v>1</v>
      </c>
      <c r="G4" s="8" t="s">
        <v>256</v>
      </c>
      <c r="H4" s="8" t="s">
        <v>256</v>
      </c>
      <c r="I4" s="2" t="s">
        <v>5</v>
      </c>
      <c r="J4" s="2" t="s">
        <v>254</v>
      </c>
      <c r="K4" s="6">
        <v>300</v>
      </c>
      <c r="L4" s="6">
        <v>6</v>
      </c>
      <c r="M4" s="6">
        <v>9</v>
      </c>
      <c r="N4" s="6" t="s">
        <v>493</v>
      </c>
      <c r="O4" s="6" t="s">
        <v>493</v>
      </c>
      <c r="P4" s="6" t="s">
        <v>493</v>
      </c>
      <c r="Q4" s="6" t="s">
        <v>493</v>
      </c>
      <c r="R4" s="8">
        <v>7</v>
      </c>
      <c r="S4" s="20">
        <v>45076</v>
      </c>
      <c r="T4" s="20">
        <v>45147</v>
      </c>
      <c r="U4" s="33">
        <v>71</v>
      </c>
      <c r="V4" s="8">
        <v>0.45613562481115694</v>
      </c>
      <c r="W4" s="8" t="s">
        <v>256</v>
      </c>
      <c r="X4" s="2" t="s">
        <v>33</v>
      </c>
      <c r="Y4" s="2">
        <v>1</v>
      </c>
      <c r="Z4" s="11" t="s">
        <v>46</v>
      </c>
      <c r="AA4" s="20">
        <v>45184</v>
      </c>
      <c r="AB4" s="8">
        <v>1.7860544208604694</v>
      </c>
      <c r="AC4" s="33">
        <v>1</v>
      </c>
      <c r="AD4" s="31" t="s">
        <v>157</v>
      </c>
      <c r="AE4" s="31" t="s">
        <v>186</v>
      </c>
      <c r="AF4" s="31" t="s">
        <v>163</v>
      </c>
      <c r="AG4" s="31" t="s">
        <v>209</v>
      </c>
      <c r="AH4" s="6">
        <v>25</v>
      </c>
      <c r="AI4" s="2" t="s">
        <v>1165</v>
      </c>
      <c r="AJ4" s="2" t="s">
        <v>1696</v>
      </c>
    </row>
    <row r="5" spans="1:38">
      <c r="A5" s="4" t="s">
        <v>870</v>
      </c>
      <c r="B5" s="20">
        <v>45076</v>
      </c>
      <c r="C5" s="2" t="s">
        <v>487</v>
      </c>
      <c r="D5" s="6">
        <v>1</v>
      </c>
      <c r="E5" s="6">
        <v>10</v>
      </c>
      <c r="F5" s="6">
        <v>1</v>
      </c>
      <c r="G5" s="8" t="s">
        <v>256</v>
      </c>
      <c r="H5" s="8" t="s">
        <v>256</v>
      </c>
      <c r="I5" s="2" t="s">
        <v>5</v>
      </c>
      <c r="J5" s="2" t="s">
        <v>253</v>
      </c>
      <c r="K5" s="6">
        <v>300</v>
      </c>
      <c r="L5" s="6">
        <v>6</v>
      </c>
      <c r="M5" s="6">
        <v>10</v>
      </c>
      <c r="N5" s="6" t="s">
        <v>493</v>
      </c>
      <c r="O5" s="6" t="s">
        <v>493</v>
      </c>
      <c r="P5" s="6" t="s">
        <v>493</v>
      </c>
      <c r="Q5" s="6" t="s">
        <v>493</v>
      </c>
      <c r="R5" s="8">
        <v>8.91</v>
      </c>
      <c r="S5" s="20">
        <v>45076</v>
      </c>
      <c r="T5" s="20">
        <v>45147</v>
      </c>
      <c r="U5" s="33">
        <v>71</v>
      </c>
      <c r="V5" s="8">
        <v>7.0861652208417211E-2</v>
      </c>
      <c r="W5" s="8" t="s">
        <v>256</v>
      </c>
      <c r="X5" s="2" t="s">
        <v>34</v>
      </c>
      <c r="Y5" s="2">
        <v>4</v>
      </c>
      <c r="Z5" s="11" t="s">
        <v>144</v>
      </c>
      <c r="AA5" s="20">
        <v>45279</v>
      </c>
      <c r="AB5" s="8">
        <v>1.3149999999999999</v>
      </c>
      <c r="AC5" s="33">
        <v>4</v>
      </c>
      <c r="AD5" s="31" t="s">
        <v>200</v>
      </c>
      <c r="AE5" s="31" t="s">
        <v>201</v>
      </c>
      <c r="AF5" s="31" t="s">
        <v>174</v>
      </c>
      <c r="AG5" s="31" t="s">
        <v>222</v>
      </c>
      <c r="AH5" s="6">
        <v>338</v>
      </c>
      <c r="AI5" s="4" t="s">
        <v>1166</v>
      </c>
      <c r="AJ5" s="2" t="s">
        <v>1696</v>
      </c>
    </row>
    <row r="6" spans="1:38">
      <c r="A6" s="2" t="s">
        <v>871</v>
      </c>
      <c r="B6" s="20">
        <v>45076</v>
      </c>
      <c r="C6" s="2" t="s">
        <v>487</v>
      </c>
      <c r="D6" s="6">
        <v>1</v>
      </c>
      <c r="E6" s="6">
        <v>17</v>
      </c>
      <c r="F6" s="6">
        <v>2</v>
      </c>
      <c r="G6" s="8" t="s">
        <v>256</v>
      </c>
      <c r="H6" s="8" t="s">
        <v>256</v>
      </c>
      <c r="I6" s="2" t="s">
        <v>4</v>
      </c>
      <c r="J6" s="2" t="s">
        <v>253</v>
      </c>
      <c r="K6" s="6">
        <v>300</v>
      </c>
      <c r="L6" s="6">
        <v>5</v>
      </c>
      <c r="M6" s="6">
        <v>5</v>
      </c>
      <c r="N6" s="6" t="s">
        <v>493</v>
      </c>
      <c r="O6" s="6" t="s">
        <v>493</v>
      </c>
      <c r="P6" s="6" t="s">
        <v>493</v>
      </c>
      <c r="Q6" s="6" t="s">
        <v>493</v>
      </c>
      <c r="R6" s="8">
        <v>7.73</v>
      </c>
      <c r="S6" s="20">
        <v>45076</v>
      </c>
      <c r="T6" s="20">
        <v>45147</v>
      </c>
      <c r="U6" s="33">
        <v>71</v>
      </c>
      <c r="V6" s="8">
        <v>0.16549932835576395</v>
      </c>
      <c r="W6" s="8" t="s">
        <v>256</v>
      </c>
      <c r="X6" s="2" t="s">
        <v>33</v>
      </c>
      <c r="Y6" s="2">
        <v>1</v>
      </c>
      <c r="Z6" s="11" t="s">
        <v>48</v>
      </c>
      <c r="AA6" s="20">
        <v>45184</v>
      </c>
      <c r="AB6" s="8">
        <v>0.84955269367327013</v>
      </c>
      <c r="AC6" s="33">
        <v>1</v>
      </c>
      <c r="AD6" s="31" t="s">
        <v>158</v>
      </c>
      <c r="AE6" s="31" t="s">
        <v>187</v>
      </c>
      <c r="AF6" s="31" t="s">
        <v>163</v>
      </c>
      <c r="AG6" s="31" t="s">
        <v>209</v>
      </c>
      <c r="AH6" s="6">
        <v>37</v>
      </c>
      <c r="AI6" s="2" t="s">
        <v>1167</v>
      </c>
      <c r="AJ6" s="2" t="s">
        <v>1696</v>
      </c>
    </row>
    <row r="7" spans="1:38">
      <c r="A7" s="2" t="s">
        <v>872</v>
      </c>
      <c r="B7" s="20">
        <v>45076</v>
      </c>
      <c r="C7" s="2" t="s">
        <v>487</v>
      </c>
      <c r="D7" s="6">
        <v>1</v>
      </c>
      <c r="E7" s="6">
        <v>18</v>
      </c>
      <c r="F7" s="6">
        <v>2</v>
      </c>
      <c r="G7" s="8" t="s">
        <v>256</v>
      </c>
      <c r="H7" s="8" t="s">
        <v>256</v>
      </c>
      <c r="I7" s="2" t="s">
        <v>4</v>
      </c>
      <c r="J7" s="2" t="s">
        <v>40</v>
      </c>
      <c r="K7" s="6">
        <v>300</v>
      </c>
      <c r="L7" s="6">
        <v>5</v>
      </c>
      <c r="M7" s="6">
        <v>6</v>
      </c>
      <c r="N7" s="6" t="s">
        <v>493</v>
      </c>
      <c r="O7" s="6" t="s">
        <v>493</v>
      </c>
      <c r="P7" s="6" t="s">
        <v>493</v>
      </c>
      <c r="Q7" s="6" t="s">
        <v>493</v>
      </c>
      <c r="R7" s="8">
        <v>7.8</v>
      </c>
      <c r="S7" s="20">
        <v>45076</v>
      </c>
      <c r="T7" s="20">
        <v>45147</v>
      </c>
      <c r="U7" s="33">
        <v>71</v>
      </c>
      <c r="V7" s="8">
        <v>0.30767767629296067</v>
      </c>
      <c r="W7" s="8" t="s">
        <v>256</v>
      </c>
      <c r="X7" s="2" t="s">
        <v>33</v>
      </c>
      <c r="Y7" s="2">
        <v>1</v>
      </c>
      <c r="Z7" s="11" t="s">
        <v>50</v>
      </c>
      <c r="AA7" s="20">
        <v>45184</v>
      </c>
      <c r="AB7" s="8">
        <v>1.8195434280104281</v>
      </c>
      <c r="AC7" s="33">
        <v>1</v>
      </c>
      <c r="AD7" s="31" t="s">
        <v>159</v>
      </c>
      <c r="AE7" s="31" t="s">
        <v>188</v>
      </c>
      <c r="AF7" s="31" t="s">
        <v>163</v>
      </c>
      <c r="AG7" s="31" t="s">
        <v>209</v>
      </c>
      <c r="AH7" s="6">
        <v>49</v>
      </c>
      <c r="AI7" s="2" t="s">
        <v>1168</v>
      </c>
      <c r="AJ7" s="2" t="s">
        <v>1696</v>
      </c>
    </row>
    <row r="8" spans="1:38">
      <c r="A8" s="2" t="s">
        <v>873</v>
      </c>
      <c r="B8" s="20">
        <v>45076</v>
      </c>
      <c r="C8" s="2" t="s">
        <v>487</v>
      </c>
      <c r="D8" s="6">
        <v>1</v>
      </c>
      <c r="E8" s="6">
        <v>22</v>
      </c>
      <c r="F8" s="6">
        <v>2</v>
      </c>
      <c r="G8" s="8" t="s">
        <v>256</v>
      </c>
      <c r="H8" s="8" t="s">
        <v>256</v>
      </c>
      <c r="I8" s="2" t="s">
        <v>4</v>
      </c>
      <c r="J8" s="2" t="s">
        <v>254</v>
      </c>
      <c r="K8" s="6">
        <v>300</v>
      </c>
      <c r="L8" s="6">
        <v>5</v>
      </c>
      <c r="M8" s="6">
        <v>10</v>
      </c>
      <c r="N8" s="6" t="s">
        <v>493</v>
      </c>
      <c r="O8" s="6" t="s">
        <v>493</v>
      </c>
      <c r="P8" s="6" t="s">
        <v>493</v>
      </c>
      <c r="Q8" s="6" t="s">
        <v>493</v>
      </c>
      <c r="R8" s="8">
        <v>4.97</v>
      </c>
      <c r="S8" s="20">
        <v>45076</v>
      </c>
      <c r="T8" s="20">
        <v>45147</v>
      </c>
      <c r="U8" s="33">
        <v>71</v>
      </c>
      <c r="V8" s="8">
        <v>0.43539701637064571</v>
      </c>
      <c r="W8" s="8" t="s">
        <v>256</v>
      </c>
      <c r="X8" s="2" t="s">
        <v>33</v>
      </c>
      <c r="Y8" s="2">
        <v>1</v>
      </c>
      <c r="Z8" s="11" t="s">
        <v>52</v>
      </c>
      <c r="AA8" s="20">
        <v>45184</v>
      </c>
      <c r="AB8" s="8">
        <v>1.5419073202296745</v>
      </c>
      <c r="AC8" s="33">
        <v>1</v>
      </c>
      <c r="AD8" s="31" t="s">
        <v>160</v>
      </c>
      <c r="AE8" s="31" t="s">
        <v>189</v>
      </c>
      <c r="AF8" s="31" t="s">
        <v>163</v>
      </c>
      <c r="AG8" s="31" t="s">
        <v>209</v>
      </c>
      <c r="AH8" s="6">
        <v>61</v>
      </c>
      <c r="AI8" s="2" t="s">
        <v>1169</v>
      </c>
      <c r="AJ8" s="2" t="s">
        <v>1696</v>
      </c>
    </row>
    <row r="9" spans="1:38">
      <c r="A9" s="2" t="s">
        <v>874</v>
      </c>
      <c r="B9" s="20">
        <v>45076</v>
      </c>
      <c r="C9" s="2" t="s">
        <v>487</v>
      </c>
      <c r="D9" s="6">
        <v>1</v>
      </c>
      <c r="E9" s="6">
        <v>24</v>
      </c>
      <c r="F9" s="6">
        <v>2</v>
      </c>
      <c r="G9" s="8" t="s">
        <v>256</v>
      </c>
      <c r="H9" s="8" t="s">
        <v>256</v>
      </c>
      <c r="I9" s="2" t="s">
        <v>4</v>
      </c>
      <c r="J9" s="2" t="s">
        <v>255</v>
      </c>
      <c r="K9" s="6">
        <v>300</v>
      </c>
      <c r="L9" s="6">
        <v>5</v>
      </c>
      <c r="M9" s="6">
        <v>12</v>
      </c>
      <c r="N9" s="6" t="s">
        <v>493</v>
      </c>
      <c r="O9" s="6" t="s">
        <v>493</v>
      </c>
      <c r="P9" s="6" t="s">
        <v>493</v>
      </c>
      <c r="Q9" s="6" t="s">
        <v>493</v>
      </c>
      <c r="R9" s="8">
        <v>8.7799999999999994</v>
      </c>
      <c r="S9" s="20">
        <v>45076</v>
      </c>
      <c r="T9" s="20">
        <v>45147</v>
      </c>
      <c r="U9" s="33">
        <v>71</v>
      </c>
      <c r="V9" s="8">
        <v>0.26102433936781716</v>
      </c>
      <c r="W9" s="8" t="s">
        <v>256</v>
      </c>
      <c r="X9" s="2" t="s">
        <v>33</v>
      </c>
      <c r="Y9" s="2">
        <v>1</v>
      </c>
      <c r="Z9" s="11" t="s">
        <v>54</v>
      </c>
      <c r="AA9" s="20">
        <v>45184</v>
      </c>
      <c r="AB9" s="8">
        <v>1.8339292373941147</v>
      </c>
      <c r="AC9" s="33">
        <v>1</v>
      </c>
      <c r="AD9" s="31" t="s">
        <v>161</v>
      </c>
      <c r="AE9" s="31" t="s">
        <v>190</v>
      </c>
      <c r="AF9" s="31" t="s">
        <v>163</v>
      </c>
      <c r="AG9" s="31" t="s">
        <v>209</v>
      </c>
      <c r="AH9" s="6">
        <v>73</v>
      </c>
      <c r="AI9" s="2" t="s">
        <v>1170</v>
      </c>
      <c r="AJ9" s="2" t="s">
        <v>1696</v>
      </c>
    </row>
    <row r="10" spans="1:38">
      <c r="A10" s="4" t="s">
        <v>875</v>
      </c>
      <c r="B10" s="20">
        <v>45076</v>
      </c>
      <c r="C10" s="2" t="s">
        <v>487</v>
      </c>
      <c r="D10" s="6">
        <v>1</v>
      </c>
      <c r="E10" s="6">
        <v>25</v>
      </c>
      <c r="F10" s="6">
        <v>3</v>
      </c>
      <c r="G10" s="8" t="s">
        <v>256</v>
      </c>
      <c r="H10" s="8" t="s">
        <v>256</v>
      </c>
      <c r="I10" s="2" t="s">
        <v>6</v>
      </c>
      <c r="J10" s="2" t="s">
        <v>253</v>
      </c>
      <c r="K10" s="6">
        <v>300</v>
      </c>
      <c r="L10" s="6">
        <v>4</v>
      </c>
      <c r="M10" s="6">
        <v>1</v>
      </c>
      <c r="N10" s="6" t="s">
        <v>493</v>
      </c>
      <c r="O10" s="6" t="s">
        <v>493</v>
      </c>
      <c r="P10" s="6" t="s">
        <v>493</v>
      </c>
      <c r="Q10" s="6" t="s">
        <v>493</v>
      </c>
      <c r="R10" s="8">
        <v>3.67</v>
      </c>
      <c r="S10" s="20">
        <v>45076</v>
      </c>
      <c r="T10" s="20">
        <v>45147</v>
      </c>
      <c r="U10" s="33">
        <v>71</v>
      </c>
      <c r="V10" s="8">
        <v>8.5184147011820213E-2</v>
      </c>
      <c r="W10" s="8" t="s">
        <v>256</v>
      </c>
      <c r="X10" s="2" t="s">
        <v>34</v>
      </c>
      <c r="Y10" s="2">
        <v>4</v>
      </c>
      <c r="Z10" s="11" t="s">
        <v>146</v>
      </c>
      <c r="AA10" s="20">
        <v>45279</v>
      </c>
      <c r="AB10" s="8">
        <v>0.42799999999999999</v>
      </c>
      <c r="AC10" s="33">
        <v>4</v>
      </c>
      <c r="AD10" s="31" t="s">
        <v>198</v>
      </c>
      <c r="AE10" s="31" t="s">
        <v>199</v>
      </c>
      <c r="AF10" s="31" t="s">
        <v>175</v>
      </c>
      <c r="AG10" s="31" t="s">
        <v>223</v>
      </c>
      <c r="AH10" s="6">
        <v>327</v>
      </c>
      <c r="AI10" s="4" t="s">
        <v>1171</v>
      </c>
      <c r="AJ10" s="2" t="s">
        <v>1696</v>
      </c>
    </row>
    <row r="11" spans="1:38">
      <c r="A11" s="2" t="s">
        <v>876</v>
      </c>
      <c r="B11" s="20">
        <v>45076</v>
      </c>
      <c r="C11" s="2" t="s">
        <v>487</v>
      </c>
      <c r="D11" s="6">
        <v>1</v>
      </c>
      <c r="E11" s="6">
        <v>26</v>
      </c>
      <c r="F11" s="6">
        <v>3</v>
      </c>
      <c r="G11" s="8" t="s">
        <v>256</v>
      </c>
      <c r="H11" s="8" t="s">
        <v>256</v>
      </c>
      <c r="I11" s="2" t="s">
        <v>6</v>
      </c>
      <c r="J11" s="2" t="s">
        <v>255</v>
      </c>
      <c r="K11" s="6">
        <v>300</v>
      </c>
      <c r="L11" s="6">
        <v>4</v>
      </c>
      <c r="M11" s="6">
        <v>2</v>
      </c>
      <c r="N11" s="6" t="s">
        <v>493</v>
      </c>
      <c r="O11" s="6" t="s">
        <v>493</v>
      </c>
      <c r="P11" s="6" t="s">
        <v>493</v>
      </c>
      <c r="Q11" s="6" t="s">
        <v>493</v>
      </c>
      <c r="R11" s="8">
        <v>5.73</v>
      </c>
      <c r="S11" s="20">
        <v>45076</v>
      </c>
      <c r="T11" s="20">
        <v>45147</v>
      </c>
      <c r="U11" s="33">
        <v>71</v>
      </c>
      <c r="V11" s="8">
        <v>0.34318244696922812</v>
      </c>
      <c r="W11" s="8" t="s">
        <v>256</v>
      </c>
      <c r="X11" s="2" t="s">
        <v>33</v>
      </c>
      <c r="Y11" s="2">
        <v>1</v>
      </c>
      <c r="Z11" s="11" t="s">
        <v>56</v>
      </c>
      <c r="AA11" s="20">
        <v>45184</v>
      </c>
      <c r="AB11" s="8">
        <v>1.9566703426693119</v>
      </c>
      <c r="AC11" s="33">
        <v>1</v>
      </c>
      <c r="AD11" s="31" t="s">
        <v>162</v>
      </c>
      <c r="AE11" s="31" t="s">
        <v>192</v>
      </c>
      <c r="AF11" s="31" t="s">
        <v>163</v>
      </c>
      <c r="AG11" s="31" t="s">
        <v>209</v>
      </c>
      <c r="AH11" s="6">
        <v>85</v>
      </c>
      <c r="AI11" s="2" t="s">
        <v>1172</v>
      </c>
      <c r="AJ11" s="2" t="s">
        <v>1696</v>
      </c>
    </row>
    <row r="12" spans="1:38">
      <c r="A12" s="2" t="s">
        <v>877</v>
      </c>
      <c r="B12" s="20">
        <v>45076</v>
      </c>
      <c r="C12" s="2" t="s">
        <v>487</v>
      </c>
      <c r="D12" s="6">
        <v>1</v>
      </c>
      <c r="E12" s="6">
        <v>28</v>
      </c>
      <c r="F12" s="6">
        <v>3</v>
      </c>
      <c r="G12" s="8" t="s">
        <v>256</v>
      </c>
      <c r="H12" s="8" t="s">
        <v>256</v>
      </c>
      <c r="I12" s="2" t="s">
        <v>6</v>
      </c>
      <c r="J12" s="2" t="s">
        <v>254</v>
      </c>
      <c r="K12" s="6">
        <v>300</v>
      </c>
      <c r="L12" s="6">
        <v>4</v>
      </c>
      <c r="M12" s="6">
        <v>4</v>
      </c>
      <c r="N12" s="6" t="s">
        <v>493</v>
      </c>
      <c r="O12" s="6" t="s">
        <v>493</v>
      </c>
      <c r="P12" s="6" t="s">
        <v>493</v>
      </c>
      <c r="Q12" s="6" t="s">
        <v>493</v>
      </c>
      <c r="R12" s="8">
        <v>4.0999999999999996</v>
      </c>
      <c r="S12" s="20">
        <v>45076</v>
      </c>
      <c r="T12" s="20">
        <v>45147</v>
      </c>
      <c r="U12" s="33">
        <v>71</v>
      </c>
      <c r="V12" s="8">
        <v>0.38653671837174508</v>
      </c>
      <c r="W12" s="8" t="s">
        <v>256</v>
      </c>
      <c r="X12" s="2" t="s">
        <v>33</v>
      </c>
      <c r="Y12" s="2">
        <v>1</v>
      </c>
      <c r="Z12" s="11" t="s">
        <v>79</v>
      </c>
      <c r="AA12" s="20">
        <v>45184</v>
      </c>
      <c r="AB12" s="8">
        <v>2.3394018529545537</v>
      </c>
      <c r="AC12" s="33">
        <v>1</v>
      </c>
      <c r="AD12" s="31" t="s">
        <v>155</v>
      </c>
      <c r="AE12" s="31" t="s">
        <v>184</v>
      </c>
      <c r="AF12" s="31" t="s">
        <v>164</v>
      </c>
      <c r="AG12" s="31" t="s">
        <v>210</v>
      </c>
      <c r="AH12" s="6">
        <v>2</v>
      </c>
      <c r="AI12" s="2" t="s">
        <v>1173</v>
      </c>
      <c r="AJ12" s="2" t="s">
        <v>1696</v>
      </c>
    </row>
    <row r="13" spans="1:38">
      <c r="A13" s="2" t="s">
        <v>878</v>
      </c>
      <c r="B13" s="20">
        <v>45076</v>
      </c>
      <c r="C13" s="2" t="s">
        <v>487</v>
      </c>
      <c r="D13" s="6">
        <v>1</v>
      </c>
      <c r="E13" s="6">
        <v>35</v>
      </c>
      <c r="F13" s="6">
        <v>3</v>
      </c>
      <c r="G13" s="8" t="s">
        <v>256</v>
      </c>
      <c r="H13" s="8" t="s">
        <v>256</v>
      </c>
      <c r="I13" s="2" t="s">
        <v>6</v>
      </c>
      <c r="J13" s="2" t="s">
        <v>40</v>
      </c>
      <c r="K13" s="6">
        <v>300</v>
      </c>
      <c r="L13" s="6">
        <v>4</v>
      </c>
      <c r="M13" s="6">
        <v>11</v>
      </c>
      <c r="N13" s="6" t="s">
        <v>493</v>
      </c>
      <c r="O13" s="6" t="s">
        <v>493</v>
      </c>
      <c r="P13" s="6" t="s">
        <v>493</v>
      </c>
      <c r="Q13" s="6" t="s">
        <v>493</v>
      </c>
      <c r="R13" s="8">
        <v>5.91</v>
      </c>
      <c r="S13" s="20">
        <v>45076</v>
      </c>
      <c r="T13" s="20">
        <v>45147</v>
      </c>
      <c r="U13" s="33">
        <v>71</v>
      </c>
      <c r="V13" s="8">
        <v>0.31088573311151479</v>
      </c>
      <c r="W13" s="8" t="s">
        <v>256</v>
      </c>
      <c r="X13" s="2" t="s">
        <v>33</v>
      </c>
      <c r="Y13" s="2">
        <v>1</v>
      </c>
      <c r="Z13" s="11" t="s">
        <v>78</v>
      </c>
      <c r="AA13" s="20">
        <v>45184</v>
      </c>
      <c r="AB13" s="8">
        <v>3.0370079118613837</v>
      </c>
      <c r="AC13" s="33">
        <v>1</v>
      </c>
      <c r="AD13" s="31" t="s">
        <v>156</v>
      </c>
      <c r="AE13" s="31" t="s">
        <v>185</v>
      </c>
      <c r="AF13" s="31" t="s">
        <v>164</v>
      </c>
      <c r="AG13" s="31" t="s">
        <v>210</v>
      </c>
      <c r="AH13" s="6">
        <v>14</v>
      </c>
      <c r="AI13" s="2" t="s">
        <v>1174</v>
      </c>
      <c r="AJ13" s="2" t="s">
        <v>1696</v>
      </c>
    </row>
    <row r="14" spans="1:38">
      <c r="A14" s="2" t="s">
        <v>879</v>
      </c>
      <c r="B14" s="20">
        <v>45076</v>
      </c>
      <c r="C14" s="2" t="s">
        <v>487</v>
      </c>
      <c r="D14" s="6">
        <v>2</v>
      </c>
      <c r="E14" s="6">
        <v>37</v>
      </c>
      <c r="F14" s="6">
        <v>4</v>
      </c>
      <c r="G14" s="8" t="s">
        <v>256</v>
      </c>
      <c r="H14" s="8" t="s">
        <v>256</v>
      </c>
      <c r="I14" s="2" t="s">
        <v>4</v>
      </c>
      <c r="J14" s="2" t="s">
        <v>40</v>
      </c>
      <c r="K14" s="6">
        <v>300</v>
      </c>
      <c r="L14" s="6">
        <v>3</v>
      </c>
      <c r="M14" s="6">
        <v>1</v>
      </c>
      <c r="N14" s="6" t="s">
        <v>493</v>
      </c>
      <c r="O14" s="6" t="s">
        <v>493</v>
      </c>
      <c r="P14" s="6" t="s">
        <v>493</v>
      </c>
      <c r="Q14" s="6" t="s">
        <v>493</v>
      </c>
      <c r="R14" s="8">
        <v>6.84</v>
      </c>
      <c r="S14" s="20">
        <v>45076</v>
      </c>
      <c r="T14" s="20">
        <v>45147</v>
      </c>
      <c r="U14" s="33">
        <v>71</v>
      </c>
      <c r="V14" s="8">
        <v>0.17714844247703851</v>
      </c>
      <c r="W14" s="8" t="s">
        <v>256</v>
      </c>
      <c r="X14" s="2" t="s">
        <v>33</v>
      </c>
      <c r="Y14" s="2">
        <v>1</v>
      </c>
      <c r="Z14" s="11" t="s">
        <v>80</v>
      </c>
      <c r="AA14" s="20">
        <v>45184</v>
      </c>
      <c r="AB14" s="8">
        <v>0.97451898214780019</v>
      </c>
      <c r="AC14" s="33">
        <v>1</v>
      </c>
      <c r="AD14" s="31" t="s">
        <v>157</v>
      </c>
      <c r="AE14" s="31" t="s">
        <v>186</v>
      </c>
      <c r="AF14" s="31" t="s">
        <v>164</v>
      </c>
      <c r="AG14" s="31" t="s">
        <v>210</v>
      </c>
      <c r="AH14" s="6">
        <v>26</v>
      </c>
      <c r="AI14" s="2" t="s">
        <v>1175</v>
      </c>
      <c r="AJ14" s="2" t="s">
        <v>1696</v>
      </c>
    </row>
    <row r="15" spans="1:38">
      <c r="A15" s="2" t="s">
        <v>880</v>
      </c>
      <c r="B15" s="20">
        <v>45076</v>
      </c>
      <c r="C15" s="2" t="s">
        <v>487</v>
      </c>
      <c r="D15" s="6">
        <v>2</v>
      </c>
      <c r="E15" s="6">
        <v>38</v>
      </c>
      <c r="F15" s="6">
        <v>4</v>
      </c>
      <c r="G15" s="8" t="s">
        <v>256</v>
      </c>
      <c r="H15" s="8" t="s">
        <v>256</v>
      </c>
      <c r="I15" s="2" t="s">
        <v>4</v>
      </c>
      <c r="J15" s="2" t="s">
        <v>255</v>
      </c>
      <c r="K15" s="6">
        <v>300</v>
      </c>
      <c r="L15" s="6">
        <v>3</v>
      </c>
      <c r="M15" s="6">
        <v>2</v>
      </c>
      <c r="N15" s="6" t="s">
        <v>493</v>
      </c>
      <c r="O15" s="6" t="s">
        <v>493</v>
      </c>
      <c r="P15" s="6" t="s">
        <v>493</v>
      </c>
      <c r="Q15" s="6" t="s">
        <v>493</v>
      </c>
      <c r="R15" s="8">
        <v>7.61</v>
      </c>
      <c r="S15" s="20">
        <v>45076</v>
      </c>
      <c r="T15" s="20">
        <v>45147</v>
      </c>
      <c r="U15" s="33">
        <v>71</v>
      </c>
      <c r="V15" s="8">
        <v>0.63337507599226794</v>
      </c>
      <c r="W15" s="8" t="s">
        <v>256</v>
      </c>
      <c r="X15" s="2" t="s">
        <v>33</v>
      </c>
      <c r="Y15" s="2">
        <v>1</v>
      </c>
      <c r="Z15" s="11" t="s">
        <v>143</v>
      </c>
      <c r="AA15" s="20">
        <v>45184</v>
      </c>
      <c r="AB15" s="8">
        <v>0.25531752029144561</v>
      </c>
      <c r="AC15" s="33">
        <v>1</v>
      </c>
      <c r="AD15" s="31" t="s">
        <v>158</v>
      </c>
      <c r="AE15" s="31" t="s">
        <v>187</v>
      </c>
      <c r="AF15" s="31" t="s">
        <v>164</v>
      </c>
      <c r="AG15" s="31" t="s">
        <v>210</v>
      </c>
      <c r="AH15" s="6">
        <v>38</v>
      </c>
      <c r="AI15" s="2" t="s">
        <v>1176</v>
      </c>
      <c r="AJ15" s="2" t="s">
        <v>1696</v>
      </c>
    </row>
    <row r="16" spans="1:38">
      <c r="A16" s="2" t="s">
        <v>881</v>
      </c>
      <c r="B16" s="20">
        <v>45076</v>
      </c>
      <c r="C16" s="2" t="s">
        <v>487</v>
      </c>
      <c r="D16" s="6">
        <v>2</v>
      </c>
      <c r="E16" s="6">
        <v>41</v>
      </c>
      <c r="F16" s="6">
        <v>4</v>
      </c>
      <c r="G16" s="8" t="s">
        <v>256</v>
      </c>
      <c r="H16" s="8" t="s">
        <v>256</v>
      </c>
      <c r="I16" s="2" t="s">
        <v>4</v>
      </c>
      <c r="J16" s="2" t="s">
        <v>253</v>
      </c>
      <c r="K16" s="6">
        <v>300</v>
      </c>
      <c r="L16" s="6">
        <v>3</v>
      </c>
      <c r="M16" s="6">
        <v>5</v>
      </c>
      <c r="N16" s="6" t="s">
        <v>493</v>
      </c>
      <c r="O16" s="6" t="s">
        <v>493</v>
      </c>
      <c r="P16" s="6" t="s">
        <v>493</v>
      </c>
      <c r="Q16" s="6" t="s">
        <v>493</v>
      </c>
      <c r="R16" s="8">
        <v>8.07</v>
      </c>
      <c r="S16" s="20">
        <v>45076</v>
      </c>
      <c r="T16" s="20">
        <v>45147</v>
      </c>
      <c r="U16" s="33">
        <v>71</v>
      </c>
      <c r="V16" s="8">
        <v>0.57767774909992387</v>
      </c>
      <c r="W16" s="8" t="s">
        <v>256</v>
      </c>
      <c r="X16" s="2" t="s">
        <v>33</v>
      </c>
      <c r="Y16" s="2">
        <v>1</v>
      </c>
      <c r="Z16" s="11" t="s">
        <v>144</v>
      </c>
      <c r="AA16" s="20">
        <v>45184</v>
      </c>
      <c r="AB16" s="8">
        <v>0.47284030394222354</v>
      </c>
      <c r="AC16" s="33">
        <v>1</v>
      </c>
      <c r="AD16" s="31" t="s">
        <v>159</v>
      </c>
      <c r="AE16" s="31" t="s">
        <v>188</v>
      </c>
      <c r="AF16" s="31" t="s">
        <v>164</v>
      </c>
      <c r="AG16" s="31" t="s">
        <v>210</v>
      </c>
      <c r="AH16" s="6">
        <v>50</v>
      </c>
      <c r="AI16" s="2" t="s">
        <v>1177</v>
      </c>
      <c r="AJ16" s="2" t="s">
        <v>1696</v>
      </c>
    </row>
    <row r="17" spans="1:36">
      <c r="A17" s="2" t="s">
        <v>882</v>
      </c>
      <c r="B17" s="20">
        <v>45076</v>
      </c>
      <c r="C17" s="2" t="s">
        <v>487</v>
      </c>
      <c r="D17" s="6">
        <v>2</v>
      </c>
      <c r="E17" s="6">
        <v>44</v>
      </c>
      <c r="F17" s="6">
        <v>4</v>
      </c>
      <c r="G17" s="8" t="s">
        <v>256</v>
      </c>
      <c r="H17" s="8" t="s">
        <v>256</v>
      </c>
      <c r="I17" s="2" t="s">
        <v>4</v>
      </c>
      <c r="J17" s="2" t="s">
        <v>254</v>
      </c>
      <c r="K17" s="6">
        <v>300</v>
      </c>
      <c r="L17" s="6">
        <v>3</v>
      </c>
      <c r="M17" s="6">
        <v>8</v>
      </c>
      <c r="N17" s="6" t="s">
        <v>493</v>
      </c>
      <c r="O17" s="6" t="s">
        <v>493</v>
      </c>
      <c r="P17" s="6" t="s">
        <v>493</v>
      </c>
      <c r="Q17" s="6" t="s">
        <v>493</v>
      </c>
      <c r="R17" s="8">
        <v>6.74</v>
      </c>
      <c r="S17" s="20">
        <v>45076</v>
      </c>
      <c r="T17" s="20">
        <v>45147</v>
      </c>
      <c r="U17" s="33">
        <v>71</v>
      </c>
      <c r="V17" s="8">
        <v>0.49779485910032434</v>
      </c>
      <c r="W17" s="8" t="s">
        <v>256</v>
      </c>
      <c r="X17" s="2" t="s">
        <v>33</v>
      </c>
      <c r="Y17" s="2">
        <v>1</v>
      </c>
      <c r="Z17" s="11" t="s">
        <v>145</v>
      </c>
      <c r="AA17" s="20">
        <v>45184</v>
      </c>
      <c r="AB17" s="8">
        <v>1.977731701650997</v>
      </c>
      <c r="AC17" s="33">
        <v>1</v>
      </c>
      <c r="AD17" s="31" t="s">
        <v>160</v>
      </c>
      <c r="AE17" s="31" t="s">
        <v>189</v>
      </c>
      <c r="AF17" s="31" t="s">
        <v>164</v>
      </c>
      <c r="AG17" s="31" t="s">
        <v>210</v>
      </c>
      <c r="AH17" s="6">
        <v>62</v>
      </c>
      <c r="AI17" s="2" t="s">
        <v>1178</v>
      </c>
      <c r="AJ17" s="2" t="s">
        <v>1696</v>
      </c>
    </row>
    <row r="18" spans="1:36">
      <c r="A18" s="2" t="s">
        <v>883</v>
      </c>
      <c r="B18" s="20">
        <v>45076</v>
      </c>
      <c r="C18" s="2" t="s">
        <v>487</v>
      </c>
      <c r="D18" s="6">
        <v>2</v>
      </c>
      <c r="E18" s="6">
        <v>51</v>
      </c>
      <c r="F18" s="6">
        <v>5</v>
      </c>
      <c r="G18" s="8" t="s">
        <v>256</v>
      </c>
      <c r="H18" s="8" t="s">
        <v>256</v>
      </c>
      <c r="I18" s="2" t="s">
        <v>6</v>
      </c>
      <c r="J18" s="2" t="s">
        <v>40</v>
      </c>
      <c r="K18" s="6">
        <v>300</v>
      </c>
      <c r="L18" s="6">
        <v>2</v>
      </c>
      <c r="M18" s="6">
        <v>3</v>
      </c>
      <c r="N18" s="6" t="s">
        <v>493</v>
      </c>
      <c r="O18" s="6" t="s">
        <v>493</v>
      </c>
      <c r="P18" s="6" t="s">
        <v>493</v>
      </c>
      <c r="Q18" s="6" t="s">
        <v>493</v>
      </c>
      <c r="R18" s="8">
        <v>7.23</v>
      </c>
      <c r="S18" s="20">
        <v>45076</v>
      </c>
      <c r="T18" s="20">
        <v>45147</v>
      </c>
      <c r="U18" s="33">
        <v>71</v>
      </c>
      <c r="V18" s="8">
        <v>0.349723697574436</v>
      </c>
      <c r="W18" s="8" t="s">
        <v>256</v>
      </c>
      <c r="X18" s="2" t="s">
        <v>34</v>
      </c>
      <c r="Y18" s="2">
        <v>4</v>
      </c>
      <c r="Z18" s="11" t="s">
        <v>147</v>
      </c>
      <c r="AA18" s="20">
        <v>45279</v>
      </c>
      <c r="AB18" s="8">
        <v>0.44400000000000001</v>
      </c>
      <c r="AC18" s="33">
        <v>4</v>
      </c>
      <c r="AD18" s="31" t="s">
        <v>206</v>
      </c>
      <c r="AE18" s="31" t="s">
        <v>207</v>
      </c>
      <c r="AF18" s="31" t="s">
        <v>175</v>
      </c>
      <c r="AG18" s="31" t="s">
        <v>223</v>
      </c>
      <c r="AH18" s="6">
        <v>375</v>
      </c>
      <c r="AI18" s="2" t="s">
        <v>1179</v>
      </c>
      <c r="AJ18" s="2" t="s">
        <v>1696</v>
      </c>
    </row>
    <row r="19" spans="1:36">
      <c r="A19" s="2" t="s">
        <v>884</v>
      </c>
      <c r="B19" s="20">
        <v>45076</v>
      </c>
      <c r="C19" s="2" t="s">
        <v>487</v>
      </c>
      <c r="D19" s="6">
        <v>2</v>
      </c>
      <c r="E19" s="6">
        <v>53</v>
      </c>
      <c r="F19" s="6">
        <v>5</v>
      </c>
      <c r="G19" s="8" t="s">
        <v>256</v>
      </c>
      <c r="H19" s="8" t="s">
        <v>256</v>
      </c>
      <c r="I19" s="2" t="s">
        <v>6</v>
      </c>
      <c r="J19" s="2" t="s">
        <v>255</v>
      </c>
      <c r="K19" s="6">
        <v>300</v>
      </c>
      <c r="L19" s="6">
        <v>2</v>
      </c>
      <c r="M19" s="6">
        <v>5</v>
      </c>
      <c r="N19" s="6" t="s">
        <v>493</v>
      </c>
      <c r="O19" s="6" t="s">
        <v>493</v>
      </c>
      <c r="P19" s="6" t="s">
        <v>493</v>
      </c>
      <c r="Q19" s="6" t="s">
        <v>493</v>
      </c>
      <c r="R19" s="8">
        <v>5.07</v>
      </c>
      <c r="S19" s="20">
        <v>45076</v>
      </c>
      <c r="T19" s="20">
        <v>45147</v>
      </c>
      <c r="U19" s="33">
        <v>71</v>
      </c>
      <c r="V19" s="8">
        <v>1.0020968405418293</v>
      </c>
      <c r="W19" s="8" t="s">
        <v>256</v>
      </c>
      <c r="X19" s="2" t="s">
        <v>33</v>
      </c>
      <c r="Y19" s="2">
        <v>1</v>
      </c>
      <c r="Z19" s="11" t="s">
        <v>85</v>
      </c>
      <c r="AA19" s="20">
        <v>45184</v>
      </c>
      <c r="AB19" s="8">
        <v>2.8728338954146095</v>
      </c>
      <c r="AC19" s="33">
        <v>1</v>
      </c>
      <c r="AD19" s="31" t="s">
        <v>162</v>
      </c>
      <c r="AE19" s="31" t="s">
        <v>192</v>
      </c>
      <c r="AF19" s="31" t="s">
        <v>164</v>
      </c>
      <c r="AG19" s="31" t="s">
        <v>210</v>
      </c>
      <c r="AH19" s="6">
        <v>86</v>
      </c>
      <c r="AI19" s="2" t="s">
        <v>1180</v>
      </c>
      <c r="AJ19" s="2" t="s">
        <v>1696</v>
      </c>
    </row>
    <row r="20" spans="1:36">
      <c r="A20" s="2" t="s">
        <v>885</v>
      </c>
      <c r="B20" s="20">
        <v>45076</v>
      </c>
      <c r="C20" s="2" t="s">
        <v>487</v>
      </c>
      <c r="D20" s="6">
        <v>2</v>
      </c>
      <c r="E20" s="6">
        <v>55</v>
      </c>
      <c r="F20" s="6">
        <v>5</v>
      </c>
      <c r="G20" s="8" t="s">
        <v>256</v>
      </c>
      <c r="H20" s="8" t="s">
        <v>256</v>
      </c>
      <c r="I20" s="2" t="s">
        <v>6</v>
      </c>
      <c r="J20" s="2" t="s">
        <v>253</v>
      </c>
      <c r="K20" s="6">
        <v>300</v>
      </c>
      <c r="L20" s="6">
        <v>2</v>
      </c>
      <c r="M20" s="6">
        <v>7</v>
      </c>
      <c r="N20" s="6" t="s">
        <v>493</v>
      </c>
      <c r="O20" s="6" t="s">
        <v>493</v>
      </c>
      <c r="P20" s="6" t="s">
        <v>493</v>
      </c>
      <c r="Q20" s="6" t="s">
        <v>493</v>
      </c>
      <c r="R20" s="8">
        <v>6.54</v>
      </c>
      <c r="S20" s="20">
        <v>45076</v>
      </c>
      <c r="T20" s="20">
        <v>45147</v>
      </c>
      <c r="U20" s="33">
        <v>71</v>
      </c>
      <c r="V20" s="8">
        <v>0.27319675353750833</v>
      </c>
      <c r="W20" s="8" t="s">
        <v>256</v>
      </c>
      <c r="X20" s="2" t="s">
        <v>33</v>
      </c>
      <c r="Y20" s="2">
        <v>1</v>
      </c>
      <c r="Z20" s="11" t="s">
        <v>81</v>
      </c>
      <c r="AA20" s="20">
        <v>45184</v>
      </c>
      <c r="AB20" s="8">
        <v>4.7563624663218524</v>
      </c>
      <c r="AC20" s="33">
        <v>1</v>
      </c>
      <c r="AD20" s="31" t="s">
        <v>155</v>
      </c>
      <c r="AE20" s="31" t="s">
        <v>184</v>
      </c>
      <c r="AF20" s="31" t="s">
        <v>165</v>
      </c>
      <c r="AG20" s="31" t="s">
        <v>211</v>
      </c>
      <c r="AH20" s="6">
        <v>3</v>
      </c>
      <c r="AI20" s="2" t="s">
        <v>1181</v>
      </c>
      <c r="AJ20" s="2" t="s">
        <v>1696</v>
      </c>
    </row>
    <row r="21" spans="1:36">
      <c r="A21" s="2" t="s">
        <v>886</v>
      </c>
      <c r="B21" s="20">
        <v>45076</v>
      </c>
      <c r="C21" s="2" t="s">
        <v>487</v>
      </c>
      <c r="D21" s="6">
        <v>2</v>
      </c>
      <c r="E21" s="6">
        <v>59</v>
      </c>
      <c r="F21" s="6">
        <v>5</v>
      </c>
      <c r="G21" s="8" t="s">
        <v>256</v>
      </c>
      <c r="H21" s="8" t="s">
        <v>256</v>
      </c>
      <c r="I21" s="2" t="s">
        <v>6</v>
      </c>
      <c r="J21" s="2" t="s">
        <v>254</v>
      </c>
      <c r="K21" s="6">
        <v>300</v>
      </c>
      <c r="L21" s="6">
        <v>2</v>
      </c>
      <c r="M21" s="6">
        <v>11</v>
      </c>
      <c r="N21" s="6" t="s">
        <v>493</v>
      </c>
      <c r="O21" s="6" t="s">
        <v>493</v>
      </c>
      <c r="P21" s="6" t="s">
        <v>493</v>
      </c>
      <c r="Q21" s="6" t="s">
        <v>493</v>
      </c>
      <c r="R21" s="8">
        <v>5.93</v>
      </c>
      <c r="S21" s="20">
        <v>45076</v>
      </c>
      <c r="T21" s="20">
        <v>45147</v>
      </c>
      <c r="U21" s="33">
        <v>71</v>
      </c>
      <c r="V21" s="8">
        <v>0.37711731750024574</v>
      </c>
      <c r="W21" s="8" t="s">
        <v>256</v>
      </c>
      <c r="X21" s="2" t="s">
        <v>33</v>
      </c>
      <c r="Y21" s="2">
        <v>1</v>
      </c>
      <c r="Z21" s="11" t="s">
        <v>82</v>
      </c>
      <c r="AA21" s="20">
        <v>45184</v>
      </c>
      <c r="AB21" s="8">
        <v>1.4201230437301904</v>
      </c>
      <c r="AC21" s="33">
        <v>1</v>
      </c>
      <c r="AD21" s="31" t="s">
        <v>156</v>
      </c>
      <c r="AE21" s="31" t="s">
        <v>185</v>
      </c>
      <c r="AF21" s="31" t="s">
        <v>165</v>
      </c>
      <c r="AG21" s="31" t="s">
        <v>211</v>
      </c>
      <c r="AH21" s="6">
        <v>15</v>
      </c>
      <c r="AI21" s="2" t="s">
        <v>1182</v>
      </c>
      <c r="AJ21" s="2" t="s">
        <v>1696</v>
      </c>
    </row>
    <row r="22" spans="1:36">
      <c r="A22" s="2" t="s">
        <v>887</v>
      </c>
      <c r="B22" s="20">
        <v>45076</v>
      </c>
      <c r="C22" s="2" t="s">
        <v>487</v>
      </c>
      <c r="D22" s="6">
        <v>2</v>
      </c>
      <c r="E22" s="6">
        <v>61</v>
      </c>
      <c r="F22" s="6">
        <v>6</v>
      </c>
      <c r="G22" s="8" t="s">
        <v>256</v>
      </c>
      <c r="H22" s="8" t="s">
        <v>256</v>
      </c>
      <c r="I22" s="2" t="s">
        <v>5</v>
      </c>
      <c r="J22" s="2" t="s">
        <v>40</v>
      </c>
      <c r="K22" s="6">
        <v>300</v>
      </c>
      <c r="L22" s="6">
        <v>1</v>
      </c>
      <c r="M22" s="6">
        <v>1</v>
      </c>
      <c r="N22" s="6" t="s">
        <v>493</v>
      </c>
      <c r="O22" s="6" t="s">
        <v>493</v>
      </c>
      <c r="P22" s="6" t="s">
        <v>493</v>
      </c>
      <c r="Q22" s="6" t="s">
        <v>493</v>
      </c>
      <c r="R22" s="8">
        <v>8.3800000000000008</v>
      </c>
      <c r="S22" s="20">
        <v>45076</v>
      </c>
      <c r="T22" s="20">
        <v>45147</v>
      </c>
      <c r="U22" s="33">
        <v>71</v>
      </c>
      <c r="V22" s="8">
        <v>0.50222015733584757</v>
      </c>
      <c r="W22" s="8" t="s">
        <v>256</v>
      </c>
      <c r="X22" s="2" t="s">
        <v>33</v>
      </c>
      <c r="Y22" s="2">
        <v>1</v>
      </c>
      <c r="Z22" s="11" t="s">
        <v>83</v>
      </c>
      <c r="AA22" s="20">
        <v>45184</v>
      </c>
      <c r="AB22" s="8">
        <v>2.3064357638564381</v>
      </c>
      <c r="AC22" s="33">
        <v>1</v>
      </c>
      <c r="AD22" s="31" t="s">
        <v>157</v>
      </c>
      <c r="AE22" s="31" t="s">
        <v>186</v>
      </c>
      <c r="AF22" s="31" t="s">
        <v>165</v>
      </c>
      <c r="AG22" s="31" t="s">
        <v>211</v>
      </c>
      <c r="AH22" s="6">
        <v>27</v>
      </c>
      <c r="AI22" s="2" t="s">
        <v>1183</v>
      </c>
      <c r="AJ22" s="2" t="s">
        <v>1696</v>
      </c>
    </row>
    <row r="23" spans="1:36">
      <c r="A23" s="2" t="s">
        <v>888</v>
      </c>
      <c r="B23" s="20">
        <v>45076</v>
      </c>
      <c r="C23" s="2" t="s">
        <v>487</v>
      </c>
      <c r="D23" s="6">
        <v>2</v>
      </c>
      <c r="E23" s="6">
        <v>66</v>
      </c>
      <c r="F23" s="6">
        <v>6</v>
      </c>
      <c r="G23" s="8" t="s">
        <v>256</v>
      </c>
      <c r="H23" s="8" t="s">
        <v>256</v>
      </c>
      <c r="I23" s="2" t="s">
        <v>5</v>
      </c>
      <c r="J23" s="2" t="s">
        <v>254</v>
      </c>
      <c r="K23" s="6">
        <v>300</v>
      </c>
      <c r="L23" s="6">
        <v>1</v>
      </c>
      <c r="M23" s="6">
        <v>6</v>
      </c>
      <c r="N23" s="6" t="s">
        <v>493</v>
      </c>
      <c r="O23" s="6" t="s">
        <v>493</v>
      </c>
      <c r="P23" s="6" t="s">
        <v>493</v>
      </c>
      <c r="Q23" s="6" t="s">
        <v>493</v>
      </c>
      <c r="R23" s="8">
        <v>8.7899999999999991</v>
      </c>
      <c r="S23" s="20">
        <v>45076</v>
      </c>
      <c r="T23" s="20">
        <v>45147</v>
      </c>
      <c r="U23" s="33">
        <v>71</v>
      </c>
      <c r="V23" s="8">
        <v>0.62943894954113411</v>
      </c>
      <c r="W23" s="8" t="s">
        <v>256</v>
      </c>
      <c r="X23" s="2" t="s">
        <v>33</v>
      </c>
      <c r="Y23" s="2">
        <v>1</v>
      </c>
      <c r="Z23" s="11" t="s">
        <v>146</v>
      </c>
      <c r="AA23" s="20">
        <v>45184</v>
      </c>
      <c r="AB23" s="8">
        <v>3.2352161053419528</v>
      </c>
      <c r="AC23" s="33">
        <v>1</v>
      </c>
      <c r="AD23" s="31" t="s">
        <v>158</v>
      </c>
      <c r="AE23" s="31" t="s">
        <v>187</v>
      </c>
      <c r="AF23" s="31" t="s">
        <v>165</v>
      </c>
      <c r="AG23" s="31" t="s">
        <v>211</v>
      </c>
      <c r="AH23" s="6">
        <v>39</v>
      </c>
      <c r="AI23" s="2" t="s">
        <v>1184</v>
      </c>
      <c r="AJ23" s="2" t="s">
        <v>1696</v>
      </c>
    </row>
    <row r="24" spans="1:36">
      <c r="A24" s="2" t="s">
        <v>889</v>
      </c>
      <c r="B24" s="20">
        <v>45076</v>
      </c>
      <c r="C24" s="2" t="s">
        <v>487</v>
      </c>
      <c r="D24" s="6">
        <v>2</v>
      </c>
      <c r="E24" s="6">
        <v>68</v>
      </c>
      <c r="F24" s="6">
        <v>6</v>
      </c>
      <c r="G24" s="8" t="s">
        <v>256</v>
      </c>
      <c r="H24" s="8" t="s">
        <v>256</v>
      </c>
      <c r="I24" s="2" t="s">
        <v>5</v>
      </c>
      <c r="J24" s="2" t="s">
        <v>255</v>
      </c>
      <c r="K24" s="6">
        <v>300</v>
      </c>
      <c r="L24" s="6">
        <v>1</v>
      </c>
      <c r="M24" s="6">
        <v>8</v>
      </c>
      <c r="N24" s="6" t="s">
        <v>493</v>
      </c>
      <c r="O24" s="6" t="s">
        <v>493</v>
      </c>
      <c r="P24" s="6" t="s">
        <v>493</v>
      </c>
      <c r="Q24" s="6" t="s">
        <v>493</v>
      </c>
      <c r="R24" s="8">
        <v>7.99</v>
      </c>
      <c r="S24" s="20">
        <v>45076</v>
      </c>
      <c r="T24" s="20">
        <v>45147</v>
      </c>
      <c r="U24" s="33">
        <v>71</v>
      </c>
      <c r="V24" s="8">
        <v>0.58585715637843605</v>
      </c>
      <c r="W24" s="8" t="s">
        <v>256</v>
      </c>
      <c r="X24" s="2" t="s">
        <v>33</v>
      </c>
      <c r="Y24" s="2">
        <v>1</v>
      </c>
      <c r="Z24" s="11" t="s">
        <v>89</v>
      </c>
      <c r="AA24" s="20">
        <v>45184</v>
      </c>
      <c r="AB24" s="8">
        <v>2.4558234379436459</v>
      </c>
      <c r="AC24" s="33">
        <v>1</v>
      </c>
      <c r="AD24" s="31" t="s">
        <v>159</v>
      </c>
      <c r="AE24" s="31" t="s">
        <v>188</v>
      </c>
      <c r="AF24" s="31" t="s">
        <v>165</v>
      </c>
      <c r="AG24" s="31" t="s">
        <v>211</v>
      </c>
      <c r="AH24" s="6">
        <v>51</v>
      </c>
      <c r="AI24" s="2" t="s">
        <v>1185</v>
      </c>
      <c r="AJ24" s="2" t="s">
        <v>1696</v>
      </c>
    </row>
    <row r="25" spans="1:36">
      <c r="A25" s="2" t="s">
        <v>890</v>
      </c>
      <c r="B25" s="20">
        <v>45076</v>
      </c>
      <c r="C25" s="2" t="s">
        <v>487</v>
      </c>
      <c r="D25" s="6">
        <v>2</v>
      </c>
      <c r="E25" s="6">
        <v>72</v>
      </c>
      <c r="F25" s="6">
        <v>6</v>
      </c>
      <c r="G25" s="8" t="s">
        <v>256</v>
      </c>
      <c r="H25" s="8" t="s">
        <v>256</v>
      </c>
      <c r="I25" s="2" t="s">
        <v>5</v>
      </c>
      <c r="J25" s="2" t="s">
        <v>253</v>
      </c>
      <c r="K25" s="6">
        <v>300</v>
      </c>
      <c r="L25" s="6">
        <v>1</v>
      </c>
      <c r="M25" s="6">
        <v>12</v>
      </c>
      <c r="N25" s="6" t="s">
        <v>493</v>
      </c>
      <c r="O25" s="6" t="s">
        <v>493</v>
      </c>
      <c r="P25" s="6" t="s">
        <v>493</v>
      </c>
      <c r="Q25" s="6" t="s">
        <v>493</v>
      </c>
      <c r="R25" s="8">
        <v>11.17</v>
      </c>
      <c r="S25" s="20">
        <v>45076</v>
      </c>
      <c r="T25" s="20">
        <v>45147</v>
      </c>
      <c r="U25" s="33">
        <v>71</v>
      </c>
      <c r="V25" s="8">
        <v>0.42742237867629662</v>
      </c>
      <c r="W25" s="8" t="s">
        <v>256</v>
      </c>
      <c r="X25" s="2" t="s">
        <v>33</v>
      </c>
      <c r="Y25" s="2">
        <v>1</v>
      </c>
      <c r="Z25" s="11" t="s">
        <v>90</v>
      </c>
      <c r="AA25" s="20">
        <v>45184</v>
      </c>
      <c r="AB25" s="8">
        <v>1.6722696779625867</v>
      </c>
      <c r="AC25" s="33">
        <v>1</v>
      </c>
      <c r="AD25" s="31" t="s">
        <v>160</v>
      </c>
      <c r="AE25" s="31" t="s">
        <v>189</v>
      </c>
      <c r="AF25" s="31" t="s">
        <v>165</v>
      </c>
      <c r="AG25" s="31" t="s">
        <v>211</v>
      </c>
      <c r="AH25" s="6">
        <v>63</v>
      </c>
      <c r="AI25" s="2" t="s">
        <v>1186</v>
      </c>
      <c r="AJ25" s="2" t="s">
        <v>1696</v>
      </c>
    </row>
    <row r="26" spans="1:36">
      <c r="A26" s="2" t="s">
        <v>891</v>
      </c>
      <c r="B26" s="20">
        <v>45076</v>
      </c>
      <c r="C26" s="2" t="s">
        <v>487</v>
      </c>
      <c r="D26" s="6">
        <v>3</v>
      </c>
      <c r="E26" s="6">
        <v>75</v>
      </c>
      <c r="F26" s="6">
        <v>7</v>
      </c>
      <c r="G26" s="8" t="s">
        <v>256</v>
      </c>
      <c r="H26" s="8" t="s">
        <v>256</v>
      </c>
      <c r="I26" s="2" t="s">
        <v>4</v>
      </c>
      <c r="J26" s="2" t="s">
        <v>255</v>
      </c>
      <c r="K26" s="6">
        <v>300</v>
      </c>
      <c r="L26" s="6">
        <v>6</v>
      </c>
      <c r="M26" s="6">
        <v>15</v>
      </c>
      <c r="N26" s="6" t="s">
        <v>493</v>
      </c>
      <c r="O26" s="6" t="s">
        <v>493</v>
      </c>
      <c r="P26" s="6" t="s">
        <v>493</v>
      </c>
      <c r="Q26" s="6" t="s">
        <v>493</v>
      </c>
      <c r="R26" s="8">
        <v>5.16</v>
      </c>
      <c r="S26" s="20">
        <v>45076</v>
      </c>
      <c r="T26" s="20">
        <v>45147</v>
      </c>
      <c r="U26" s="33">
        <v>71</v>
      </c>
      <c r="V26" s="8">
        <v>0.58880356317278182</v>
      </c>
      <c r="W26" s="8" t="s">
        <v>256</v>
      </c>
      <c r="X26" s="2" t="s">
        <v>33</v>
      </c>
      <c r="Y26" s="2">
        <v>1</v>
      </c>
      <c r="Z26" s="11" t="s">
        <v>91</v>
      </c>
      <c r="AA26" s="20">
        <v>45184</v>
      </c>
      <c r="AB26" s="8">
        <v>4.1772140350315041</v>
      </c>
      <c r="AC26" s="33">
        <v>1</v>
      </c>
      <c r="AD26" s="31" t="s">
        <v>162</v>
      </c>
      <c r="AE26" s="31" t="s">
        <v>190</v>
      </c>
      <c r="AF26" s="31" t="s">
        <v>165</v>
      </c>
      <c r="AG26" s="31" t="s">
        <v>211</v>
      </c>
      <c r="AH26" s="6">
        <v>75</v>
      </c>
      <c r="AI26" s="2" t="s">
        <v>1187</v>
      </c>
      <c r="AJ26" s="2" t="s">
        <v>1696</v>
      </c>
    </row>
    <row r="27" spans="1:36">
      <c r="A27" s="2" t="s">
        <v>892</v>
      </c>
      <c r="B27" s="20">
        <v>45076</v>
      </c>
      <c r="C27" s="2" t="s">
        <v>487</v>
      </c>
      <c r="D27" s="6">
        <v>3</v>
      </c>
      <c r="E27" s="6">
        <v>80</v>
      </c>
      <c r="F27" s="6">
        <v>7</v>
      </c>
      <c r="G27" s="8" t="s">
        <v>256</v>
      </c>
      <c r="H27" s="8" t="s">
        <v>256</v>
      </c>
      <c r="I27" s="2" t="s">
        <v>4</v>
      </c>
      <c r="J27" s="2" t="s">
        <v>40</v>
      </c>
      <c r="K27" s="6">
        <v>300</v>
      </c>
      <c r="L27" s="6">
        <v>6</v>
      </c>
      <c r="M27" s="6">
        <v>20</v>
      </c>
      <c r="N27" s="6" t="s">
        <v>493</v>
      </c>
      <c r="O27" s="6" t="s">
        <v>493</v>
      </c>
      <c r="P27" s="6" t="s">
        <v>493</v>
      </c>
      <c r="Q27" s="6" t="s">
        <v>493</v>
      </c>
      <c r="R27" s="8">
        <v>5</v>
      </c>
      <c r="S27" s="20">
        <v>45076</v>
      </c>
      <c r="T27" s="20">
        <v>45147</v>
      </c>
      <c r="U27" s="33">
        <v>71</v>
      </c>
      <c r="V27" s="8">
        <v>0.52822589452455238</v>
      </c>
      <c r="W27" s="8" t="s">
        <v>256</v>
      </c>
      <c r="X27" s="2" t="s">
        <v>33</v>
      </c>
      <c r="Y27" s="2">
        <v>1</v>
      </c>
      <c r="Z27" s="11" t="s">
        <v>147</v>
      </c>
      <c r="AA27" s="20">
        <v>45184</v>
      </c>
      <c r="AB27" s="8">
        <v>3.1810551462701926</v>
      </c>
      <c r="AC27" s="33">
        <v>1</v>
      </c>
      <c r="AD27" s="31" t="s">
        <v>162</v>
      </c>
      <c r="AE27" s="31" t="s">
        <v>192</v>
      </c>
      <c r="AF27" s="31" t="s">
        <v>165</v>
      </c>
      <c r="AG27" s="31" t="s">
        <v>211</v>
      </c>
      <c r="AH27" s="6">
        <v>87</v>
      </c>
      <c r="AI27" s="2" t="s">
        <v>1188</v>
      </c>
      <c r="AJ27" s="2" t="s">
        <v>1696</v>
      </c>
    </row>
    <row r="28" spans="1:36">
      <c r="A28" s="2" t="s">
        <v>893</v>
      </c>
      <c r="B28" s="20">
        <v>45076</v>
      </c>
      <c r="C28" s="2" t="s">
        <v>487</v>
      </c>
      <c r="D28" s="6">
        <v>3</v>
      </c>
      <c r="E28" s="6">
        <v>81</v>
      </c>
      <c r="F28" s="6">
        <v>7</v>
      </c>
      <c r="G28" s="8" t="s">
        <v>256</v>
      </c>
      <c r="H28" s="8" t="s">
        <v>256</v>
      </c>
      <c r="I28" s="2" t="s">
        <v>4</v>
      </c>
      <c r="J28" s="2" t="s">
        <v>254</v>
      </c>
      <c r="K28" s="6">
        <v>300</v>
      </c>
      <c r="L28" s="6">
        <v>6</v>
      </c>
      <c r="M28" s="6">
        <v>21</v>
      </c>
      <c r="N28" s="6" t="s">
        <v>493</v>
      </c>
      <c r="O28" s="6" t="s">
        <v>493</v>
      </c>
      <c r="P28" s="6" t="s">
        <v>493</v>
      </c>
      <c r="Q28" s="6" t="s">
        <v>493</v>
      </c>
      <c r="R28" s="8">
        <v>5.25</v>
      </c>
      <c r="S28" s="20">
        <v>45076</v>
      </c>
      <c r="T28" s="20">
        <v>45147</v>
      </c>
      <c r="U28" s="33">
        <v>71</v>
      </c>
      <c r="V28" s="8">
        <v>0.27701911910855154</v>
      </c>
      <c r="W28" s="8" t="s">
        <v>256</v>
      </c>
      <c r="X28" s="2" t="s">
        <v>33</v>
      </c>
      <c r="Y28" s="2">
        <v>1</v>
      </c>
      <c r="Z28" s="11" t="s">
        <v>86</v>
      </c>
      <c r="AA28" s="20">
        <v>45184</v>
      </c>
      <c r="AB28" s="8">
        <v>2.7670153083703379</v>
      </c>
      <c r="AC28" s="33">
        <v>1</v>
      </c>
      <c r="AD28" s="31" t="s">
        <v>155</v>
      </c>
      <c r="AE28" s="31" t="s">
        <v>184</v>
      </c>
      <c r="AF28" s="31" t="s">
        <v>166</v>
      </c>
      <c r="AG28" s="31" t="s">
        <v>212</v>
      </c>
      <c r="AH28" s="6">
        <v>4</v>
      </c>
      <c r="AI28" s="2" t="s">
        <v>1189</v>
      </c>
      <c r="AJ28" s="2" t="s">
        <v>1696</v>
      </c>
    </row>
    <row r="29" spans="1:36">
      <c r="A29" s="2" t="s">
        <v>894</v>
      </c>
      <c r="B29" s="20">
        <v>45076</v>
      </c>
      <c r="C29" s="2" t="s">
        <v>487</v>
      </c>
      <c r="D29" s="6">
        <v>3</v>
      </c>
      <c r="E29" s="6">
        <v>82</v>
      </c>
      <c r="F29" s="6">
        <v>7</v>
      </c>
      <c r="G29" s="8" t="s">
        <v>256</v>
      </c>
      <c r="H29" s="8" t="s">
        <v>256</v>
      </c>
      <c r="I29" s="2" t="s">
        <v>4</v>
      </c>
      <c r="J29" s="2" t="s">
        <v>253</v>
      </c>
      <c r="K29" s="6">
        <v>300</v>
      </c>
      <c r="L29" s="6">
        <v>6</v>
      </c>
      <c r="M29" s="6">
        <v>22</v>
      </c>
      <c r="N29" s="6" t="s">
        <v>493</v>
      </c>
      <c r="O29" s="6" t="s">
        <v>493</v>
      </c>
      <c r="P29" s="6" t="s">
        <v>493</v>
      </c>
      <c r="Q29" s="6" t="s">
        <v>493</v>
      </c>
      <c r="R29" s="8">
        <v>6.22</v>
      </c>
      <c r="S29" s="20">
        <v>45076</v>
      </c>
      <c r="T29" s="20">
        <v>45147</v>
      </c>
      <c r="U29" s="33">
        <v>71</v>
      </c>
      <c r="V29" s="8">
        <v>0.14120000436841779</v>
      </c>
      <c r="W29" s="8" t="s">
        <v>256</v>
      </c>
      <c r="X29" s="2" t="s">
        <v>33</v>
      </c>
      <c r="Y29" s="2">
        <v>1</v>
      </c>
      <c r="Z29" s="11" t="s">
        <v>87</v>
      </c>
      <c r="AA29" s="20">
        <v>45184</v>
      </c>
      <c r="AB29" s="8">
        <v>1.7322161133526124</v>
      </c>
      <c r="AC29" s="33">
        <v>1</v>
      </c>
      <c r="AD29" s="31" t="s">
        <v>156</v>
      </c>
      <c r="AE29" s="31" t="s">
        <v>185</v>
      </c>
      <c r="AF29" s="31" t="s">
        <v>166</v>
      </c>
      <c r="AG29" s="31" t="s">
        <v>212</v>
      </c>
      <c r="AH29" s="6">
        <v>16</v>
      </c>
      <c r="AI29" s="2" t="s">
        <v>1190</v>
      </c>
      <c r="AJ29" s="2" t="s">
        <v>1696</v>
      </c>
    </row>
    <row r="30" spans="1:36">
      <c r="A30" s="2" t="s">
        <v>895</v>
      </c>
      <c r="B30" s="20">
        <v>45076</v>
      </c>
      <c r="C30" s="2" t="s">
        <v>487</v>
      </c>
      <c r="D30" s="6">
        <v>3</v>
      </c>
      <c r="E30" s="6">
        <v>87</v>
      </c>
      <c r="F30" s="6">
        <v>8</v>
      </c>
      <c r="G30" s="8" t="s">
        <v>256</v>
      </c>
      <c r="H30" s="8" t="s">
        <v>256</v>
      </c>
      <c r="I30" s="2" t="s">
        <v>6</v>
      </c>
      <c r="J30" s="2" t="s">
        <v>254</v>
      </c>
      <c r="K30" s="6">
        <v>300</v>
      </c>
      <c r="L30" s="6">
        <v>5</v>
      </c>
      <c r="M30" s="6">
        <v>15</v>
      </c>
      <c r="N30" s="6" t="s">
        <v>493</v>
      </c>
      <c r="O30" s="6" t="s">
        <v>493</v>
      </c>
      <c r="P30" s="6" t="s">
        <v>493</v>
      </c>
      <c r="Q30" s="6" t="s">
        <v>493</v>
      </c>
      <c r="R30" s="8">
        <v>3.83</v>
      </c>
      <c r="S30" s="20">
        <v>45076</v>
      </c>
      <c r="T30" s="20">
        <v>45147</v>
      </c>
      <c r="U30" s="33">
        <v>71</v>
      </c>
      <c r="V30" s="8">
        <v>0.28522127856308177</v>
      </c>
      <c r="W30" s="8" t="s">
        <v>256</v>
      </c>
      <c r="X30" s="2" t="s">
        <v>33</v>
      </c>
      <c r="Y30" s="2">
        <v>1</v>
      </c>
      <c r="Z30" s="11" t="s">
        <v>94</v>
      </c>
      <c r="AA30" s="20">
        <v>45184</v>
      </c>
      <c r="AB30" s="8">
        <v>1.9465902627763343</v>
      </c>
      <c r="AC30" s="33">
        <v>1</v>
      </c>
      <c r="AD30" s="31" t="s">
        <v>157</v>
      </c>
      <c r="AE30" s="31" t="s">
        <v>186</v>
      </c>
      <c r="AF30" s="31" t="s">
        <v>166</v>
      </c>
      <c r="AG30" s="31" t="s">
        <v>212</v>
      </c>
      <c r="AH30" s="6">
        <v>28</v>
      </c>
      <c r="AI30" s="2" t="s">
        <v>1191</v>
      </c>
      <c r="AJ30" s="2" t="s">
        <v>1696</v>
      </c>
    </row>
    <row r="31" spans="1:36">
      <c r="A31" s="2" t="s">
        <v>896</v>
      </c>
      <c r="B31" s="20">
        <v>45076</v>
      </c>
      <c r="C31" s="2" t="s">
        <v>487</v>
      </c>
      <c r="D31" s="6">
        <v>3</v>
      </c>
      <c r="E31" s="6">
        <v>88</v>
      </c>
      <c r="F31" s="6">
        <v>8</v>
      </c>
      <c r="G31" s="8" t="s">
        <v>256</v>
      </c>
      <c r="H31" s="8" t="s">
        <v>256</v>
      </c>
      <c r="I31" s="2" t="s">
        <v>6</v>
      </c>
      <c r="J31" s="2" t="s">
        <v>253</v>
      </c>
      <c r="K31" s="6">
        <v>300</v>
      </c>
      <c r="L31" s="6">
        <v>5</v>
      </c>
      <c r="M31" s="6">
        <v>16</v>
      </c>
      <c r="N31" s="6" t="s">
        <v>493</v>
      </c>
      <c r="O31" s="6" t="s">
        <v>493</v>
      </c>
      <c r="P31" s="6" t="s">
        <v>493</v>
      </c>
      <c r="Q31" s="6" t="s">
        <v>493</v>
      </c>
      <c r="R31" s="8">
        <v>5.0599999999999996</v>
      </c>
      <c r="S31" s="20">
        <v>45076</v>
      </c>
      <c r="T31" s="20">
        <v>45147</v>
      </c>
      <c r="U31" s="33">
        <v>71</v>
      </c>
      <c r="V31" s="8">
        <v>0.28827007014950912</v>
      </c>
      <c r="W31" s="8" t="s">
        <v>256</v>
      </c>
      <c r="X31" s="2" t="s">
        <v>33</v>
      </c>
      <c r="Y31" s="2">
        <v>1</v>
      </c>
      <c r="Z31" s="11" t="s">
        <v>102</v>
      </c>
      <c r="AA31" s="20">
        <v>45184</v>
      </c>
      <c r="AB31" s="8">
        <v>2.5196639439325041</v>
      </c>
      <c r="AC31" s="33">
        <v>1</v>
      </c>
      <c r="AD31" s="31" t="s">
        <v>158</v>
      </c>
      <c r="AE31" s="31" t="s">
        <v>187</v>
      </c>
      <c r="AF31" s="31" t="s">
        <v>166</v>
      </c>
      <c r="AG31" s="31" t="s">
        <v>212</v>
      </c>
      <c r="AH31" s="6">
        <v>40</v>
      </c>
      <c r="AI31" s="2" t="s">
        <v>1192</v>
      </c>
      <c r="AJ31" s="2" t="s">
        <v>1696</v>
      </c>
    </row>
    <row r="32" spans="1:36">
      <c r="A32" s="2" t="s">
        <v>897</v>
      </c>
      <c r="B32" s="20">
        <v>45076</v>
      </c>
      <c r="C32" s="2" t="s">
        <v>487</v>
      </c>
      <c r="D32" s="6">
        <v>3</v>
      </c>
      <c r="E32" s="6">
        <v>89</v>
      </c>
      <c r="F32" s="6">
        <v>8</v>
      </c>
      <c r="G32" s="8" t="s">
        <v>256</v>
      </c>
      <c r="H32" s="8" t="s">
        <v>256</v>
      </c>
      <c r="I32" s="2" t="s">
        <v>6</v>
      </c>
      <c r="J32" s="2" t="s">
        <v>255</v>
      </c>
      <c r="K32" s="6">
        <v>300</v>
      </c>
      <c r="L32" s="6">
        <v>5</v>
      </c>
      <c r="M32" s="6">
        <v>17</v>
      </c>
      <c r="N32" s="6" t="s">
        <v>493</v>
      </c>
      <c r="O32" s="6" t="s">
        <v>493</v>
      </c>
      <c r="P32" s="6" t="s">
        <v>493</v>
      </c>
      <c r="Q32" s="6" t="s">
        <v>493</v>
      </c>
      <c r="R32" s="8">
        <v>4.76</v>
      </c>
      <c r="S32" s="20">
        <v>45076</v>
      </c>
      <c r="T32" s="20">
        <v>45147</v>
      </c>
      <c r="U32" s="33">
        <v>71</v>
      </c>
      <c r="V32" s="8">
        <v>1.0930714163502597</v>
      </c>
      <c r="W32" s="8" t="s">
        <v>256</v>
      </c>
      <c r="X32" s="2" t="s">
        <v>33</v>
      </c>
      <c r="Y32" s="2">
        <v>3</v>
      </c>
      <c r="Z32" s="11" t="s">
        <v>76</v>
      </c>
      <c r="AA32" s="20">
        <v>45272</v>
      </c>
      <c r="AB32" s="8">
        <v>3.32</v>
      </c>
      <c r="AC32" s="33">
        <v>3</v>
      </c>
      <c r="AD32" s="31" t="s">
        <v>206</v>
      </c>
      <c r="AE32" s="31" t="s">
        <v>207</v>
      </c>
      <c r="AF32" s="31" t="s">
        <v>69</v>
      </c>
      <c r="AG32" s="31" t="s">
        <v>214</v>
      </c>
      <c r="AH32" s="6">
        <v>191</v>
      </c>
      <c r="AI32" s="2" t="s">
        <v>1193</v>
      </c>
      <c r="AJ32" s="2" t="s">
        <v>1696</v>
      </c>
    </row>
    <row r="33" spans="1:36">
      <c r="A33" s="2" t="s">
        <v>898</v>
      </c>
      <c r="B33" s="20">
        <v>45076</v>
      </c>
      <c r="C33" s="2" t="s">
        <v>487</v>
      </c>
      <c r="D33" s="6">
        <v>3</v>
      </c>
      <c r="E33" s="6">
        <v>91</v>
      </c>
      <c r="F33" s="6">
        <v>8</v>
      </c>
      <c r="G33" s="8" t="s">
        <v>256</v>
      </c>
      <c r="H33" s="8" t="s">
        <v>256</v>
      </c>
      <c r="I33" s="2" t="s">
        <v>6</v>
      </c>
      <c r="J33" s="2" t="s">
        <v>40</v>
      </c>
      <c r="K33" s="6">
        <v>300</v>
      </c>
      <c r="L33" s="6">
        <v>5</v>
      </c>
      <c r="M33" s="6">
        <v>19</v>
      </c>
      <c r="N33" s="6" t="s">
        <v>493</v>
      </c>
      <c r="O33" s="6" t="s">
        <v>493</v>
      </c>
      <c r="P33" s="6" t="s">
        <v>493</v>
      </c>
      <c r="Q33" s="6" t="s">
        <v>493</v>
      </c>
      <c r="R33" s="8">
        <v>4.5</v>
      </c>
      <c r="S33" s="20">
        <v>45076</v>
      </c>
      <c r="T33" s="20">
        <v>45147</v>
      </c>
      <c r="U33" s="33">
        <v>71</v>
      </c>
      <c r="V33" s="8">
        <v>0.54478947866573957</v>
      </c>
      <c r="W33" s="8" t="s">
        <v>256</v>
      </c>
      <c r="X33" s="2" t="s">
        <v>33</v>
      </c>
      <c r="Y33" s="2">
        <v>3</v>
      </c>
      <c r="Z33" s="11" t="s">
        <v>135</v>
      </c>
      <c r="AA33" s="20">
        <v>45272</v>
      </c>
      <c r="AB33" s="8">
        <v>1.53</v>
      </c>
      <c r="AC33" s="33">
        <v>3</v>
      </c>
      <c r="AD33" s="31" t="s">
        <v>42</v>
      </c>
      <c r="AE33" s="31" t="s">
        <v>193</v>
      </c>
      <c r="AF33" s="31" t="s">
        <v>167</v>
      </c>
      <c r="AG33" s="31" t="s">
        <v>215</v>
      </c>
      <c r="AH33" s="6">
        <v>108</v>
      </c>
      <c r="AI33" s="2" t="s">
        <v>1194</v>
      </c>
      <c r="AJ33" s="2" t="s">
        <v>1696</v>
      </c>
    </row>
    <row r="34" spans="1:36">
      <c r="A34" s="2" t="s">
        <v>899</v>
      </c>
      <c r="B34" s="20">
        <v>45076</v>
      </c>
      <c r="C34" s="2" t="s">
        <v>487</v>
      </c>
      <c r="D34" s="6">
        <v>3</v>
      </c>
      <c r="E34" s="6">
        <v>98</v>
      </c>
      <c r="F34" s="6">
        <v>9</v>
      </c>
      <c r="G34" s="8" t="s">
        <v>256</v>
      </c>
      <c r="H34" s="8" t="s">
        <v>256</v>
      </c>
      <c r="I34" s="2" t="s">
        <v>5</v>
      </c>
      <c r="J34" s="2" t="s">
        <v>253</v>
      </c>
      <c r="K34" s="6">
        <v>300</v>
      </c>
      <c r="L34" s="6">
        <v>4</v>
      </c>
      <c r="M34" s="6">
        <v>14</v>
      </c>
      <c r="N34" s="6" t="s">
        <v>493</v>
      </c>
      <c r="O34" s="6" t="s">
        <v>493</v>
      </c>
      <c r="P34" s="6" t="s">
        <v>493</v>
      </c>
      <c r="Q34" s="6" t="s">
        <v>493</v>
      </c>
      <c r="R34" s="8">
        <v>7.5</v>
      </c>
      <c r="S34" s="20">
        <v>45076</v>
      </c>
      <c r="T34" s="20">
        <v>45147</v>
      </c>
      <c r="U34" s="33">
        <v>71</v>
      </c>
      <c r="V34" s="8">
        <v>0.42560220459484743</v>
      </c>
      <c r="W34" s="8" t="s">
        <v>256</v>
      </c>
      <c r="X34" s="2" t="s">
        <v>33</v>
      </c>
      <c r="Y34" s="2">
        <v>1</v>
      </c>
      <c r="Z34" s="11" t="s">
        <v>96</v>
      </c>
      <c r="AA34" s="20">
        <v>45184</v>
      </c>
      <c r="AB34" s="8">
        <v>2.9073242350042681</v>
      </c>
      <c r="AC34" s="33">
        <v>1</v>
      </c>
      <c r="AD34" s="31" t="s">
        <v>191</v>
      </c>
      <c r="AE34" s="31" t="s">
        <v>190</v>
      </c>
      <c r="AF34" s="31" t="s">
        <v>166</v>
      </c>
      <c r="AG34" s="31" t="s">
        <v>212</v>
      </c>
      <c r="AH34" s="6">
        <v>76</v>
      </c>
      <c r="AI34" s="2" t="s">
        <v>1195</v>
      </c>
      <c r="AJ34" s="2" t="s">
        <v>1696</v>
      </c>
    </row>
    <row r="35" spans="1:36">
      <c r="A35" s="2" t="s">
        <v>900</v>
      </c>
      <c r="B35" s="20">
        <v>45076</v>
      </c>
      <c r="C35" s="2" t="s">
        <v>487</v>
      </c>
      <c r="D35" s="6">
        <v>3</v>
      </c>
      <c r="E35" s="6">
        <v>100</v>
      </c>
      <c r="F35" s="6">
        <v>9</v>
      </c>
      <c r="G35" s="8" t="s">
        <v>256</v>
      </c>
      <c r="H35" s="8" t="s">
        <v>256</v>
      </c>
      <c r="I35" s="2" t="s">
        <v>5</v>
      </c>
      <c r="J35" s="2" t="s">
        <v>40</v>
      </c>
      <c r="K35" s="6">
        <v>300</v>
      </c>
      <c r="L35" s="6">
        <v>4</v>
      </c>
      <c r="M35" s="6">
        <v>16</v>
      </c>
      <c r="N35" s="6" t="s">
        <v>493</v>
      </c>
      <c r="O35" s="6" t="s">
        <v>493</v>
      </c>
      <c r="P35" s="6" t="s">
        <v>493</v>
      </c>
      <c r="Q35" s="6" t="s">
        <v>493</v>
      </c>
      <c r="R35" s="8">
        <v>6.55</v>
      </c>
      <c r="S35" s="20">
        <v>45076</v>
      </c>
      <c r="T35" s="20">
        <v>45147</v>
      </c>
      <c r="U35" s="33">
        <v>71</v>
      </c>
      <c r="V35" s="8">
        <v>0.64409135089679981</v>
      </c>
      <c r="W35" s="8" t="s">
        <v>256</v>
      </c>
      <c r="X35" s="2" t="s">
        <v>33</v>
      </c>
      <c r="Y35" s="2">
        <v>1</v>
      </c>
      <c r="Z35" s="11" t="s">
        <v>149</v>
      </c>
      <c r="AA35" s="20">
        <v>45184</v>
      </c>
      <c r="AB35" s="8">
        <v>2.7727896587726066</v>
      </c>
      <c r="AC35" s="33">
        <v>1</v>
      </c>
      <c r="AD35" s="31" t="s">
        <v>162</v>
      </c>
      <c r="AE35" s="31" t="s">
        <v>192</v>
      </c>
      <c r="AF35" s="31" t="s">
        <v>166</v>
      </c>
      <c r="AG35" s="31" t="s">
        <v>212</v>
      </c>
      <c r="AH35" s="6">
        <v>88</v>
      </c>
      <c r="AI35" s="2" t="s">
        <v>1196</v>
      </c>
      <c r="AJ35" s="2" t="s">
        <v>1696</v>
      </c>
    </row>
    <row r="36" spans="1:36">
      <c r="A36" s="2" t="s">
        <v>901</v>
      </c>
      <c r="B36" s="20">
        <v>45076</v>
      </c>
      <c r="C36" s="2" t="s">
        <v>487</v>
      </c>
      <c r="D36" s="6">
        <v>3</v>
      </c>
      <c r="E36" s="6">
        <v>104</v>
      </c>
      <c r="F36" s="6">
        <v>9</v>
      </c>
      <c r="G36" s="8" t="s">
        <v>256</v>
      </c>
      <c r="H36" s="8" t="s">
        <v>256</v>
      </c>
      <c r="I36" s="2" t="s">
        <v>5</v>
      </c>
      <c r="J36" s="2" t="s">
        <v>254</v>
      </c>
      <c r="K36" s="6">
        <v>300</v>
      </c>
      <c r="L36" s="6">
        <v>4</v>
      </c>
      <c r="M36" s="6">
        <v>20</v>
      </c>
      <c r="N36" s="6" t="s">
        <v>493</v>
      </c>
      <c r="O36" s="6" t="s">
        <v>493</v>
      </c>
      <c r="P36" s="6" t="s">
        <v>493</v>
      </c>
      <c r="Q36" s="6" t="s">
        <v>493</v>
      </c>
      <c r="R36" s="8">
        <v>6.9</v>
      </c>
      <c r="S36" s="20">
        <v>45076</v>
      </c>
      <c r="T36" s="20">
        <v>45147</v>
      </c>
      <c r="U36" s="33">
        <v>71</v>
      </c>
      <c r="V36" s="8">
        <v>0.43480545979417473</v>
      </c>
      <c r="W36" s="8" t="s">
        <v>256</v>
      </c>
      <c r="X36" s="2" t="s">
        <v>33</v>
      </c>
      <c r="Y36" s="2">
        <v>1</v>
      </c>
      <c r="Z36" s="11" t="s">
        <v>92</v>
      </c>
      <c r="AA36" s="20">
        <v>45184</v>
      </c>
      <c r="AB36" s="8">
        <v>2.8711093784351265</v>
      </c>
      <c r="AC36" s="33">
        <v>1</v>
      </c>
      <c r="AD36" s="31" t="s">
        <v>155</v>
      </c>
      <c r="AE36" s="31" t="s">
        <v>184</v>
      </c>
      <c r="AF36" s="31" t="s">
        <v>43</v>
      </c>
      <c r="AG36" s="31" t="s">
        <v>213</v>
      </c>
      <c r="AH36" s="6">
        <v>5</v>
      </c>
      <c r="AI36" s="2" t="s">
        <v>1197</v>
      </c>
      <c r="AJ36" s="2" t="s">
        <v>1696</v>
      </c>
    </row>
    <row r="37" spans="1:36">
      <c r="A37" s="2" t="s">
        <v>902</v>
      </c>
      <c r="B37" s="20">
        <v>45076</v>
      </c>
      <c r="C37" s="2" t="s">
        <v>487</v>
      </c>
      <c r="D37" s="6">
        <v>3</v>
      </c>
      <c r="E37" s="6">
        <v>107</v>
      </c>
      <c r="F37" s="6">
        <v>9</v>
      </c>
      <c r="G37" s="8" t="s">
        <v>256</v>
      </c>
      <c r="H37" s="8" t="s">
        <v>256</v>
      </c>
      <c r="I37" s="2" t="s">
        <v>5</v>
      </c>
      <c r="J37" s="2" t="s">
        <v>255</v>
      </c>
      <c r="K37" s="6">
        <v>300</v>
      </c>
      <c r="L37" s="6">
        <v>4</v>
      </c>
      <c r="M37" s="6">
        <v>23</v>
      </c>
      <c r="N37" s="6" t="s">
        <v>493</v>
      </c>
      <c r="O37" s="6" t="s">
        <v>493</v>
      </c>
      <c r="P37" s="6" t="s">
        <v>493</v>
      </c>
      <c r="Q37" s="6" t="s">
        <v>493</v>
      </c>
      <c r="R37" s="8">
        <v>6.6</v>
      </c>
      <c r="S37" s="20">
        <v>45076</v>
      </c>
      <c r="T37" s="20">
        <v>45147</v>
      </c>
      <c r="U37" s="33">
        <v>71</v>
      </c>
      <c r="V37" s="8">
        <v>0.69171165530271317</v>
      </c>
      <c r="W37" s="8" t="s">
        <v>256</v>
      </c>
      <c r="X37" s="2" t="s">
        <v>33</v>
      </c>
      <c r="Y37" s="2">
        <v>1</v>
      </c>
      <c r="Z37" s="11" t="s">
        <v>99</v>
      </c>
      <c r="AA37" s="20">
        <v>45184</v>
      </c>
      <c r="AB37" s="8">
        <v>1.65781711308292</v>
      </c>
      <c r="AC37" s="33">
        <v>1</v>
      </c>
      <c r="AD37" s="31" t="s">
        <v>156</v>
      </c>
      <c r="AE37" s="31" t="s">
        <v>185</v>
      </c>
      <c r="AF37" s="31" t="s">
        <v>43</v>
      </c>
      <c r="AG37" s="31" t="s">
        <v>213</v>
      </c>
      <c r="AH37" s="6">
        <v>17</v>
      </c>
      <c r="AI37" s="2" t="s">
        <v>1198</v>
      </c>
      <c r="AJ37" s="2" t="s">
        <v>1696</v>
      </c>
    </row>
    <row r="38" spans="1:36">
      <c r="A38" s="2" t="s">
        <v>903</v>
      </c>
      <c r="B38" s="20">
        <v>45083</v>
      </c>
      <c r="C38" s="2" t="s">
        <v>487</v>
      </c>
      <c r="D38" s="6">
        <v>1</v>
      </c>
      <c r="E38" s="6">
        <v>3</v>
      </c>
      <c r="F38" s="6">
        <v>1</v>
      </c>
      <c r="G38" s="8" t="s">
        <v>256</v>
      </c>
      <c r="H38" s="8" t="s">
        <v>256</v>
      </c>
      <c r="I38" s="2" t="s">
        <v>5</v>
      </c>
      <c r="J38" s="2" t="s">
        <v>40</v>
      </c>
      <c r="K38" s="6">
        <v>300</v>
      </c>
      <c r="L38" s="6">
        <v>6</v>
      </c>
      <c r="M38" s="6">
        <v>3</v>
      </c>
      <c r="N38" s="6" t="s">
        <v>493</v>
      </c>
      <c r="O38" s="6" t="s">
        <v>493</v>
      </c>
      <c r="P38" s="6" t="s">
        <v>493</v>
      </c>
      <c r="Q38" s="6" t="s">
        <v>493</v>
      </c>
      <c r="R38" s="8">
        <v>7</v>
      </c>
      <c r="S38" s="20">
        <v>45083</v>
      </c>
      <c r="T38" s="20">
        <v>45148</v>
      </c>
      <c r="U38" s="33">
        <v>65</v>
      </c>
      <c r="V38" s="8">
        <v>0.35410286434876598</v>
      </c>
      <c r="W38" s="8" t="s">
        <v>256</v>
      </c>
      <c r="X38" s="2" t="s">
        <v>33</v>
      </c>
      <c r="Y38" s="2">
        <v>1</v>
      </c>
      <c r="Z38" s="11" t="s">
        <v>100</v>
      </c>
      <c r="AA38" s="20">
        <v>45184</v>
      </c>
      <c r="AB38" s="8">
        <v>0.93389826284397992</v>
      </c>
      <c r="AC38" s="33">
        <v>1</v>
      </c>
      <c r="AD38" s="31" t="s">
        <v>157</v>
      </c>
      <c r="AE38" s="31" t="s">
        <v>186</v>
      </c>
      <c r="AF38" s="31" t="s">
        <v>43</v>
      </c>
      <c r="AG38" s="31" t="s">
        <v>213</v>
      </c>
      <c r="AH38" s="6">
        <v>29</v>
      </c>
      <c r="AI38" s="2" t="s">
        <v>1199</v>
      </c>
      <c r="AJ38" s="2" t="s">
        <v>1696</v>
      </c>
    </row>
    <row r="39" spans="1:36">
      <c r="A39" s="2" t="s">
        <v>904</v>
      </c>
      <c r="B39" s="20">
        <v>45083</v>
      </c>
      <c r="C39" s="2" t="s">
        <v>487</v>
      </c>
      <c r="D39" s="6">
        <v>1</v>
      </c>
      <c r="E39" s="6">
        <v>5</v>
      </c>
      <c r="F39" s="6">
        <v>1</v>
      </c>
      <c r="G39" s="8" t="s">
        <v>256</v>
      </c>
      <c r="H39" s="8" t="s">
        <v>256</v>
      </c>
      <c r="I39" s="2" t="s">
        <v>5</v>
      </c>
      <c r="J39" s="2" t="s">
        <v>255</v>
      </c>
      <c r="K39" s="6">
        <v>300</v>
      </c>
      <c r="L39" s="6">
        <v>6</v>
      </c>
      <c r="M39" s="6">
        <v>5</v>
      </c>
      <c r="N39" s="6" t="s">
        <v>493</v>
      </c>
      <c r="O39" s="6" t="s">
        <v>493</v>
      </c>
      <c r="P39" s="6" t="s">
        <v>493</v>
      </c>
      <c r="Q39" s="6" t="s">
        <v>493</v>
      </c>
      <c r="R39" s="8">
        <v>5.8</v>
      </c>
      <c r="S39" s="20">
        <v>45083</v>
      </c>
      <c r="T39" s="20">
        <v>45148</v>
      </c>
      <c r="U39" s="33">
        <v>65</v>
      </c>
      <c r="V39" s="8">
        <v>0.62048711576145499</v>
      </c>
      <c r="W39" s="8" t="s">
        <v>256</v>
      </c>
      <c r="X39" s="2" t="s">
        <v>33</v>
      </c>
      <c r="Y39" s="2">
        <v>1</v>
      </c>
      <c r="Z39" s="11" t="s">
        <v>141</v>
      </c>
      <c r="AA39" s="20">
        <v>45184</v>
      </c>
      <c r="AB39" s="8">
        <v>0.65384783129195023</v>
      </c>
      <c r="AC39" s="33">
        <v>1</v>
      </c>
      <c r="AD39" s="31" t="s">
        <v>158</v>
      </c>
      <c r="AE39" s="31" t="s">
        <v>187</v>
      </c>
      <c r="AF39" s="31" t="s">
        <v>43</v>
      </c>
      <c r="AG39" s="31" t="s">
        <v>213</v>
      </c>
      <c r="AH39" s="6">
        <v>41</v>
      </c>
      <c r="AI39" s="2" t="s">
        <v>1200</v>
      </c>
      <c r="AJ39" s="2" t="s">
        <v>1696</v>
      </c>
    </row>
    <row r="40" spans="1:36">
      <c r="A40" s="2" t="s">
        <v>905</v>
      </c>
      <c r="B40" s="20">
        <v>45083</v>
      </c>
      <c r="C40" s="2" t="s">
        <v>487</v>
      </c>
      <c r="D40" s="6">
        <v>1</v>
      </c>
      <c r="E40" s="6">
        <v>9</v>
      </c>
      <c r="F40" s="6">
        <v>1</v>
      </c>
      <c r="G40" s="8" t="s">
        <v>256</v>
      </c>
      <c r="H40" s="8" t="s">
        <v>256</v>
      </c>
      <c r="I40" s="2" t="s">
        <v>5</v>
      </c>
      <c r="J40" s="2" t="s">
        <v>254</v>
      </c>
      <c r="K40" s="6">
        <v>300</v>
      </c>
      <c r="L40" s="6">
        <v>6</v>
      </c>
      <c r="M40" s="6">
        <v>9</v>
      </c>
      <c r="N40" s="6" t="s">
        <v>493</v>
      </c>
      <c r="O40" s="6" t="s">
        <v>493</v>
      </c>
      <c r="P40" s="6" t="s">
        <v>493</v>
      </c>
      <c r="Q40" s="6" t="s">
        <v>493</v>
      </c>
      <c r="R40" s="8">
        <v>5.7</v>
      </c>
      <c r="S40" s="20">
        <v>45083</v>
      </c>
      <c r="T40" s="20">
        <v>45148</v>
      </c>
      <c r="U40" s="33">
        <v>65</v>
      </c>
      <c r="V40" s="8">
        <v>0.43465233328063707</v>
      </c>
      <c r="W40" s="8" t="s">
        <v>256</v>
      </c>
      <c r="X40" s="2" t="s">
        <v>33</v>
      </c>
      <c r="Y40" s="2">
        <v>1</v>
      </c>
      <c r="Z40" s="11" t="s">
        <v>101</v>
      </c>
      <c r="AA40" s="20">
        <v>45184</v>
      </c>
      <c r="AB40" s="8">
        <v>1.5595641489163803</v>
      </c>
      <c r="AC40" s="33">
        <v>1</v>
      </c>
      <c r="AD40" s="31" t="s">
        <v>159</v>
      </c>
      <c r="AE40" s="31" t="s">
        <v>188</v>
      </c>
      <c r="AF40" s="31" t="s">
        <v>43</v>
      </c>
      <c r="AG40" s="31" t="s">
        <v>213</v>
      </c>
      <c r="AH40" s="6">
        <v>53</v>
      </c>
      <c r="AI40" s="2" t="s">
        <v>1201</v>
      </c>
      <c r="AJ40" s="2" t="s">
        <v>1696</v>
      </c>
    </row>
    <row r="41" spans="1:36">
      <c r="A41" s="2" t="s">
        <v>906</v>
      </c>
      <c r="B41" s="20">
        <v>45083</v>
      </c>
      <c r="C41" s="2" t="s">
        <v>487</v>
      </c>
      <c r="D41" s="6">
        <v>1</v>
      </c>
      <c r="E41" s="6">
        <v>10</v>
      </c>
      <c r="F41" s="6">
        <v>1</v>
      </c>
      <c r="G41" s="8" t="s">
        <v>256</v>
      </c>
      <c r="H41" s="8" t="s">
        <v>256</v>
      </c>
      <c r="I41" s="2" t="s">
        <v>5</v>
      </c>
      <c r="J41" s="2" t="s">
        <v>253</v>
      </c>
      <c r="K41" s="6">
        <v>300</v>
      </c>
      <c r="L41" s="6">
        <v>6</v>
      </c>
      <c r="M41" s="6">
        <v>10</v>
      </c>
      <c r="N41" s="6" t="s">
        <v>493</v>
      </c>
      <c r="O41" s="6" t="s">
        <v>493</v>
      </c>
      <c r="P41" s="6" t="s">
        <v>493</v>
      </c>
      <c r="Q41" s="6" t="s">
        <v>493</v>
      </c>
      <c r="R41" s="8">
        <v>7.4</v>
      </c>
      <c r="S41" s="20">
        <v>45083</v>
      </c>
      <c r="T41" s="20">
        <v>45148</v>
      </c>
      <c r="U41" s="33">
        <v>65</v>
      </c>
      <c r="V41" s="8">
        <v>0.21085785241857508</v>
      </c>
      <c r="W41" s="8" t="s">
        <v>256</v>
      </c>
      <c r="X41" s="2" t="s">
        <v>33</v>
      </c>
      <c r="Y41" s="2">
        <v>1</v>
      </c>
      <c r="Z41" s="11" t="s">
        <v>93</v>
      </c>
      <c r="AA41" s="20">
        <v>45184</v>
      </c>
      <c r="AB41" s="8">
        <v>1.9127563522304791</v>
      </c>
      <c r="AC41" s="33">
        <v>1</v>
      </c>
      <c r="AD41" s="31" t="s">
        <v>160</v>
      </c>
      <c r="AE41" s="31" t="s">
        <v>189</v>
      </c>
      <c r="AF41" s="31" t="s">
        <v>43</v>
      </c>
      <c r="AG41" s="31" t="s">
        <v>213</v>
      </c>
      <c r="AH41" s="6">
        <v>65</v>
      </c>
      <c r="AI41" s="2" t="s">
        <v>1202</v>
      </c>
      <c r="AJ41" s="2" t="s">
        <v>1696</v>
      </c>
    </row>
    <row r="42" spans="1:36">
      <c r="A42" s="2" t="s">
        <v>907</v>
      </c>
      <c r="B42" s="20">
        <v>45083</v>
      </c>
      <c r="C42" s="2" t="s">
        <v>487</v>
      </c>
      <c r="D42" s="6">
        <v>1</v>
      </c>
      <c r="E42" s="6">
        <v>17</v>
      </c>
      <c r="F42" s="6">
        <v>2</v>
      </c>
      <c r="G42" s="8" t="s">
        <v>256</v>
      </c>
      <c r="H42" s="8" t="s">
        <v>256</v>
      </c>
      <c r="I42" s="2" t="s">
        <v>4</v>
      </c>
      <c r="J42" s="2" t="s">
        <v>253</v>
      </c>
      <c r="K42" s="6">
        <v>300</v>
      </c>
      <c r="L42" s="6">
        <v>5</v>
      </c>
      <c r="M42" s="6">
        <v>5</v>
      </c>
      <c r="N42" s="6" t="s">
        <v>493</v>
      </c>
      <c r="O42" s="6" t="s">
        <v>493</v>
      </c>
      <c r="P42" s="6" t="s">
        <v>493</v>
      </c>
      <c r="Q42" s="6" t="s">
        <v>493</v>
      </c>
      <c r="R42" s="8">
        <v>5.5</v>
      </c>
      <c r="S42" s="20">
        <v>45083</v>
      </c>
      <c r="T42" s="20">
        <v>45148</v>
      </c>
      <c r="U42" s="33">
        <v>65</v>
      </c>
      <c r="V42" s="8">
        <v>0.44322313684976783</v>
      </c>
      <c r="W42" s="8" t="s">
        <v>256</v>
      </c>
      <c r="X42" s="2" t="s">
        <v>33</v>
      </c>
      <c r="Y42" s="2">
        <v>1</v>
      </c>
      <c r="Z42" s="11" t="s">
        <v>104</v>
      </c>
      <c r="AA42" s="20">
        <v>45184</v>
      </c>
      <c r="AB42" s="8">
        <v>4.9161751236979336</v>
      </c>
      <c r="AC42" s="33">
        <v>1</v>
      </c>
      <c r="AD42" s="31" t="s">
        <v>42</v>
      </c>
      <c r="AE42" s="31" t="s">
        <v>190</v>
      </c>
      <c r="AF42" s="31" t="s">
        <v>43</v>
      </c>
      <c r="AG42" s="31" t="s">
        <v>213</v>
      </c>
      <c r="AH42" s="6">
        <v>77</v>
      </c>
      <c r="AI42" s="2" t="s">
        <v>1203</v>
      </c>
      <c r="AJ42" s="2" t="s">
        <v>1696</v>
      </c>
    </row>
    <row r="43" spans="1:36">
      <c r="A43" s="2" t="s">
        <v>908</v>
      </c>
      <c r="B43" s="20">
        <v>45083</v>
      </c>
      <c r="C43" s="2" t="s">
        <v>487</v>
      </c>
      <c r="D43" s="6">
        <v>1</v>
      </c>
      <c r="E43" s="6">
        <v>18</v>
      </c>
      <c r="F43" s="6">
        <v>2</v>
      </c>
      <c r="G43" s="8" t="s">
        <v>256</v>
      </c>
      <c r="H43" s="8" t="s">
        <v>256</v>
      </c>
      <c r="I43" s="2" t="s">
        <v>4</v>
      </c>
      <c r="J43" s="2" t="s">
        <v>40</v>
      </c>
      <c r="K43" s="6">
        <v>300</v>
      </c>
      <c r="L43" s="6">
        <v>5</v>
      </c>
      <c r="M43" s="6">
        <v>6</v>
      </c>
      <c r="N43" s="6" t="s">
        <v>493</v>
      </c>
      <c r="O43" s="6" t="s">
        <v>493</v>
      </c>
      <c r="P43" s="6" t="s">
        <v>493</v>
      </c>
      <c r="Q43" s="6" t="s">
        <v>493</v>
      </c>
      <c r="R43" s="8">
        <v>6.2</v>
      </c>
      <c r="S43" s="20">
        <v>45083</v>
      </c>
      <c r="T43" s="20">
        <v>45148</v>
      </c>
      <c r="U43" s="33">
        <v>65</v>
      </c>
      <c r="V43" s="8">
        <v>0.78864030750113057</v>
      </c>
      <c r="W43" s="8" t="s">
        <v>256</v>
      </c>
      <c r="X43" s="2" t="s">
        <v>33</v>
      </c>
      <c r="Y43" s="2">
        <v>1</v>
      </c>
      <c r="Z43" s="11" t="s">
        <v>243</v>
      </c>
      <c r="AA43" s="20">
        <v>45184</v>
      </c>
      <c r="AB43" s="8">
        <v>1.6602203109381994</v>
      </c>
      <c r="AC43" s="33">
        <v>1</v>
      </c>
      <c r="AD43" s="31" t="s">
        <v>162</v>
      </c>
      <c r="AE43" s="31" t="s">
        <v>192</v>
      </c>
      <c r="AF43" s="31" t="s">
        <v>43</v>
      </c>
      <c r="AG43" s="31" t="s">
        <v>213</v>
      </c>
      <c r="AH43" s="6">
        <v>89</v>
      </c>
      <c r="AI43" s="2" t="s">
        <v>1204</v>
      </c>
      <c r="AJ43" s="2" t="s">
        <v>1696</v>
      </c>
    </row>
    <row r="44" spans="1:36">
      <c r="A44" s="2" t="s">
        <v>909</v>
      </c>
      <c r="B44" s="20">
        <v>45083</v>
      </c>
      <c r="C44" s="2" t="s">
        <v>487</v>
      </c>
      <c r="D44" s="6">
        <v>1</v>
      </c>
      <c r="E44" s="6">
        <v>22</v>
      </c>
      <c r="F44" s="6">
        <v>2</v>
      </c>
      <c r="G44" s="8" t="s">
        <v>256</v>
      </c>
      <c r="H44" s="8" t="s">
        <v>256</v>
      </c>
      <c r="I44" s="2" t="s">
        <v>4</v>
      </c>
      <c r="J44" s="2" t="s">
        <v>254</v>
      </c>
      <c r="K44" s="6">
        <v>300</v>
      </c>
      <c r="L44" s="6">
        <v>5</v>
      </c>
      <c r="M44" s="6">
        <v>10</v>
      </c>
      <c r="N44" s="6" t="s">
        <v>493</v>
      </c>
      <c r="O44" s="6" t="s">
        <v>493</v>
      </c>
      <c r="P44" s="6" t="s">
        <v>493</v>
      </c>
      <c r="Q44" s="6" t="s">
        <v>493</v>
      </c>
      <c r="R44" s="8">
        <v>5.4</v>
      </c>
      <c r="S44" s="20">
        <v>45083</v>
      </c>
      <c r="T44" s="20">
        <v>45148</v>
      </c>
      <c r="U44" s="33">
        <v>65</v>
      </c>
      <c r="V44" s="8">
        <v>1.4654235861161253</v>
      </c>
      <c r="W44" s="8" t="s">
        <v>256</v>
      </c>
      <c r="X44" s="2" t="s">
        <v>33</v>
      </c>
      <c r="Y44" s="2">
        <v>1</v>
      </c>
      <c r="Z44" s="11" t="s">
        <v>95</v>
      </c>
      <c r="AA44" s="20">
        <v>45184</v>
      </c>
      <c r="AB44" s="8">
        <v>2.6992918576986442</v>
      </c>
      <c r="AC44" s="33">
        <v>1</v>
      </c>
      <c r="AD44" s="31" t="s">
        <v>155</v>
      </c>
      <c r="AE44" s="31" t="s">
        <v>184</v>
      </c>
      <c r="AF44" s="31" t="s">
        <v>168</v>
      </c>
      <c r="AG44" s="31" t="s">
        <v>216</v>
      </c>
      <c r="AH44" s="6">
        <v>6</v>
      </c>
      <c r="AI44" s="2" t="s">
        <v>1205</v>
      </c>
      <c r="AJ44" s="2" t="s">
        <v>1696</v>
      </c>
    </row>
    <row r="45" spans="1:36">
      <c r="A45" s="2" t="s">
        <v>910</v>
      </c>
      <c r="B45" s="20">
        <v>45083</v>
      </c>
      <c r="C45" s="2" t="s">
        <v>487</v>
      </c>
      <c r="D45" s="6">
        <v>1</v>
      </c>
      <c r="E45" s="6">
        <v>24</v>
      </c>
      <c r="F45" s="6">
        <v>2</v>
      </c>
      <c r="G45" s="8" t="s">
        <v>256</v>
      </c>
      <c r="H45" s="8" t="s">
        <v>256</v>
      </c>
      <c r="I45" s="2" t="s">
        <v>4</v>
      </c>
      <c r="J45" s="2" t="s">
        <v>255</v>
      </c>
      <c r="K45" s="6">
        <v>300</v>
      </c>
      <c r="L45" s="6">
        <v>5</v>
      </c>
      <c r="M45" s="6">
        <v>12</v>
      </c>
      <c r="N45" s="6" t="s">
        <v>493</v>
      </c>
      <c r="O45" s="6" t="s">
        <v>493</v>
      </c>
      <c r="P45" s="6" t="s">
        <v>493</v>
      </c>
      <c r="Q45" s="6" t="s">
        <v>493</v>
      </c>
      <c r="R45" s="8">
        <v>6.8</v>
      </c>
      <c r="S45" s="20">
        <v>45083</v>
      </c>
      <c r="T45" s="20">
        <v>45148</v>
      </c>
      <c r="U45" s="33">
        <v>65</v>
      </c>
      <c r="V45" s="8">
        <v>0.60104770605774283</v>
      </c>
      <c r="W45" s="8" t="s">
        <v>256</v>
      </c>
      <c r="X45" s="2" t="s">
        <v>33</v>
      </c>
      <c r="Y45" s="2">
        <v>1</v>
      </c>
      <c r="Z45" s="11" t="s">
        <v>106</v>
      </c>
      <c r="AA45" s="20">
        <v>45184</v>
      </c>
      <c r="AB45" s="8">
        <v>2.816492256807503</v>
      </c>
      <c r="AC45" s="33">
        <v>1</v>
      </c>
      <c r="AD45" s="31" t="s">
        <v>156</v>
      </c>
      <c r="AE45" s="31" t="s">
        <v>185</v>
      </c>
      <c r="AF45" s="31" t="s">
        <v>168</v>
      </c>
      <c r="AG45" s="31" t="s">
        <v>216</v>
      </c>
      <c r="AH45" s="6">
        <v>18</v>
      </c>
      <c r="AI45" s="2" t="s">
        <v>1206</v>
      </c>
      <c r="AJ45" s="2" t="s">
        <v>1696</v>
      </c>
    </row>
    <row r="46" spans="1:36">
      <c r="A46" s="2" t="s">
        <v>911</v>
      </c>
      <c r="B46" s="20">
        <v>45083</v>
      </c>
      <c r="C46" s="2" t="s">
        <v>487</v>
      </c>
      <c r="D46" s="6">
        <v>1</v>
      </c>
      <c r="E46" s="6">
        <v>25</v>
      </c>
      <c r="F46" s="6">
        <v>3</v>
      </c>
      <c r="G46" s="8" t="s">
        <v>256</v>
      </c>
      <c r="H46" s="8" t="s">
        <v>256</v>
      </c>
      <c r="I46" s="2" t="s">
        <v>6</v>
      </c>
      <c r="J46" s="2" t="s">
        <v>253</v>
      </c>
      <c r="K46" s="6">
        <v>300</v>
      </c>
      <c r="L46" s="6">
        <v>4</v>
      </c>
      <c r="M46" s="6">
        <v>1</v>
      </c>
      <c r="N46" s="6" t="s">
        <v>493</v>
      </c>
      <c r="O46" s="6" t="s">
        <v>493</v>
      </c>
      <c r="P46" s="6" t="s">
        <v>493</v>
      </c>
      <c r="Q46" s="6" t="s">
        <v>493</v>
      </c>
      <c r="R46" s="8">
        <v>2.9</v>
      </c>
      <c r="S46" s="20">
        <v>45083</v>
      </c>
      <c r="T46" s="20">
        <v>45148</v>
      </c>
      <c r="U46" s="33">
        <v>65</v>
      </c>
      <c r="V46" s="8">
        <v>0.47268096573884461</v>
      </c>
      <c r="W46" s="8" t="s">
        <v>256</v>
      </c>
      <c r="X46" s="2" t="s">
        <v>33</v>
      </c>
      <c r="Y46" s="2">
        <v>3</v>
      </c>
      <c r="Z46" s="11" t="s">
        <v>128</v>
      </c>
      <c r="AA46" s="20">
        <v>45272</v>
      </c>
      <c r="AB46" s="8">
        <v>1.49</v>
      </c>
      <c r="AC46" s="33">
        <v>3</v>
      </c>
      <c r="AD46" s="31" t="s">
        <v>194</v>
      </c>
      <c r="AE46" s="31" t="s">
        <v>195</v>
      </c>
      <c r="AF46" s="31" t="s">
        <v>167</v>
      </c>
      <c r="AG46" s="31" t="s">
        <v>215</v>
      </c>
      <c r="AH46" s="6">
        <v>120</v>
      </c>
      <c r="AI46" s="2" t="s">
        <v>1207</v>
      </c>
      <c r="AJ46" s="2" t="s">
        <v>1696</v>
      </c>
    </row>
    <row r="47" spans="1:36">
      <c r="A47" s="2" t="s">
        <v>912</v>
      </c>
      <c r="B47" s="20">
        <v>45083</v>
      </c>
      <c r="C47" s="2" t="s">
        <v>487</v>
      </c>
      <c r="D47" s="6">
        <v>1</v>
      </c>
      <c r="E47" s="6">
        <v>26</v>
      </c>
      <c r="F47" s="6">
        <v>3</v>
      </c>
      <c r="G47" s="8" t="s">
        <v>256</v>
      </c>
      <c r="H47" s="8" t="s">
        <v>256</v>
      </c>
      <c r="I47" s="2" t="s">
        <v>6</v>
      </c>
      <c r="J47" s="2" t="s">
        <v>255</v>
      </c>
      <c r="K47" s="6">
        <v>300</v>
      </c>
      <c r="L47" s="6">
        <v>4</v>
      </c>
      <c r="M47" s="6">
        <v>2</v>
      </c>
      <c r="N47" s="6" t="s">
        <v>493</v>
      </c>
      <c r="O47" s="6" t="s">
        <v>493</v>
      </c>
      <c r="P47" s="6" t="s">
        <v>493</v>
      </c>
      <c r="Q47" s="6" t="s">
        <v>493</v>
      </c>
      <c r="R47" s="8">
        <v>4.8</v>
      </c>
      <c r="S47" s="20">
        <v>45083</v>
      </c>
      <c r="T47" s="20">
        <v>45148</v>
      </c>
      <c r="U47" s="33">
        <v>65</v>
      </c>
      <c r="V47" s="8">
        <v>0.74956617487564292</v>
      </c>
      <c r="W47" s="8" t="s">
        <v>256</v>
      </c>
      <c r="X47" s="2" t="s">
        <v>33</v>
      </c>
      <c r="Y47" s="2">
        <v>1</v>
      </c>
      <c r="Z47" s="11" t="s">
        <v>97</v>
      </c>
      <c r="AA47" s="20">
        <v>45184</v>
      </c>
      <c r="AB47" s="8">
        <v>0.5693464992972872</v>
      </c>
      <c r="AC47" s="33">
        <v>1</v>
      </c>
      <c r="AD47" s="31" t="s">
        <v>158</v>
      </c>
      <c r="AE47" s="31" t="s">
        <v>187</v>
      </c>
      <c r="AF47" s="31" t="s">
        <v>168</v>
      </c>
      <c r="AG47" s="31" t="s">
        <v>216</v>
      </c>
      <c r="AH47" s="6">
        <v>42</v>
      </c>
      <c r="AI47" s="2" t="s">
        <v>1208</v>
      </c>
      <c r="AJ47" s="2" t="s">
        <v>1696</v>
      </c>
    </row>
    <row r="48" spans="1:36">
      <c r="A48" s="2" t="s">
        <v>913</v>
      </c>
      <c r="B48" s="20">
        <v>45083</v>
      </c>
      <c r="C48" s="2" t="s">
        <v>487</v>
      </c>
      <c r="D48" s="6">
        <v>1</v>
      </c>
      <c r="E48" s="6">
        <v>28</v>
      </c>
      <c r="F48" s="6">
        <v>3</v>
      </c>
      <c r="G48" s="8" t="s">
        <v>256</v>
      </c>
      <c r="H48" s="8" t="s">
        <v>256</v>
      </c>
      <c r="I48" s="2" t="s">
        <v>6</v>
      </c>
      <c r="J48" s="2" t="s">
        <v>254</v>
      </c>
      <c r="K48" s="6">
        <v>300</v>
      </c>
      <c r="L48" s="6">
        <v>4</v>
      </c>
      <c r="M48" s="6">
        <v>4</v>
      </c>
      <c r="N48" s="6" t="s">
        <v>493</v>
      </c>
      <c r="O48" s="6" t="s">
        <v>493</v>
      </c>
      <c r="P48" s="6" t="s">
        <v>493</v>
      </c>
      <c r="Q48" s="6" t="s">
        <v>493</v>
      </c>
      <c r="R48" s="8">
        <v>3.7</v>
      </c>
      <c r="S48" s="20">
        <v>45083</v>
      </c>
      <c r="T48" s="20">
        <v>45148</v>
      </c>
      <c r="U48" s="33">
        <v>65</v>
      </c>
      <c r="V48" s="8">
        <v>0.48958130360773383</v>
      </c>
      <c r="W48" s="8" t="s">
        <v>256</v>
      </c>
      <c r="X48" s="2" t="s">
        <v>33</v>
      </c>
      <c r="Y48" s="2">
        <v>1</v>
      </c>
      <c r="Z48" s="11" t="s">
        <v>98</v>
      </c>
      <c r="AA48" s="20">
        <v>45184</v>
      </c>
      <c r="AB48" s="8">
        <v>0.9787913338905192</v>
      </c>
      <c r="AC48" s="33">
        <v>1</v>
      </c>
      <c r="AD48" s="31" t="s">
        <v>159</v>
      </c>
      <c r="AE48" s="31" t="s">
        <v>188</v>
      </c>
      <c r="AF48" s="31" t="s">
        <v>168</v>
      </c>
      <c r="AG48" s="31" t="s">
        <v>216</v>
      </c>
      <c r="AH48" s="6">
        <v>54</v>
      </c>
      <c r="AI48" s="2" t="s">
        <v>1209</v>
      </c>
      <c r="AJ48" s="2" t="s">
        <v>1696</v>
      </c>
    </row>
    <row r="49" spans="1:36">
      <c r="A49" s="2" t="s">
        <v>914</v>
      </c>
      <c r="B49" s="20">
        <v>45083</v>
      </c>
      <c r="C49" s="2" t="s">
        <v>487</v>
      </c>
      <c r="D49" s="6">
        <v>1</v>
      </c>
      <c r="E49" s="6">
        <v>35</v>
      </c>
      <c r="F49" s="6">
        <v>3</v>
      </c>
      <c r="G49" s="8" t="s">
        <v>256</v>
      </c>
      <c r="H49" s="8" t="s">
        <v>256</v>
      </c>
      <c r="I49" s="2" t="s">
        <v>6</v>
      </c>
      <c r="J49" s="2" t="s">
        <v>40</v>
      </c>
      <c r="K49" s="6">
        <v>300</v>
      </c>
      <c r="L49" s="6">
        <v>4</v>
      </c>
      <c r="M49" s="6">
        <v>11</v>
      </c>
      <c r="N49" s="6" t="s">
        <v>493</v>
      </c>
      <c r="O49" s="6" t="s">
        <v>493</v>
      </c>
      <c r="P49" s="6" t="s">
        <v>493</v>
      </c>
      <c r="Q49" s="6" t="s">
        <v>493</v>
      </c>
      <c r="R49" s="8">
        <v>3.8</v>
      </c>
      <c r="S49" s="20">
        <v>45083</v>
      </c>
      <c r="T49" s="20">
        <v>45148</v>
      </c>
      <c r="U49" s="33">
        <v>65</v>
      </c>
      <c r="V49" s="8">
        <v>1.1106428700105515</v>
      </c>
      <c r="W49" s="8" t="s">
        <v>256</v>
      </c>
      <c r="X49" s="2" t="s">
        <v>33</v>
      </c>
      <c r="Y49" s="2">
        <v>1</v>
      </c>
      <c r="Z49" s="11" t="s">
        <v>109</v>
      </c>
      <c r="AA49" s="20">
        <v>45184</v>
      </c>
      <c r="AB49" s="8">
        <v>0.67036981654699634</v>
      </c>
      <c r="AC49" s="33">
        <v>1</v>
      </c>
      <c r="AD49" s="31" t="s">
        <v>160</v>
      </c>
      <c r="AE49" s="31" t="s">
        <v>189</v>
      </c>
      <c r="AF49" s="31" t="s">
        <v>168</v>
      </c>
      <c r="AG49" s="31" t="s">
        <v>216</v>
      </c>
      <c r="AH49" s="6">
        <v>66</v>
      </c>
      <c r="AI49" s="2" t="s">
        <v>1210</v>
      </c>
      <c r="AJ49" s="2" t="s">
        <v>1696</v>
      </c>
    </row>
    <row r="50" spans="1:36">
      <c r="A50" s="2" t="s">
        <v>915</v>
      </c>
      <c r="B50" s="20">
        <v>45083</v>
      </c>
      <c r="C50" s="2" t="s">
        <v>487</v>
      </c>
      <c r="D50" s="6">
        <v>2</v>
      </c>
      <c r="E50" s="6">
        <v>37</v>
      </c>
      <c r="F50" s="6">
        <v>4</v>
      </c>
      <c r="G50" s="8" t="s">
        <v>256</v>
      </c>
      <c r="H50" s="8" t="s">
        <v>256</v>
      </c>
      <c r="I50" s="2" t="s">
        <v>4</v>
      </c>
      <c r="J50" s="2" t="s">
        <v>40</v>
      </c>
      <c r="K50" s="6">
        <v>300</v>
      </c>
      <c r="L50" s="6">
        <v>3</v>
      </c>
      <c r="M50" s="6">
        <v>1</v>
      </c>
      <c r="N50" s="6" t="s">
        <v>493</v>
      </c>
      <c r="O50" s="6" t="s">
        <v>493</v>
      </c>
      <c r="P50" s="6" t="s">
        <v>493</v>
      </c>
      <c r="Q50" s="6" t="s">
        <v>493</v>
      </c>
      <c r="R50" s="8">
        <v>4</v>
      </c>
      <c r="S50" s="20">
        <v>45083</v>
      </c>
      <c r="T50" s="20">
        <v>45148</v>
      </c>
      <c r="U50" s="33">
        <v>65</v>
      </c>
      <c r="V50" s="8">
        <v>0.57469191063202441</v>
      </c>
      <c r="W50" s="8" t="s">
        <v>256</v>
      </c>
      <c r="X50" s="2" t="s">
        <v>33</v>
      </c>
      <c r="Y50" s="2">
        <v>1</v>
      </c>
      <c r="Z50" s="11" t="s">
        <v>110</v>
      </c>
      <c r="AA50" s="20">
        <v>45184</v>
      </c>
      <c r="AB50" s="8">
        <v>0.28997474862105399</v>
      </c>
      <c r="AC50" s="33">
        <v>1</v>
      </c>
      <c r="AD50" s="31" t="s">
        <v>45</v>
      </c>
      <c r="AE50" s="31" t="s">
        <v>190</v>
      </c>
      <c r="AF50" s="31" t="s">
        <v>168</v>
      </c>
      <c r="AG50" s="31" t="s">
        <v>216</v>
      </c>
      <c r="AH50" s="6">
        <v>78</v>
      </c>
      <c r="AI50" s="2" t="s">
        <v>1211</v>
      </c>
      <c r="AJ50" s="2" t="s">
        <v>1696</v>
      </c>
    </row>
    <row r="51" spans="1:36">
      <c r="A51" s="2" t="s">
        <v>916</v>
      </c>
      <c r="B51" s="20">
        <v>45083</v>
      </c>
      <c r="C51" s="2" t="s">
        <v>487</v>
      </c>
      <c r="D51" s="6">
        <v>2</v>
      </c>
      <c r="E51" s="6">
        <v>38</v>
      </c>
      <c r="F51" s="6">
        <v>4</v>
      </c>
      <c r="G51" s="8" t="s">
        <v>256</v>
      </c>
      <c r="H51" s="8" t="s">
        <v>256</v>
      </c>
      <c r="I51" s="2" t="s">
        <v>4</v>
      </c>
      <c r="J51" s="2" t="s">
        <v>255</v>
      </c>
      <c r="K51" s="6">
        <v>300</v>
      </c>
      <c r="L51" s="6">
        <v>3</v>
      </c>
      <c r="M51" s="6">
        <v>2</v>
      </c>
      <c r="N51" s="6" t="s">
        <v>493</v>
      </c>
      <c r="O51" s="6" t="s">
        <v>493</v>
      </c>
      <c r="P51" s="6" t="s">
        <v>493</v>
      </c>
      <c r="Q51" s="6" t="s">
        <v>493</v>
      </c>
      <c r="R51" s="8">
        <v>4.5</v>
      </c>
      <c r="S51" s="20">
        <v>45083</v>
      </c>
      <c r="T51" s="20">
        <v>45148</v>
      </c>
      <c r="U51" s="33">
        <v>65</v>
      </c>
      <c r="V51" s="8">
        <v>0.35308034220714046</v>
      </c>
      <c r="W51" s="8" t="s">
        <v>256</v>
      </c>
      <c r="X51" s="2" t="s">
        <v>33</v>
      </c>
      <c r="Y51" s="2">
        <v>1</v>
      </c>
      <c r="Z51" s="11" t="s">
        <v>150</v>
      </c>
      <c r="AA51" s="20">
        <v>45184</v>
      </c>
      <c r="AB51" s="8">
        <v>2.9770837283033513</v>
      </c>
      <c r="AC51" s="33">
        <v>1</v>
      </c>
      <c r="AD51" s="31" t="s">
        <v>162</v>
      </c>
      <c r="AE51" s="31" t="s">
        <v>192</v>
      </c>
      <c r="AF51" s="31" t="s">
        <v>168</v>
      </c>
      <c r="AG51" s="31" t="s">
        <v>216</v>
      </c>
      <c r="AH51" s="6">
        <v>90</v>
      </c>
      <c r="AI51" s="2" t="s">
        <v>1212</v>
      </c>
      <c r="AJ51" s="2" t="s">
        <v>1696</v>
      </c>
    </row>
    <row r="52" spans="1:36">
      <c r="A52" s="2" t="s">
        <v>917</v>
      </c>
      <c r="B52" s="20">
        <v>45083</v>
      </c>
      <c r="C52" s="2" t="s">
        <v>487</v>
      </c>
      <c r="D52" s="6">
        <v>2</v>
      </c>
      <c r="E52" s="6">
        <v>41</v>
      </c>
      <c r="F52" s="6">
        <v>4</v>
      </c>
      <c r="G52" s="8" t="s">
        <v>256</v>
      </c>
      <c r="H52" s="8" t="s">
        <v>256</v>
      </c>
      <c r="I52" s="2" t="s">
        <v>4</v>
      </c>
      <c r="J52" s="2" t="s">
        <v>253</v>
      </c>
      <c r="K52" s="6">
        <v>300</v>
      </c>
      <c r="L52" s="6">
        <v>3</v>
      </c>
      <c r="M52" s="6">
        <v>5</v>
      </c>
      <c r="N52" s="6" t="s">
        <v>493</v>
      </c>
      <c r="O52" s="6" t="s">
        <v>493</v>
      </c>
      <c r="P52" s="6" t="s">
        <v>493</v>
      </c>
      <c r="Q52" s="6" t="s">
        <v>493</v>
      </c>
      <c r="R52" s="8">
        <v>3.9</v>
      </c>
      <c r="S52" s="20">
        <v>45083</v>
      </c>
      <c r="T52" s="20">
        <v>45148</v>
      </c>
      <c r="U52" s="33">
        <v>65</v>
      </c>
      <c r="V52" s="8">
        <v>0.47608171353571155</v>
      </c>
      <c r="W52" s="8" t="s">
        <v>256</v>
      </c>
      <c r="X52" s="2" t="s">
        <v>34</v>
      </c>
      <c r="Y52" s="2">
        <v>4</v>
      </c>
      <c r="Z52" s="11" t="s">
        <v>86</v>
      </c>
      <c r="AA52" s="20">
        <v>45279</v>
      </c>
      <c r="AB52" s="8">
        <v>3.8410000000000002</v>
      </c>
      <c r="AC52" s="33">
        <v>4</v>
      </c>
      <c r="AD52" s="31" t="s">
        <v>42</v>
      </c>
      <c r="AE52" s="31" t="s">
        <v>193</v>
      </c>
      <c r="AF52" s="31" t="s">
        <v>176</v>
      </c>
      <c r="AG52" s="31" t="s">
        <v>224</v>
      </c>
      <c r="AH52" s="6">
        <v>292</v>
      </c>
      <c r="AI52" s="2" t="s">
        <v>1213</v>
      </c>
      <c r="AJ52" s="2" t="s">
        <v>1696</v>
      </c>
    </row>
    <row r="53" spans="1:36">
      <c r="A53" s="2" t="s">
        <v>918</v>
      </c>
      <c r="B53" s="20">
        <v>45083</v>
      </c>
      <c r="C53" s="2" t="s">
        <v>487</v>
      </c>
      <c r="D53" s="6">
        <v>2</v>
      </c>
      <c r="E53" s="6">
        <v>44</v>
      </c>
      <c r="F53" s="6">
        <v>4</v>
      </c>
      <c r="G53" s="8" t="s">
        <v>256</v>
      </c>
      <c r="H53" s="8" t="s">
        <v>256</v>
      </c>
      <c r="I53" s="2" t="s">
        <v>4</v>
      </c>
      <c r="J53" s="2" t="s">
        <v>254</v>
      </c>
      <c r="K53" s="6">
        <v>300</v>
      </c>
      <c r="L53" s="6">
        <v>3</v>
      </c>
      <c r="M53" s="6">
        <v>8</v>
      </c>
      <c r="N53" s="6" t="s">
        <v>493</v>
      </c>
      <c r="O53" s="6" t="s">
        <v>493</v>
      </c>
      <c r="P53" s="6" t="s">
        <v>493</v>
      </c>
      <c r="Q53" s="6" t="s">
        <v>493</v>
      </c>
      <c r="R53" s="8">
        <v>3.5</v>
      </c>
      <c r="S53" s="20">
        <v>45083</v>
      </c>
      <c r="T53" s="20">
        <v>45148</v>
      </c>
      <c r="U53" s="33">
        <v>65</v>
      </c>
      <c r="V53" s="8">
        <v>0.38104459942867436</v>
      </c>
      <c r="W53" s="8" t="s">
        <v>256</v>
      </c>
      <c r="X53" s="2" t="s">
        <v>33</v>
      </c>
      <c r="Y53" s="2">
        <v>1</v>
      </c>
      <c r="Z53" s="11" t="s">
        <v>112</v>
      </c>
      <c r="AA53" s="20">
        <v>45184</v>
      </c>
      <c r="AB53" s="8">
        <v>1.4437544893071046</v>
      </c>
      <c r="AC53" s="33">
        <v>1</v>
      </c>
      <c r="AD53" s="31" t="s">
        <v>156</v>
      </c>
      <c r="AE53" s="31" t="s">
        <v>185</v>
      </c>
      <c r="AF53" s="31" t="s">
        <v>169</v>
      </c>
      <c r="AG53" s="31" t="s">
        <v>217</v>
      </c>
      <c r="AH53" s="6">
        <v>19</v>
      </c>
      <c r="AI53" s="2" t="s">
        <v>1214</v>
      </c>
      <c r="AJ53" s="2" t="s">
        <v>1696</v>
      </c>
    </row>
    <row r="54" spans="1:36">
      <c r="A54" s="2" t="s">
        <v>919</v>
      </c>
      <c r="B54" s="20">
        <v>45083</v>
      </c>
      <c r="C54" s="2" t="s">
        <v>487</v>
      </c>
      <c r="D54" s="6">
        <v>2</v>
      </c>
      <c r="E54" s="6">
        <v>51</v>
      </c>
      <c r="F54" s="6">
        <v>5</v>
      </c>
      <c r="G54" s="8" t="s">
        <v>256</v>
      </c>
      <c r="H54" s="8" t="s">
        <v>256</v>
      </c>
      <c r="I54" s="2" t="s">
        <v>6</v>
      </c>
      <c r="J54" s="2" t="s">
        <v>40</v>
      </c>
      <c r="K54" s="6">
        <v>300</v>
      </c>
      <c r="L54" s="6">
        <v>2</v>
      </c>
      <c r="M54" s="6">
        <v>3</v>
      </c>
      <c r="N54" s="6" t="s">
        <v>493</v>
      </c>
      <c r="O54" s="6" t="s">
        <v>493</v>
      </c>
      <c r="P54" s="6" t="s">
        <v>493</v>
      </c>
      <c r="Q54" s="6" t="s">
        <v>493</v>
      </c>
      <c r="R54" s="8">
        <v>3.4</v>
      </c>
      <c r="S54" s="20">
        <v>45083</v>
      </c>
      <c r="T54" s="20">
        <v>45148</v>
      </c>
      <c r="U54" s="33">
        <v>65</v>
      </c>
      <c r="V54" s="8">
        <v>0.32598924996047779</v>
      </c>
      <c r="W54" s="8" t="s">
        <v>256</v>
      </c>
      <c r="X54" s="2" t="s">
        <v>33</v>
      </c>
      <c r="Y54" s="2">
        <v>1</v>
      </c>
      <c r="Z54" s="11" t="s">
        <v>151</v>
      </c>
      <c r="AA54" s="20">
        <v>45184</v>
      </c>
      <c r="AB54" s="8">
        <v>1.467552823623969</v>
      </c>
      <c r="AC54" s="33">
        <v>1</v>
      </c>
      <c r="AD54" s="31" t="s">
        <v>157</v>
      </c>
      <c r="AE54" s="31" t="s">
        <v>186</v>
      </c>
      <c r="AF54" s="31" t="s">
        <v>169</v>
      </c>
      <c r="AG54" s="31" t="s">
        <v>217</v>
      </c>
      <c r="AH54" s="6">
        <v>31</v>
      </c>
      <c r="AI54" s="2" t="s">
        <v>1215</v>
      </c>
      <c r="AJ54" s="2" t="s">
        <v>1696</v>
      </c>
    </row>
    <row r="55" spans="1:36">
      <c r="A55" s="2" t="s">
        <v>920</v>
      </c>
      <c r="B55" s="20">
        <v>45083</v>
      </c>
      <c r="C55" s="2" t="s">
        <v>487</v>
      </c>
      <c r="D55" s="6">
        <v>2</v>
      </c>
      <c r="E55" s="6">
        <v>53</v>
      </c>
      <c r="F55" s="6">
        <v>5</v>
      </c>
      <c r="G55" s="8" t="s">
        <v>256</v>
      </c>
      <c r="H55" s="8" t="s">
        <v>256</v>
      </c>
      <c r="I55" s="2" t="s">
        <v>6</v>
      </c>
      <c r="J55" s="2" t="s">
        <v>255</v>
      </c>
      <c r="K55" s="6">
        <v>300</v>
      </c>
      <c r="L55" s="6">
        <v>2</v>
      </c>
      <c r="M55" s="6">
        <v>5</v>
      </c>
      <c r="N55" s="6" t="s">
        <v>493</v>
      </c>
      <c r="O55" s="6" t="s">
        <v>493</v>
      </c>
      <c r="P55" s="6" t="s">
        <v>493</v>
      </c>
      <c r="Q55" s="6" t="s">
        <v>493</v>
      </c>
      <c r="R55" s="8">
        <v>3.9</v>
      </c>
      <c r="S55" s="20">
        <v>45083</v>
      </c>
      <c r="T55" s="20">
        <v>45148</v>
      </c>
      <c r="U55" s="33">
        <v>65</v>
      </c>
      <c r="V55" s="8">
        <v>0.62041818168449148</v>
      </c>
      <c r="W55" s="8" t="s">
        <v>256</v>
      </c>
      <c r="X55" s="2" t="s">
        <v>33</v>
      </c>
      <c r="Y55" s="2">
        <v>1</v>
      </c>
      <c r="Z55" s="11" t="s">
        <v>152</v>
      </c>
      <c r="AA55" s="20">
        <v>45184</v>
      </c>
      <c r="AB55" s="8">
        <v>5.1487067680282115</v>
      </c>
      <c r="AC55" s="33">
        <v>1</v>
      </c>
      <c r="AD55" s="31" t="s">
        <v>158</v>
      </c>
      <c r="AE55" s="31" t="s">
        <v>187</v>
      </c>
      <c r="AF55" s="31" t="s">
        <v>169</v>
      </c>
      <c r="AG55" s="31" t="s">
        <v>217</v>
      </c>
      <c r="AH55" s="6">
        <v>43</v>
      </c>
      <c r="AI55" s="2" t="s">
        <v>1216</v>
      </c>
      <c r="AJ55" s="2" t="s">
        <v>1696</v>
      </c>
    </row>
    <row r="56" spans="1:36">
      <c r="A56" s="2" t="s">
        <v>921</v>
      </c>
      <c r="B56" s="20">
        <v>45083</v>
      </c>
      <c r="C56" s="2" t="s">
        <v>487</v>
      </c>
      <c r="D56" s="6">
        <v>2</v>
      </c>
      <c r="E56" s="6">
        <v>55</v>
      </c>
      <c r="F56" s="6">
        <v>5</v>
      </c>
      <c r="G56" s="8" t="s">
        <v>256</v>
      </c>
      <c r="H56" s="8" t="s">
        <v>256</v>
      </c>
      <c r="I56" s="2" t="s">
        <v>6</v>
      </c>
      <c r="J56" s="2" t="s">
        <v>253</v>
      </c>
      <c r="K56" s="6">
        <v>300</v>
      </c>
      <c r="L56" s="6">
        <v>2</v>
      </c>
      <c r="M56" s="6">
        <v>7</v>
      </c>
      <c r="N56" s="6" t="s">
        <v>493</v>
      </c>
      <c r="O56" s="6" t="s">
        <v>493</v>
      </c>
      <c r="P56" s="6" t="s">
        <v>493</v>
      </c>
      <c r="Q56" s="6" t="s">
        <v>493</v>
      </c>
      <c r="R56" s="8">
        <v>4.3</v>
      </c>
      <c r="S56" s="20">
        <v>45083</v>
      </c>
      <c r="T56" s="20">
        <v>45148</v>
      </c>
      <c r="U56" s="33">
        <v>65</v>
      </c>
      <c r="V56" s="8">
        <v>0.17335771455042115</v>
      </c>
      <c r="W56" s="8" t="s">
        <v>256</v>
      </c>
      <c r="X56" s="2" t="s">
        <v>33</v>
      </c>
      <c r="Y56" s="2">
        <v>1</v>
      </c>
      <c r="Z56" s="11" t="s">
        <v>105</v>
      </c>
      <c r="AA56" s="20">
        <v>45184</v>
      </c>
      <c r="AB56" s="8">
        <v>2.2627220399055452</v>
      </c>
      <c r="AC56" s="33">
        <v>1</v>
      </c>
      <c r="AD56" s="31" t="s">
        <v>159</v>
      </c>
      <c r="AE56" s="31" t="s">
        <v>188</v>
      </c>
      <c r="AF56" s="31" t="s">
        <v>169</v>
      </c>
      <c r="AG56" s="31" t="s">
        <v>217</v>
      </c>
      <c r="AH56" s="6">
        <v>55</v>
      </c>
      <c r="AI56" s="2" t="s">
        <v>1217</v>
      </c>
      <c r="AJ56" s="2" t="s">
        <v>1696</v>
      </c>
    </row>
    <row r="57" spans="1:36">
      <c r="A57" s="2" t="s">
        <v>922</v>
      </c>
      <c r="B57" s="20">
        <v>45083</v>
      </c>
      <c r="C57" s="2" t="s">
        <v>487</v>
      </c>
      <c r="D57" s="6">
        <v>2</v>
      </c>
      <c r="E57" s="6">
        <v>59</v>
      </c>
      <c r="F57" s="6">
        <v>5</v>
      </c>
      <c r="G57" s="8" t="s">
        <v>256</v>
      </c>
      <c r="H57" s="8" t="s">
        <v>256</v>
      </c>
      <c r="I57" s="2" t="s">
        <v>6</v>
      </c>
      <c r="J57" s="2" t="s">
        <v>254</v>
      </c>
      <c r="K57" s="6">
        <v>300</v>
      </c>
      <c r="L57" s="6">
        <v>2</v>
      </c>
      <c r="M57" s="6">
        <v>11</v>
      </c>
      <c r="N57" s="6" t="s">
        <v>493</v>
      </c>
      <c r="O57" s="6" t="s">
        <v>493</v>
      </c>
      <c r="P57" s="6" t="s">
        <v>493</v>
      </c>
      <c r="Q57" s="6" t="s">
        <v>493</v>
      </c>
      <c r="R57" s="8">
        <v>3.2</v>
      </c>
      <c r="S57" s="20">
        <v>45083</v>
      </c>
      <c r="T57" s="20">
        <v>45148</v>
      </c>
      <c r="U57" s="33">
        <v>65</v>
      </c>
      <c r="V57" s="8">
        <v>0.24076375280791473</v>
      </c>
      <c r="W57" s="8" t="s">
        <v>256</v>
      </c>
      <c r="X57" s="2" t="s">
        <v>33</v>
      </c>
      <c r="Y57" s="2">
        <v>1</v>
      </c>
      <c r="Z57" s="11" t="s">
        <v>116</v>
      </c>
      <c r="AA57" s="20">
        <v>45184</v>
      </c>
      <c r="AB57" s="8">
        <v>1.7319602172846891</v>
      </c>
      <c r="AC57" s="33">
        <v>1</v>
      </c>
      <c r="AD57" s="31" t="s">
        <v>160</v>
      </c>
      <c r="AE57" s="31" t="s">
        <v>189</v>
      </c>
      <c r="AF57" s="31" t="s">
        <v>169</v>
      </c>
      <c r="AG57" s="31" t="s">
        <v>217</v>
      </c>
      <c r="AH57" s="6">
        <v>67</v>
      </c>
      <c r="AI57" s="2" t="s">
        <v>1218</v>
      </c>
      <c r="AJ57" s="2" t="s">
        <v>1696</v>
      </c>
    </row>
    <row r="58" spans="1:36">
      <c r="A58" s="2" t="s">
        <v>923</v>
      </c>
      <c r="B58" s="20">
        <v>45083</v>
      </c>
      <c r="C58" s="2" t="s">
        <v>487</v>
      </c>
      <c r="D58" s="6">
        <v>2</v>
      </c>
      <c r="E58" s="6">
        <v>61</v>
      </c>
      <c r="F58" s="6">
        <v>6</v>
      </c>
      <c r="G58" s="8" t="s">
        <v>256</v>
      </c>
      <c r="H58" s="8" t="s">
        <v>256</v>
      </c>
      <c r="I58" s="2" t="s">
        <v>5</v>
      </c>
      <c r="J58" s="2" t="s">
        <v>40</v>
      </c>
      <c r="K58" s="6">
        <v>300</v>
      </c>
      <c r="L58" s="6">
        <v>1</v>
      </c>
      <c r="M58" s="6">
        <v>1</v>
      </c>
      <c r="N58" s="6" t="s">
        <v>493</v>
      </c>
      <c r="O58" s="6" t="s">
        <v>493</v>
      </c>
      <c r="P58" s="6" t="s">
        <v>493</v>
      </c>
      <c r="Q58" s="6" t="s">
        <v>493</v>
      </c>
      <c r="R58" s="8">
        <v>5.2</v>
      </c>
      <c r="S58" s="20">
        <v>45083</v>
      </c>
      <c r="T58" s="20">
        <v>45148</v>
      </c>
      <c r="U58" s="33">
        <v>65</v>
      </c>
      <c r="V58" s="8">
        <v>0.20687116496751826</v>
      </c>
      <c r="W58" s="8" t="s">
        <v>256</v>
      </c>
      <c r="X58" s="2" t="s">
        <v>33</v>
      </c>
      <c r="Y58" s="2">
        <v>3</v>
      </c>
      <c r="Z58" s="11" t="s">
        <v>136</v>
      </c>
      <c r="AA58" s="20">
        <v>45272</v>
      </c>
      <c r="AB58" s="8">
        <v>1.87</v>
      </c>
      <c r="AC58" s="33">
        <v>3</v>
      </c>
      <c r="AD58" s="31" t="s">
        <v>196</v>
      </c>
      <c r="AE58" s="31" t="s">
        <v>197</v>
      </c>
      <c r="AF58" s="31" t="s">
        <v>167</v>
      </c>
      <c r="AG58" s="31" t="s">
        <v>215</v>
      </c>
      <c r="AH58" s="6">
        <v>132</v>
      </c>
      <c r="AI58" s="2" t="s">
        <v>1219</v>
      </c>
      <c r="AJ58" s="2" t="s">
        <v>1696</v>
      </c>
    </row>
    <row r="59" spans="1:36">
      <c r="A59" s="2" t="s">
        <v>924</v>
      </c>
      <c r="B59" s="20">
        <v>45083</v>
      </c>
      <c r="C59" s="2" t="s">
        <v>487</v>
      </c>
      <c r="D59" s="6">
        <v>2</v>
      </c>
      <c r="E59" s="6">
        <v>66</v>
      </c>
      <c r="F59" s="6">
        <v>6</v>
      </c>
      <c r="G59" s="8" t="s">
        <v>256</v>
      </c>
      <c r="H59" s="8" t="s">
        <v>256</v>
      </c>
      <c r="I59" s="2" t="s">
        <v>5</v>
      </c>
      <c r="J59" s="2" t="s">
        <v>254</v>
      </c>
      <c r="K59" s="6">
        <v>300</v>
      </c>
      <c r="L59" s="6">
        <v>1</v>
      </c>
      <c r="M59" s="6">
        <v>6</v>
      </c>
      <c r="N59" s="6" t="s">
        <v>493</v>
      </c>
      <c r="O59" s="6" t="s">
        <v>493</v>
      </c>
      <c r="P59" s="6" t="s">
        <v>493</v>
      </c>
      <c r="Q59" s="6" t="s">
        <v>493</v>
      </c>
      <c r="R59" s="8">
        <v>5.9</v>
      </c>
      <c r="S59" s="20">
        <v>45083</v>
      </c>
      <c r="T59" s="20">
        <v>45148</v>
      </c>
      <c r="U59" s="33">
        <v>65</v>
      </c>
      <c r="V59" s="8">
        <v>0.36353534387994074</v>
      </c>
      <c r="W59" s="8" t="s">
        <v>256</v>
      </c>
      <c r="X59" s="2" t="s">
        <v>33</v>
      </c>
      <c r="Y59" s="2">
        <v>1</v>
      </c>
      <c r="Z59" s="11" t="s">
        <v>142</v>
      </c>
      <c r="AA59" s="20">
        <v>45184</v>
      </c>
      <c r="AB59" s="8">
        <v>2.6811788664560754</v>
      </c>
      <c r="AC59" s="33">
        <v>1</v>
      </c>
      <c r="AD59" s="31" t="s">
        <v>162</v>
      </c>
      <c r="AE59" s="31" t="s">
        <v>192</v>
      </c>
      <c r="AF59" s="31" t="s">
        <v>169</v>
      </c>
      <c r="AG59" s="31" t="s">
        <v>217</v>
      </c>
      <c r="AH59" s="6">
        <v>91</v>
      </c>
      <c r="AI59" s="2" t="s">
        <v>1220</v>
      </c>
      <c r="AJ59" s="2" t="s">
        <v>1696</v>
      </c>
    </row>
    <row r="60" spans="1:36">
      <c r="A60" s="2" t="s">
        <v>925</v>
      </c>
      <c r="B60" s="20">
        <v>45083</v>
      </c>
      <c r="C60" s="2" t="s">
        <v>487</v>
      </c>
      <c r="D60" s="6">
        <v>2</v>
      </c>
      <c r="E60" s="6">
        <v>68</v>
      </c>
      <c r="F60" s="6">
        <v>6</v>
      </c>
      <c r="G60" s="8" t="s">
        <v>256</v>
      </c>
      <c r="H60" s="8" t="s">
        <v>256</v>
      </c>
      <c r="I60" s="2" t="s">
        <v>5</v>
      </c>
      <c r="J60" s="2" t="s">
        <v>255</v>
      </c>
      <c r="K60" s="6">
        <v>300</v>
      </c>
      <c r="L60" s="6">
        <v>1</v>
      </c>
      <c r="M60" s="6">
        <v>8</v>
      </c>
      <c r="N60" s="6" t="s">
        <v>493</v>
      </c>
      <c r="O60" s="6" t="s">
        <v>493</v>
      </c>
      <c r="P60" s="6" t="s">
        <v>493</v>
      </c>
      <c r="Q60" s="6" t="s">
        <v>493</v>
      </c>
      <c r="R60" s="8">
        <v>5.4</v>
      </c>
      <c r="S60" s="20">
        <v>45083</v>
      </c>
      <c r="T60" s="20">
        <v>45148</v>
      </c>
      <c r="U60" s="33">
        <v>65</v>
      </c>
      <c r="V60" s="8">
        <v>0.3510467869367167</v>
      </c>
      <c r="W60" s="8" t="s">
        <v>256</v>
      </c>
      <c r="X60" s="2" t="s">
        <v>33</v>
      </c>
      <c r="Y60" s="2">
        <v>1</v>
      </c>
      <c r="Z60" s="11" t="s">
        <v>108</v>
      </c>
      <c r="AA60" s="20">
        <v>45184</v>
      </c>
      <c r="AB60" s="8">
        <v>2.6207873944261832</v>
      </c>
      <c r="AC60" s="33">
        <v>1</v>
      </c>
      <c r="AD60" s="31" t="s">
        <v>155</v>
      </c>
      <c r="AE60" s="31" t="s">
        <v>184</v>
      </c>
      <c r="AF60" s="31" t="s">
        <v>172</v>
      </c>
      <c r="AG60" s="31" t="s">
        <v>220</v>
      </c>
      <c r="AH60" s="6">
        <v>8</v>
      </c>
      <c r="AI60" s="2" t="s">
        <v>1221</v>
      </c>
      <c r="AJ60" s="2" t="s">
        <v>1696</v>
      </c>
    </row>
    <row r="61" spans="1:36">
      <c r="A61" s="4" t="s">
        <v>926</v>
      </c>
      <c r="B61" s="20">
        <v>45083</v>
      </c>
      <c r="C61" s="2" t="s">
        <v>487</v>
      </c>
      <c r="D61" s="6">
        <v>2</v>
      </c>
      <c r="E61" s="6">
        <v>72</v>
      </c>
      <c r="F61" s="6">
        <v>6</v>
      </c>
      <c r="G61" s="8" t="s">
        <v>256</v>
      </c>
      <c r="H61" s="8" t="s">
        <v>256</v>
      </c>
      <c r="I61" s="2" t="s">
        <v>5</v>
      </c>
      <c r="J61" s="2" t="s">
        <v>253</v>
      </c>
      <c r="K61" s="6">
        <v>300</v>
      </c>
      <c r="L61" s="6">
        <v>1</v>
      </c>
      <c r="M61" s="6">
        <v>12</v>
      </c>
      <c r="N61" s="6" t="s">
        <v>493</v>
      </c>
      <c r="O61" s="6" t="s">
        <v>493</v>
      </c>
      <c r="P61" s="6" t="s">
        <v>493</v>
      </c>
      <c r="Q61" s="6" t="s">
        <v>493</v>
      </c>
      <c r="R61" s="8">
        <v>6.5</v>
      </c>
      <c r="S61" s="20">
        <v>45083</v>
      </c>
      <c r="T61" s="20">
        <v>45148</v>
      </c>
      <c r="U61" s="33">
        <v>65</v>
      </c>
      <c r="V61" s="8">
        <v>9.5542630671436299E-2</v>
      </c>
      <c r="W61" s="8" t="s">
        <v>256</v>
      </c>
      <c r="X61" s="2" t="s">
        <v>34</v>
      </c>
      <c r="Y61" s="2">
        <v>4</v>
      </c>
      <c r="Z61" s="11" t="s">
        <v>91</v>
      </c>
      <c r="AA61" s="20">
        <v>45279</v>
      </c>
      <c r="AB61" s="8">
        <v>0.26700000000000002</v>
      </c>
      <c r="AC61" s="33">
        <v>4</v>
      </c>
      <c r="AD61" s="31" t="s">
        <v>204</v>
      </c>
      <c r="AE61" s="31" t="s">
        <v>205</v>
      </c>
      <c r="AF61" s="31" t="s">
        <v>175</v>
      </c>
      <c r="AG61" s="31" t="s">
        <v>223</v>
      </c>
      <c r="AH61" s="6">
        <v>363</v>
      </c>
      <c r="AI61" s="4" t="s">
        <v>1222</v>
      </c>
      <c r="AJ61" s="2" t="s">
        <v>1696</v>
      </c>
    </row>
    <row r="62" spans="1:36">
      <c r="A62" s="2" t="s">
        <v>927</v>
      </c>
      <c r="B62" s="20">
        <v>45083</v>
      </c>
      <c r="C62" s="2" t="s">
        <v>487</v>
      </c>
      <c r="D62" s="6">
        <v>3</v>
      </c>
      <c r="E62" s="6">
        <v>75</v>
      </c>
      <c r="F62" s="6">
        <v>7</v>
      </c>
      <c r="G62" s="8" t="s">
        <v>256</v>
      </c>
      <c r="H62" s="8" t="s">
        <v>256</v>
      </c>
      <c r="I62" s="2" t="s">
        <v>4</v>
      </c>
      <c r="J62" s="2" t="s">
        <v>255</v>
      </c>
      <c r="K62" s="6">
        <v>300</v>
      </c>
      <c r="L62" s="6">
        <v>6</v>
      </c>
      <c r="M62" s="6">
        <v>15</v>
      </c>
      <c r="N62" s="6" t="s">
        <v>493</v>
      </c>
      <c r="O62" s="6" t="s">
        <v>493</v>
      </c>
      <c r="P62" s="6" t="s">
        <v>493</v>
      </c>
      <c r="Q62" s="6" t="s">
        <v>493</v>
      </c>
      <c r="R62" s="8">
        <v>4.8</v>
      </c>
      <c r="S62" s="20">
        <v>45083</v>
      </c>
      <c r="T62" s="20">
        <v>45148</v>
      </c>
      <c r="U62" s="33">
        <v>65</v>
      </c>
      <c r="V62" s="8">
        <v>0.42021064415678</v>
      </c>
      <c r="W62" s="8" t="s">
        <v>256</v>
      </c>
      <c r="X62" s="2" t="s">
        <v>33</v>
      </c>
      <c r="Y62" s="2">
        <v>1</v>
      </c>
      <c r="Z62" s="11" t="s">
        <v>153</v>
      </c>
      <c r="AA62" s="20">
        <v>45184</v>
      </c>
      <c r="AB62" s="8">
        <v>2.4537985212322528</v>
      </c>
      <c r="AC62" s="33">
        <v>1</v>
      </c>
      <c r="AD62" s="31" t="s">
        <v>156</v>
      </c>
      <c r="AE62" s="31" t="s">
        <v>185</v>
      </c>
      <c r="AF62" s="31" t="s">
        <v>172</v>
      </c>
      <c r="AG62" s="31" t="s">
        <v>220</v>
      </c>
      <c r="AH62" s="6">
        <v>20</v>
      </c>
      <c r="AI62" s="2" t="s">
        <v>1223</v>
      </c>
      <c r="AJ62" s="2" t="s">
        <v>1696</v>
      </c>
    </row>
    <row r="63" spans="1:36">
      <c r="A63" s="2" t="s">
        <v>928</v>
      </c>
      <c r="B63" s="20">
        <v>45083</v>
      </c>
      <c r="C63" s="2" t="s">
        <v>487</v>
      </c>
      <c r="D63" s="6">
        <v>3</v>
      </c>
      <c r="E63" s="6">
        <v>80</v>
      </c>
      <c r="F63" s="6">
        <v>7</v>
      </c>
      <c r="G63" s="8" t="s">
        <v>256</v>
      </c>
      <c r="H63" s="8" t="s">
        <v>256</v>
      </c>
      <c r="I63" s="2" t="s">
        <v>4</v>
      </c>
      <c r="J63" s="2" t="s">
        <v>40</v>
      </c>
      <c r="K63" s="6">
        <v>300</v>
      </c>
      <c r="L63" s="6">
        <v>6</v>
      </c>
      <c r="M63" s="6">
        <v>20</v>
      </c>
      <c r="N63" s="6" t="s">
        <v>493</v>
      </c>
      <c r="O63" s="6" t="s">
        <v>493</v>
      </c>
      <c r="P63" s="6" t="s">
        <v>493</v>
      </c>
      <c r="Q63" s="6" t="s">
        <v>493</v>
      </c>
      <c r="R63" s="8">
        <v>5.6</v>
      </c>
      <c r="S63" s="20">
        <v>45083</v>
      </c>
      <c r="T63" s="20">
        <v>45148</v>
      </c>
      <c r="U63" s="33">
        <v>65</v>
      </c>
      <c r="V63" s="8">
        <v>0.26240905297445949</v>
      </c>
      <c r="W63" s="8" t="s">
        <v>256</v>
      </c>
      <c r="X63" s="2" t="s">
        <v>33</v>
      </c>
      <c r="Y63" s="2">
        <v>1</v>
      </c>
      <c r="Z63" s="11" t="s">
        <v>139</v>
      </c>
      <c r="AA63" s="20">
        <v>45184</v>
      </c>
      <c r="AB63" s="8">
        <v>2.725660278610738</v>
      </c>
      <c r="AC63" s="33">
        <v>1</v>
      </c>
      <c r="AD63" s="31" t="s">
        <v>157</v>
      </c>
      <c r="AE63" s="31" t="s">
        <v>186</v>
      </c>
      <c r="AF63" s="31" t="s">
        <v>172</v>
      </c>
      <c r="AG63" s="31" t="s">
        <v>220</v>
      </c>
      <c r="AH63" s="6">
        <v>32</v>
      </c>
      <c r="AI63" s="2" t="s">
        <v>1224</v>
      </c>
      <c r="AJ63" s="2" t="s">
        <v>1696</v>
      </c>
    </row>
    <row r="64" spans="1:36">
      <c r="A64" s="2" t="s">
        <v>929</v>
      </c>
      <c r="B64" s="20">
        <v>45083</v>
      </c>
      <c r="C64" s="2" t="s">
        <v>487</v>
      </c>
      <c r="D64" s="6">
        <v>3</v>
      </c>
      <c r="E64" s="6">
        <v>81</v>
      </c>
      <c r="F64" s="6">
        <v>7</v>
      </c>
      <c r="G64" s="8" t="s">
        <v>256</v>
      </c>
      <c r="H64" s="8" t="s">
        <v>256</v>
      </c>
      <c r="I64" s="2" t="s">
        <v>4</v>
      </c>
      <c r="J64" s="2" t="s">
        <v>254</v>
      </c>
      <c r="K64" s="6">
        <v>300</v>
      </c>
      <c r="L64" s="6">
        <v>6</v>
      </c>
      <c r="M64" s="6">
        <v>21</v>
      </c>
      <c r="N64" s="6" t="s">
        <v>493</v>
      </c>
      <c r="O64" s="6" t="s">
        <v>493</v>
      </c>
      <c r="P64" s="6" t="s">
        <v>493</v>
      </c>
      <c r="Q64" s="6" t="s">
        <v>493</v>
      </c>
      <c r="R64" s="8">
        <v>4.4000000000000004</v>
      </c>
      <c r="S64" s="20">
        <v>45083</v>
      </c>
      <c r="T64" s="20">
        <v>45148</v>
      </c>
      <c r="U64" s="33">
        <v>65</v>
      </c>
      <c r="V64" s="8">
        <v>0.45104715458512717</v>
      </c>
      <c r="W64" s="8" t="s">
        <v>256</v>
      </c>
      <c r="X64" s="2" t="s">
        <v>33</v>
      </c>
      <c r="Y64" s="2">
        <v>1</v>
      </c>
      <c r="Z64" s="11" t="s">
        <v>140</v>
      </c>
      <c r="AA64" s="20">
        <v>45184</v>
      </c>
      <c r="AB64" s="8">
        <v>1.8639914624171008</v>
      </c>
      <c r="AC64" s="33">
        <v>1</v>
      </c>
      <c r="AD64" s="31" t="s">
        <v>158</v>
      </c>
      <c r="AE64" s="31" t="s">
        <v>187</v>
      </c>
      <c r="AF64" s="31" t="s">
        <v>172</v>
      </c>
      <c r="AG64" s="31" t="s">
        <v>220</v>
      </c>
      <c r="AH64" s="6">
        <v>44</v>
      </c>
      <c r="AI64" s="2" t="s">
        <v>1225</v>
      </c>
      <c r="AJ64" s="2" t="s">
        <v>1696</v>
      </c>
    </row>
    <row r="65" spans="1:36">
      <c r="A65" s="2" t="s">
        <v>930</v>
      </c>
      <c r="B65" s="20">
        <v>45083</v>
      </c>
      <c r="C65" s="2" t="s">
        <v>487</v>
      </c>
      <c r="D65" s="6">
        <v>3</v>
      </c>
      <c r="E65" s="6">
        <v>82</v>
      </c>
      <c r="F65" s="6">
        <v>7</v>
      </c>
      <c r="G65" s="8" t="s">
        <v>256</v>
      </c>
      <c r="H65" s="8" t="s">
        <v>256</v>
      </c>
      <c r="I65" s="2" t="s">
        <v>4</v>
      </c>
      <c r="J65" s="2" t="s">
        <v>253</v>
      </c>
      <c r="K65" s="6">
        <v>300</v>
      </c>
      <c r="L65" s="6">
        <v>6</v>
      </c>
      <c r="M65" s="6">
        <v>22</v>
      </c>
      <c r="N65" s="6" t="s">
        <v>493</v>
      </c>
      <c r="O65" s="6" t="s">
        <v>493</v>
      </c>
      <c r="P65" s="6" t="s">
        <v>493</v>
      </c>
      <c r="Q65" s="6" t="s">
        <v>493</v>
      </c>
      <c r="R65" s="8">
        <v>6.6</v>
      </c>
      <c r="S65" s="20">
        <v>45083</v>
      </c>
      <c r="T65" s="20">
        <v>45148</v>
      </c>
      <c r="U65" s="33">
        <v>65</v>
      </c>
      <c r="V65" s="8">
        <v>0.14517516608516942</v>
      </c>
      <c r="W65" s="8" t="s">
        <v>256</v>
      </c>
      <c r="X65" s="2" t="s">
        <v>33</v>
      </c>
      <c r="Y65" s="2">
        <v>1</v>
      </c>
      <c r="Z65" s="11" t="s">
        <v>120</v>
      </c>
      <c r="AA65" s="20">
        <v>45184</v>
      </c>
      <c r="AB65" s="8">
        <v>1.3820501591896062</v>
      </c>
      <c r="AC65" s="33">
        <v>1</v>
      </c>
      <c r="AD65" s="31" t="s">
        <v>159</v>
      </c>
      <c r="AE65" s="31" t="s">
        <v>188</v>
      </c>
      <c r="AF65" s="31" t="s">
        <v>172</v>
      </c>
      <c r="AG65" s="31" t="s">
        <v>220</v>
      </c>
      <c r="AH65" s="6">
        <v>56</v>
      </c>
      <c r="AI65" s="2" t="s">
        <v>1226</v>
      </c>
      <c r="AJ65" s="2" t="s">
        <v>1696</v>
      </c>
    </row>
    <row r="66" spans="1:36">
      <c r="A66" s="2" t="s">
        <v>931</v>
      </c>
      <c r="B66" s="20">
        <v>45083</v>
      </c>
      <c r="C66" s="2" t="s">
        <v>487</v>
      </c>
      <c r="D66" s="6">
        <v>3</v>
      </c>
      <c r="E66" s="6">
        <v>87</v>
      </c>
      <c r="F66" s="6">
        <v>8</v>
      </c>
      <c r="G66" s="8" t="s">
        <v>256</v>
      </c>
      <c r="H66" s="8" t="s">
        <v>256</v>
      </c>
      <c r="I66" s="2" t="s">
        <v>6</v>
      </c>
      <c r="J66" s="2" t="s">
        <v>254</v>
      </c>
      <c r="K66" s="6">
        <v>300</v>
      </c>
      <c r="L66" s="6">
        <v>5</v>
      </c>
      <c r="M66" s="6">
        <v>15</v>
      </c>
      <c r="N66" s="6" t="s">
        <v>493</v>
      </c>
      <c r="O66" s="6" t="s">
        <v>493</v>
      </c>
      <c r="P66" s="6" t="s">
        <v>493</v>
      </c>
      <c r="Q66" s="6" t="s">
        <v>493</v>
      </c>
      <c r="R66" s="8">
        <v>3.4</v>
      </c>
      <c r="S66" s="20">
        <v>45083</v>
      </c>
      <c r="T66" s="20">
        <v>45148</v>
      </c>
      <c r="U66" s="33">
        <v>65</v>
      </c>
      <c r="V66" s="8">
        <v>0.36916496016529471</v>
      </c>
      <c r="W66" s="8" t="s">
        <v>256</v>
      </c>
      <c r="X66" s="2" t="s">
        <v>33</v>
      </c>
      <c r="Y66" s="2">
        <v>1</v>
      </c>
      <c r="Z66" s="11" t="s">
        <v>121</v>
      </c>
      <c r="AA66" s="20">
        <v>45184</v>
      </c>
      <c r="AB66" s="8">
        <v>2.177564278867079</v>
      </c>
      <c r="AC66" s="33">
        <v>1</v>
      </c>
      <c r="AD66" s="31" t="s">
        <v>160</v>
      </c>
      <c r="AE66" s="31" t="s">
        <v>189</v>
      </c>
      <c r="AF66" s="31" t="s">
        <v>172</v>
      </c>
      <c r="AG66" s="31" t="s">
        <v>220</v>
      </c>
      <c r="AH66" s="6">
        <v>68</v>
      </c>
      <c r="AI66" s="2" t="s">
        <v>1227</v>
      </c>
      <c r="AJ66" s="2" t="s">
        <v>1696</v>
      </c>
    </row>
    <row r="67" spans="1:36">
      <c r="A67" s="2" t="s">
        <v>932</v>
      </c>
      <c r="B67" s="20">
        <v>45083</v>
      </c>
      <c r="C67" s="2" t="s">
        <v>487</v>
      </c>
      <c r="D67" s="6">
        <v>3</v>
      </c>
      <c r="E67" s="6">
        <v>88</v>
      </c>
      <c r="F67" s="6">
        <v>8</v>
      </c>
      <c r="G67" s="8" t="s">
        <v>256</v>
      </c>
      <c r="H67" s="8" t="s">
        <v>256</v>
      </c>
      <c r="I67" s="2" t="s">
        <v>6</v>
      </c>
      <c r="J67" s="2" t="s">
        <v>253</v>
      </c>
      <c r="K67" s="6">
        <v>300</v>
      </c>
      <c r="L67" s="6">
        <v>5</v>
      </c>
      <c r="M67" s="6">
        <v>16</v>
      </c>
      <c r="N67" s="6" t="s">
        <v>493</v>
      </c>
      <c r="O67" s="6" t="s">
        <v>493</v>
      </c>
      <c r="P67" s="6" t="s">
        <v>493</v>
      </c>
      <c r="Q67" s="6" t="s">
        <v>493</v>
      </c>
      <c r="R67" s="8">
        <v>4.5999999999999996</v>
      </c>
      <c r="S67" s="20">
        <v>45083</v>
      </c>
      <c r="T67" s="20">
        <v>45148</v>
      </c>
      <c r="U67" s="33">
        <v>65</v>
      </c>
      <c r="V67" s="8">
        <v>0.18968360177794771</v>
      </c>
      <c r="W67" s="8" t="s">
        <v>256</v>
      </c>
      <c r="X67" s="2" t="s">
        <v>33</v>
      </c>
      <c r="Y67" s="2">
        <v>1</v>
      </c>
      <c r="Z67" s="11" t="s">
        <v>122</v>
      </c>
      <c r="AA67" s="20">
        <v>45184</v>
      </c>
      <c r="AB67" s="8">
        <v>2.3167383620693491</v>
      </c>
      <c r="AC67" s="33">
        <v>1</v>
      </c>
      <c r="AD67" s="31" t="s">
        <v>47</v>
      </c>
      <c r="AE67" s="31" t="s">
        <v>190</v>
      </c>
      <c r="AF67" s="31" t="s">
        <v>172</v>
      </c>
      <c r="AG67" s="31" t="s">
        <v>220</v>
      </c>
      <c r="AH67" s="6">
        <v>80</v>
      </c>
      <c r="AI67" s="2" t="s">
        <v>1228</v>
      </c>
      <c r="AJ67" s="2" t="s">
        <v>1696</v>
      </c>
    </row>
    <row r="68" spans="1:36">
      <c r="A68" s="2" t="s">
        <v>933</v>
      </c>
      <c r="B68" s="20">
        <v>45083</v>
      </c>
      <c r="C68" s="2" t="s">
        <v>487</v>
      </c>
      <c r="D68" s="6">
        <v>3</v>
      </c>
      <c r="E68" s="6">
        <v>89</v>
      </c>
      <c r="F68" s="6">
        <v>8</v>
      </c>
      <c r="G68" s="8" t="s">
        <v>256</v>
      </c>
      <c r="H68" s="8" t="s">
        <v>256</v>
      </c>
      <c r="I68" s="2" t="s">
        <v>6</v>
      </c>
      <c r="J68" s="2" t="s">
        <v>255</v>
      </c>
      <c r="K68" s="6">
        <v>300</v>
      </c>
      <c r="L68" s="6">
        <v>5</v>
      </c>
      <c r="M68" s="6">
        <v>17</v>
      </c>
      <c r="N68" s="6" t="s">
        <v>493</v>
      </c>
      <c r="O68" s="6" t="s">
        <v>493</v>
      </c>
      <c r="P68" s="6" t="s">
        <v>493</v>
      </c>
      <c r="Q68" s="6" t="s">
        <v>493</v>
      </c>
      <c r="R68" s="8">
        <v>4.9000000000000004</v>
      </c>
      <c r="S68" s="20">
        <v>45083</v>
      </c>
      <c r="T68" s="20">
        <v>45148</v>
      </c>
      <c r="U68" s="33">
        <v>65</v>
      </c>
      <c r="V68" s="8">
        <v>0.50827392747767453</v>
      </c>
      <c r="W68" s="8" t="s">
        <v>256</v>
      </c>
      <c r="X68" s="2" t="s">
        <v>33</v>
      </c>
      <c r="Y68" s="2">
        <v>1</v>
      </c>
      <c r="Z68" s="11" t="s">
        <v>154</v>
      </c>
      <c r="AA68" s="20">
        <v>45184</v>
      </c>
      <c r="AB68" s="8">
        <v>3.2676704023042218</v>
      </c>
      <c r="AC68" s="33">
        <v>1</v>
      </c>
      <c r="AD68" s="31" t="s">
        <v>162</v>
      </c>
      <c r="AE68" s="31" t="s">
        <v>192</v>
      </c>
      <c r="AF68" s="31" t="s">
        <v>172</v>
      </c>
      <c r="AG68" s="31" t="s">
        <v>220</v>
      </c>
      <c r="AH68" s="6">
        <v>92</v>
      </c>
      <c r="AI68" s="2" t="s">
        <v>1229</v>
      </c>
      <c r="AJ68" s="2" t="s">
        <v>1696</v>
      </c>
    </row>
    <row r="69" spans="1:36">
      <c r="A69" s="2" t="s">
        <v>934</v>
      </c>
      <c r="B69" s="20">
        <v>45083</v>
      </c>
      <c r="C69" s="2" t="s">
        <v>487</v>
      </c>
      <c r="D69" s="6">
        <v>3</v>
      </c>
      <c r="E69" s="6">
        <v>91</v>
      </c>
      <c r="F69" s="6">
        <v>8</v>
      </c>
      <c r="G69" s="8" t="s">
        <v>256</v>
      </c>
      <c r="H69" s="8" t="s">
        <v>256</v>
      </c>
      <c r="I69" s="2" t="s">
        <v>6</v>
      </c>
      <c r="J69" s="2" t="s">
        <v>40</v>
      </c>
      <c r="K69" s="6">
        <v>300</v>
      </c>
      <c r="L69" s="6">
        <v>5</v>
      </c>
      <c r="M69" s="6">
        <v>19</v>
      </c>
      <c r="N69" s="6" t="s">
        <v>493</v>
      </c>
      <c r="O69" s="6" t="s">
        <v>493</v>
      </c>
      <c r="P69" s="6" t="s">
        <v>493</v>
      </c>
      <c r="Q69" s="6" t="s">
        <v>493</v>
      </c>
      <c r="R69" s="8">
        <v>3.8</v>
      </c>
      <c r="S69" s="20">
        <v>45083</v>
      </c>
      <c r="T69" s="20">
        <v>45148</v>
      </c>
      <c r="U69" s="33">
        <v>65</v>
      </c>
      <c r="V69" s="8">
        <v>0.23080277868668636</v>
      </c>
      <c r="W69" s="8" t="s">
        <v>256</v>
      </c>
      <c r="X69" s="2" t="s">
        <v>33</v>
      </c>
      <c r="Y69" s="2">
        <v>1</v>
      </c>
      <c r="Z69" s="11" t="s">
        <v>113</v>
      </c>
      <c r="AA69" s="20">
        <v>45184</v>
      </c>
      <c r="AB69" s="8">
        <v>1.7968799371252235</v>
      </c>
      <c r="AC69" s="33">
        <v>1</v>
      </c>
      <c r="AD69" s="31" t="s">
        <v>155</v>
      </c>
      <c r="AE69" s="31" t="s">
        <v>184</v>
      </c>
      <c r="AF69" s="31" t="s">
        <v>170</v>
      </c>
      <c r="AG69" s="31" t="s">
        <v>218</v>
      </c>
      <c r="AH69" s="6">
        <v>9</v>
      </c>
      <c r="AI69" s="2" t="s">
        <v>1230</v>
      </c>
      <c r="AJ69" s="2" t="s">
        <v>1696</v>
      </c>
    </row>
    <row r="70" spans="1:36">
      <c r="A70" s="2" t="s">
        <v>935</v>
      </c>
      <c r="B70" s="20">
        <v>45083</v>
      </c>
      <c r="C70" s="2" t="s">
        <v>487</v>
      </c>
      <c r="D70" s="6">
        <v>3</v>
      </c>
      <c r="E70" s="6">
        <v>98</v>
      </c>
      <c r="F70" s="6">
        <v>9</v>
      </c>
      <c r="G70" s="8" t="s">
        <v>256</v>
      </c>
      <c r="H70" s="8" t="s">
        <v>256</v>
      </c>
      <c r="I70" s="2" t="s">
        <v>5</v>
      </c>
      <c r="J70" s="2" t="s">
        <v>253</v>
      </c>
      <c r="K70" s="6">
        <v>300</v>
      </c>
      <c r="L70" s="6">
        <v>4</v>
      </c>
      <c r="M70" s="6">
        <v>14</v>
      </c>
      <c r="N70" s="6" t="s">
        <v>493</v>
      </c>
      <c r="O70" s="6" t="s">
        <v>493</v>
      </c>
      <c r="P70" s="6" t="s">
        <v>493</v>
      </c>
      <c r="Q70" s="6" t="s">
        <v>493</v>
      </c>
      <c r="R70" s="8">
        <v>6.8</v>
      </c>
      <c r="S70" s="20">
        <v>45083</v>
      </c>
      <c r="T70" s="20">
        <v>45148</v>
      </c>
      <c r="U70" s="33">
        <v>65</v>
      </c>
      <c r="V70" s="8">
        <v>0.16779703234203067</v>
      </c>
      <c r="W70" s="8" t="s">
        <v>256</v>
      </c>
      <c r="X70" s="2" t="s">
        <v>33</v>
      </c>
      <c r="Y70" s="2">
        <v>1</v>
      </c>
      <c r="Z70" s="11" t="s">
        <v>114</v>
      </c>
      <c r="AA70" s="20">
        <v>45184</v>
      </c>
      <c r="AB70" s="8">
        <v>0.56337188240707858</v>
      </c>
      <c r="AC70" s="33">
        <v>1</v>
      </c>
      <c r="AD70" s="31" t="s">
        <v>156</v>
      </c>
      <c r="AE70" s="31" t="s">
        <v>185</v>
      </c>
      <c r="AF70" s="31" t="s">
        <v>170</v>
      </c>
      <c r="AG70" s="31" t="s">
        <v>218</v>
      </c>
      <c r="AH70" s="6">
        <v>21</v>
      </c>
      <c r="AI70" s="2" t="s">
        <v>1231</v>
      </c>
      <c r="AJ70" s="2" t="s">
        <v>1696</v>
      </c>
    </row>
    <row r="71" spans="1:36">
      <c r="A71" s="2" t="s">
        <v>936</v>
      </c>
      <c r="B71" s="20">
        <v>45083</v>
      </c>
      <c r="C71" s="2" t="s">
        <v>487</v>
      </c>
      <c r="D71" s="6">
        <v>3</v>
      </c>
      <c r="E71" s="6">
        <v>100</v>
      </c>
      <c r="F71" s="6">
        <v>9</v>
      </c>
      <c r="G71" s="8" t="s">
        <v>256</v>
      </c>
      <c r="H71" s="8" t="s">
        <v>256</v>
      </c>
      <c r="I71" s="2" t="s">
        <v>5</v>
      </c>
      <c r="J71" s="2" t="s">
        <v>40</v>
      </c>
      <c r="K71" s="6">
        <v>300</v>
      </c>
      <c r="L71" s="6">
        <v>4</v>
      </c>
      <c r="M71" s="6">
        <v>16</v>
      </c>
      <c r="N71" s="6" t="s">
        <v>493</v>
      </c>
      <c r="O71" s="6" t="s">
        <v>493</v>
      </c>
      <c r="P71" s="6" t="s">
        <v>493</v>
      </c>
      <c r="Q71" s="6" t="s">
        <v>493</v>
      </c>
      <c r="R71" s="8">
        <v>5.9</v>
      </c>
      <c r="S71" s="20">
        <v>45083</v>
      </c>
      <c r="T71" s="20">
        <v>45148</v>
      </c>
      <c r="U71" s="33">
        <v>65</v>
      </c>
      <c r="V71" s="8">
        <v>0.28807550763054274</v>
      </c>
      <c r="W71" s="8" t="s">
        <v>256</v>
      </c>
      <c r="X71" s="2" t="s">
        <v>34</v>
      </c>
      <c r="Y71" s="2">
        <v>4</v>
      </c>
      <c r="Z71" s="11" t="s">
        <v>87</v>
      </c>
      <c r="AA71" s="20">
        <v>45279</v>
      </c>
      <c r="AB71" s="8">
        <v>2.4079999999999999</v>
      </c>
      <c r="AC71" s="33">
        <v>4</v>
      </c>
      <c r="AD71" s="31" t="s">
        <v>194</v>
      </c>
      <c r="AE71" s="31" t="s">
        <v>195</v>
      </c>
      <c r="AF71" s="31" t="s">
        <v>176</v>
      </c>
      <c r="AG71" s="31" t="s">
        <v>224</v>
      </c>
      <c r="AH71" s="6">
        <v>304</v>
      </c>
      <c r="AI71" s="2" t="s">
        <v>1232</v>
      </c>
      <c r="AJ71" s="2" t="s">
        <v>1696</v>
      </c>
    </row>
    <row r="72" spans="1:36">
      <c r="A72" s="2" t="s">
        <v>937</v>
      </c>
      <c r="B72" s="20">
        <v>45083</v>
      </c>
      <c r="C72" s="2" t="s">
        <v>487</v>
      </c>
      <c r="D72" s="6">
        <v>3</v>
      </c>
      <c r="E72" s="6">
        <v>104</v>
      </c>
      <c r="F72" s="6">
        <v>9</v>
      </c>
      <c r="G72" s="8" t="s">
        <v>256</v>
      </c>
      <c r="H72" s="8" t="s">
        <v>256</v>
      </c>
      <c r="I72" s="2" t="s">
        <v>5</v>
      </c>
      <c r="J72" s="2" t="s">
        <v>254</v>
      </c>
      <c r="K72" s="6">
        <v>300</v>
      </c>
      <c r="L72" s="6">
        <v>4</v>
      </c>
      <c r="M72" s="6">
        <v>20</v>
      </c>
      <c r="N72" s="6" t="s">
        <v>493</v>
      </c>
      <c r="O72" s="6" t="s">
        <v>493</v>
      </c>
      <c r="P72" s="6" t="s">
        <v>493</v>
      </c>
      <c r="Q72" s="6" t="s">
        <v>493</v>
      </c>
      <c r="R72" s="8">
        <v>5.7</v>
      </c>
      <c r="S72" s="20">
        <v>45083</v>
      </c>
      <c r="T72" s="20">
        <v>45148</v>
      </c>
      <c r="U72" s="33">
        <v>65</v>
      </c>
      <c r="V72" s="8">
        <v>0.36970494376817564</v>
      </c>
      <c r="W72" s="8" t="s">
        <v>256</v>
      </c>
      <c r="X72" s="2" t="s">
        <v>33</v>
      </c>
      <c r="Y72" s="2">
        <v>1</v>
      </c>
      <c r="Z72" s="11" t="s">
        <v>123</v>
      </c>
      <c r="AA72" s="20">
        <v>45184</v>
      </c>
      <c r="AB72" s="8">
        <v>0.9343210476518532</v>
      </c>
      <c r="AC72" s="33">
        <v>1</v>
      </c>
      <c r="AD72" s="31" t="s">
        <v>158</v>
      </c>
      <c r="AE72" s="31" t="s">
        <v>187</v>
      </c>
      <c r="AF72" s="31" t="s">
        <v>170</v>
      </c>
      <c r="AG72" s="31" t="s">
        <v>218</v>
      </c>
      <c r="AH72" s="6">
        <v>45</v>
      </c>
      <c r="AI72" s="2" t="s">
        <v>1233</v>
      </c>
      <c r="AJ72" s="2" t="s">
        <v>1696</v>
      </c>
    </row>
    <row r="73" spans="1:36">
      <c r="A73" s="2" t="s">
        <v>938</v>
      </c>
      <c r="B73" s="20">
        <v>45083</v>
      </c>
      <c r="C73" s="2" t="s">
        <v>487</v>
      </c>
      <c r="D73" s="6">
        <v>3</v>
      </c>
      <c r="E73" s="6">
        <v>107</v>
      </c>
      <c r="F73" s="6">
        <v>9</v>
      </c>
      <c r="G73" s="8" t="s">
        <v>256</v>
      </c>
      <c r="H73" s="8" t="s">
        <v>256</v>
      </c>
      <c r="I73" s="2" t="s">
        <v>5</v>
      </c>
      <c r="J73" s="2" t="s">
        <v>255</v>
      </c>
      <c r="K73" s="6">
        <v>300</v>
      </c>
      <c r="L73" s="6">
        <v>4</v>
      </c>
      <c r="M73" s="6">
        <v>23</v>
      </c>
      <c r="N73" s="6" t="s">
        <v>493</v>
      </c>
      <c r="O73" s="6" t="s">
        <v>493</v>
      </c>
      <c r="P73" s="6" t="s">
        <v>493</v>
      </c>
      <c r="Q73" s="6" t="s">
        <v>493</v>
      </c>
      <c r="R73" s="8">
        <v>5.6</v>
      </c>
      <c r="S73" s="20">
        <v>45083</v>
      </c>
      <c r="T73" s="20">
        <v>45148</v>
      </c>
      <c r="U73" s="33">
        <v>65</v>
      </c>
      <c r="V73" s="8">
        <v>1.4637461902433464</v>
      </c>
      <c r="W73" s="8" t="s">
        <v>256</v>
      </c>
      <c r="X73" s="2" t="s">
        <v>33</v>
      </c>
      <c r="Y73" s="2">
        <v>1</v>
      </c>
      <c r="Z73" s="11" t="s">
        <v>124</v>
      </c>
      <c r="AA73" s="20">
        <v>45184</v>
      </c>
      <c r="AB73" s="8">
        <v>2.2889458239096823</v>
      </c>
      <c r="AC73" s="33">
        <v>1</v>
      </c>
      <c r="AD73" s="31" t="s">
        <v>159</v>
      </c>
      <c r="AE73" s="31" t="s">
        <v>188</v>
      </c>
      <c r="AF73" s="31" t="s">
        <v>170</v>
      </c>
      <c r="AG73" s="31" t="s">
        <v>218</v>
      </c>
      <c r="AH73" s="6">
        <v>57</v>
      </c>
      <c r="AI73" s="2" t="s">
        <v>1234</v>
      </c>
      <c r="AJ73" s="2" t="s">
        <v>1696</v>
      </c>
    </row>
    <row r="74" spans="1:36">
      <c r="A74" s="2" t="s">
        <v>939</v>
      </c>
      <c r="B74" s="20">
        <v>45090</v>
      </c>
      <c r="C74" s="2" t="s">
        <v>487</v>
      </c>
      <c r="D74" s="6">
        <v>1</v>
      </c>
      <c r="E74" s="6">
        <v>3</v>
      </c>
      <c r="F74" s="6">
        <v>1</v>
      </c>
      <c r="G74" s="8" t="s">
        <v>256</v>
      </c>
      <c r="H74" s="8" t="s">
        <v>256</v>
      </c>
      <c r="I74" s="2" t="s">
        <v>5</v>
      </c>
      <c r="J74" s="2" t="s">
        <v>40</v>
      </c>
      <c r="K74" s="6">
        <v>300</v>
      </c>
      <c r="L74" s="6">
        <v>6</v>
      </c>
      <c r="M74" s="6">
        <v>3</v>
      </c>
      <c r="N74" s="6" t="s">
        <v>493</v>
      </c>
      <c r="O74" s="6" t="s">
        <v>493</v>
      </c>
      <c r="P74" s="6" t="s">
        <v>493</v>
      </c>
      <c r="Q74" s="6" t="s">
        <v>493</v>
      </c>
      <c r="R74" s="8">
        <v>7.37</v>
      </c>
      <c r="S74" s="20">
        <v>45090</v>
      </c>
      <c r="T74" s="20">
        <v>45091</v>
      </c>
      <c r="U74" s="33">
        <v>1</v>
      </c>
      <c r="V74" s="8">
        <v>0.12015625898001669</v>
      </c>
      <c r="W74" s="8" t="s">
        <v>256</v>
      </c>
      <c r="X74" s="2" t="s">
        <v>33</v>
      </c>
      <c r="Y74" s="2">
        <v>1</v>
      </c>
      <c r="Z74" s="11" t="s">
        <v>125</v>
      </c>
      <c r="AA74" s="20">
        <v>45184</v>
      </c>
      <c r="AB74" s="8">
        <v>1.9033994568772847</v>
      </c>
      <c r="AC74" s="33">
        <v>1</v>
      </c>
      <c r="AD74" s="31" t="s">
        <v>160</v>
      </c>
      <c r="AE74" s="31" t="s">
        <v>189</v>
      </c>
      <c r="AF74" s="31" t="s">
        <v>170</v>
      </c>
      <c r="AG74" s="31" t="s">
        <v>218</v>
      </c>
      <c r="AH74" s="6">
        <v>69</v>
      </c>
      <c r="AI74" s="2" t="s">
        <v>1235</v>
      </c>
      <c r="AJ74" s="2" t="s">
        <v>1696</v>
      </c>
    </row>
    <row r="75" spans="1:36">
      <c r="A75" s="2" t="s">
        <v>940</v>
      </c>
      <c r="B75" s="20">
        <v>45090</v>
      </c>
      <c r="C75" s="2" t="s">
        <v>487</v>
      </c>
      <c r="D75" s="6">
        <v>1</v>
      </c>
      <c r="E75" s="6">
        <v>5</v>
      </c>
      <c r="F75" s="6">
        <v>1</v>
      </c>
      <c r="G75" s="8" t="s">
        <v>256</v>
      </c>
      <c r="H75" s="8" t="s">
        <v>256</v>
      </c>
      <c r="I75" s="2" t="s">
        <v>5</v>
      </c>
      <c r="J75" s="2" t="s">
        <v>255</v>
      </c>
      <c r="K75" s="6">
        <v>300</v>
      </c>
      <c r="L75" s="6">
        <v>6</v>
      </c>
      <c r="M75" s="6">
        <v>5</v>
      </c>
      <c r="N75" s="6" t="s">
        <v>493</v>
      </c>
      <c r="O75" s="6" t="s">
        <v>493</v>
      </c>
      <c r="P75" s="6" t="s">
        <v>493</v>
      </c>
      <c r="Q75" s="6" t="s">
        <v>493</v>
      </c>
      <c r="R75" s="8">
        <v>6.55</v>
      </c>
      <c r="S75" s="20">
        <v>45090</v>
      </c>
      <c r="T75" s="20">
        <v>45091</v>
      </c>
      <c r="U75" s="33">
        <v>1</v>
      </c>
      <c r="V75" s="8">
        <v>0.40078068993053784</v>
      </c>
      <c r="W75" s="8" t="s">
        <v>256</v>
      </c>
      <c r="X75" s="2" t="s">
        <v>33</v>
      </c>
      <c r="Y75" s="2">
        <v>1</v>
      </c>
      <c r="Z75" s="11" t="s">
        <v>126</v>
      </c>
      <c r="AA75" s="20">
        <v>45184</v>
      </c>
      <c r="AB75" s="8">
        <v>3.3887759979279095</v>
      </c>
      <c r="AC75" s="33">
        <v>1</v>
      </c>
      <c r="AD75" s="31" t="s">
        <v>208</v>
      </c>
      <c r="AE75" s="31" t="s">
        <v>190</v>
      </c>
      <c r="AF75" s="31" t="s">
        <v>170</v>
      </c>
      <c r="AG75" s="31" t="s">
        <v>218</v>
      </c>
      <c r="AH75" s="6">
        <v>81</v>
      </c>
      <c r="AI75" s="2" t="s">
        <v>1236</v>
      </c>
      <c r="AJ75" s="2" t="s">
        <v>1696</v>
      </c>
    </row>
    <row r="76" spans="1:36">
      <c r="A76" s="4" t="s">
        <v>941</v>
      </c>
      <c r="B76" s="20">
        <v>45090</v>
      </c>
      <c r="C76" s="2" t="s">
        <v>487</v>
      </c>
      <c r="D76" s="6">
        <v>1</v>
      </c>
      <c r="E76" s="6">
        <v>9</v>
      </c>
      <c r="F76" s="6">
        <v>1</v>
      </c>
      <c r="G76" s="8" t="s">
        <v>256</v>
      </c>
      <c r="H76" s="8" t="s">
        <v>256</v>
      </c>
      <c r="I76" s="2" t="s">
        <v>5</v>
      </c>
      <c r="J76" s="2" t="s">
        <v>254</v>
      </c>
      <c r="K76" s="6">
        <v>300</v>
      </c>
      <c r="L76" s="6">
        <v>6</v>
      </c>
      <c r="M76" s="6">
        <v>9</v>
      </c>
      <c r="N76" s="6" t="s">
        <v>493</v>
      </c>
      <c r="O76" s="6" t="s">
        <v>493</v>
      </c>
      <c r="P76" s="6" t="s">
        <v>493</v>
      </c>
      <c r="Q76" s="6" t="s">
        <v>493</v>
      </c>
      <c r="R76" s="8">
        <v>7.39</v>
      </c>
      <c r="S76" s="20">
        <v>45090</v>
      </c>
      <c r="T76" s="20">
        <v>45091</v>
      </c>
      <c r="U76" s="33">
        <v>1</v>
      </c>
      <c r="V76" s="8">
        <v>8.4195473105962509E-2</v>
      </c>
      <c r="W76" s="8" t="s">
        <v>256</v>
      </c>
      <c r="X76" s="2" t="s">
        <v>34</v>
      </c>
      <c r="Y76" s="2">
        <v>4</v>
      </c>
      <c r="Z76" s="11" t="s">
        <v>83</v>
      </c>
      <c r="AA76" s="20">
        <v>45279</v>
      </c>
      <c r="AB76" s="8">
        <v>1.248</v>
      </c>
      <c r="AC76" s="33">
        <v>4</v>
      </c>
      <c r="AD76" s="31" t="s">
        <v>196</v>
      </c>
      <c r="AE76" s="31" t="s">
        <v>197</v>
      </c>
      <c r="AF76" s="31" t="s">
        <v>175</v>
      </c>
      <c r="AG76" s="31" t="s">
        <v>223</v>
      </c>
      <c r="AH76" s="6">
        <v>315</v>
      </c>
      <c r="AI76" s="4" t="s">
        <v>1237</v>
      </c>
      <c r="AJ76" s="2" t="s">
        <v>1696</v>
      </c>
    </row>
    <row r="77" spans="1:36">
      <c r="A77" s="4" t="s">
        <v>942</v>
      </c>
      <c r="B77" s="20">
        <v>45090</v>
      </c>
      <c r="C77" s="2" t="s">
        <v>487</v>
      </c>
      <c r="D77" s="6">
        <v>1</v>
      </c>
      <c r="E77" s="6">
        <v>10</v>
      </c>
      <c r="F77" s="6">
        <v>1</v>
      </c>
      <c r="G77" s="8" t="s">
        <v>256</v>
      </c>
      <c r="H77" s="8" t="s">
        <v>256</v>
      </c>
      <c r="I77" s="2" t="s">
        <v>5</v>
      </c>
      <c r="J77" s="2" t="s">
        <v>253</v>
      </c>
      <c r="K77" s="6">
        <v>300</v>
      </c>
      <c r="L77" s="6">
        <v>6</v>
      </c>
      <c r="M77" s="6">
        <v>10</v>
      </c>
      <c r="N77" s="6" t="s">
        <v>493</v>
      </c>
      <c r="O77" s="6" t="s">
        <v>493</v>
      </c>
      <c r="P77" s="6" t="s">
        <v>493</v>
      </c>
      <c r="Q77" s="6" t="s">
        <v>493</v>
      </c>
      <c r="R77" s="8">
        <v>8.6300000000000008</v>
      </c>
      <c r="S77" s="20">
        <v>45090</v>
      </c>
      <c r="T77" s="20">
        <v>45091</v>
      </c>
      <c r="U77" s="33">
        <v>1</v>
      </c>
      <c r="V77" s="8">
        <v>7.0000000000000007E-2</v>
      </c>
      <c r="W77" s="8" t="s">
        <v>256</v>
      </c>
      <c r="X77" s="2" t="s">
        <v>34</v>
      </c>
      <c r="Y77" s="2">
        <v>4</v>
      </c>
      <c r="Z77" s="11" t="s">
        <v>145</v>
      </c>
      <c r="AA77" s="20">
        <v>45279</v>
      </c>
      <c r="AB77" s="8">
        <v>2.4660000000000002</v>
      </c>
      <c r="AC77" s="33">
        <v>4</v>
      </c>
      <c r="AD77" s="31" t="s">
        <v>202</v>
      </c>
      <c r="AE77" s="31" t="s">
        <v>203</v>
      </c>
      <c r="AF77" s="31" t="s">
        <v>174</v>
      </c>
      <c r="AG77" s="31" t="s">
        <v>222</v>
      </c>
      <c r="AH77" s="6">
        <v>350</v>
      </c>
      <c r="AI77" s="4" t="s">
        <v>1238</v>
      </c>
      <c r="AJ77" s="2" t="s">
        <v>1696</v>
      </c>
    </row>
    <row r="78" spans="1:36">
      <c r="A78" s="4" t="s">
        <v>943</v>
      </c>
      <c r="B78" s="20">
        <v>45090</v>
      </c>
      <c r="C78" s="2" t="s">
        <v>487</v>
      </c>
      <c r="D78" s="6">
        <v>1</v>
      </c>
      <c r="E78" s="6">
        <v>17</v>
      </c>
      <c r="F78" s="6">
        <v>2</v>
      </c>
      <c r="G78" s="8" t="s">
        <v>256</v>
      </c>
      <c r="H78" s="8" t="s">
        <v>256</v>
      </c>
      <c r="I78" s="2" t="s">
        <v>4</v>
      </c>
      <c r="J78" s="2" t="s">
        <v>253</v>
      </c>
      <c r="K78" s="6">
        <v>300</v>
      </c>
      <c r="L78" s="6">
        <v>5</v>
      </c>
      <c r="M78" s="6">
        <v>5</v>
      </c>
      <c r="N78" s="6" t="s">
        <v>493</v>
      </c>
      <c r="O78" s="6" t="s">
        <v>493</v>
      </c>
      <c r="P78" s="6" t="s">
        <v>493</v>
      </c>
      <c r="Q78" s="6" t="s">
        <v>493</v>
      </c>
      <c r="R78" s="8">
        <v>8.07</v>
      </c>
      <c r="S78" s="20">
        <v>45090</v>
      </c>
      <c r="T78" s="20">
        <v>45091</v>
      </c>
      <c r="U78" s="33">
        <v>1</v>
      </c>
      <c r="V78" s="8">
        <v>0.08</v>
      </c>
      <c r="W78" s="8" t="s">
        <v>256</v>
      </c>
      <c r="X78" s="2" t="s">
        <v>34</v>
      </c>
      <c r="Y78" s="2">
        <v>4</v>
      </c>
      <c r="Z78" s="11" t="s">
        <v>85</v>
      </c>
      <c r="AA78" s="20">
        <v>45279</v>
      </c>
      <c r="AB78" s="8">
        <v>1.502</v>
      </c>
      <c r="AC78" s="33">
        <v>4</v>
      </c>
      <c r="AD78" s="31" t="s">
        <v>206</v>
      </c>
      <c r="AE78" s="31" t="s">
        <v>207</v>
      </c>
      <c r="AF78" s="31" t="s">
        <v>174</v>
      </c>
      <c r="AG78" s="31" t="s">
        <v>222</v>
      </c>
      <c r="AH78" s="6">
        <v>374</v>
      </c>
      <c r="AI78" s="4" t="s">
        <v>1239</v>
      </c>
      <c r="AJ78" s="2" t="s">
        <v>1696</v>
      </c>
    </row>
    <row r="79" spans="1:36">
      <c r="A79" s="2" t="s">
        <v>944</v>
      </c>
      <c r="B79" s="20">
        <v>45090</v>
      </c>
      <c r="C79" s="2" t="s">
        <v>487</v>
      </c>
      <c r="D79" s="6">
        <v>1</v>
      </c>
      <c r="E79" s="6">
        <v>18</v>
      </c>
      <c r="F79" s="6">
        <v>2</v>
      </c>
      <c r="G79" s="8" t="s">
        <v>256</v>
      </c>
      <c r="H79" s="8" t="s">
        <v>256</v>
      </c>
      <c r="I79" s="2" t="s">
        <v>4</v>
      </c>
      <c r="J79" s="2" t="s">
        <v>40</v>
      </c>
      <c r="K79" s="6">
        <v>300</v>
      </c>
      <c r="L79" s="6">
        <v>5</v>
      </c>
      <c r="M79" s="6">
        <v>6</v>
      </c>
      <c r="N79" s="6" t="s">
        <v>493</v>
      </c>
      <c r="O79" s="6" t="s">
        <v>493</v>
      </c>
      <c r="P79" s="6" t="s">
        <v>493</v>
      </c>
      <c r="Q79" s="6" t="s">
        <v>493</v>
      </c>
      <c r="R79" s="8">
        <v>6.97</v>
      </c>
      <c r="S79" s="20">
        <v>45090</v>
      </c>
      <c r="T79" s="20">
        <v>45091</v>
      </c>
      <c r="U79" s="33">
        <v>1</v>
      </c>
      <c r="V79" s="8">
        <v>0.4110884402651907</v>
      </c>
      <c r="W79" s="8" t="s">
        <v>256</v>
      </c>
      <c r="X79" s="2" t="s">
        <v>33</v>
      </c>
      <c r="Y79" s="2">
        <v>1</v>
      </c>
      <c r="Z79" s="11" t="s">
        <v>127</v>
      </c>
      <c r="AA79" s="20">
        <v>45184</v>
      </c>
      <c r="AB79" s="8">
        <v>3.7074556098203564</v>
      </c>
      <c r="AC79" s="33">
        <v>1</v>
      </c>
      <c r="AD79" s="31" t="s">
        <v>162</v>
      </c>
      <c r="AE79" s="31" t="s">
        <v>192</v>
      </c>
      <c r="AF79" s="31" t="s">
        <v>170</v>
      </c>
      <c r="AG79" s="31" t="s">
        <v>218</v>
      </c>
      <c r="AH79" s="6">
        <v>93</v>
      </c>
      <c r="AI79" s="2" t="s">
        <v>1240</v>
      </c>
      <c r="AJ79" s="2" t="s">
        <v>1696</v>
      </c>
    </row>
    <row r="80" spans="1:36">
      <c r="A80" s="2" t="s">
        <v>945</v>
      </c>
      <c r="B80" s="20">
        <v>45090</v>
      </c>
      <c r="C80" s="2" t="s">
        <v>487</v>
      </c>
      <c r="D80" s="6">
        <v>1</v>
      </c>
      <c r="E80" s="6">
        <v>22</v>
      </c>
      <c r="F80" s="6">
        <v>2</v>
      </c>
      <c r="G80" s="8" t="s">
        <v>256</v>
      </c>
      <c r="H80" s="8" t="s">
        <v>256</v>
      </c>
      <c r="I80" s="2" t="s">
        <v>4</v>
      </c>
      <c r="J80" s="2" t="s">
        <v>254</v>
      </c>
      <c r="K80" s="6">
        <v>300</v>
      </c>
      <c r="L80" s="6">
        <v>5</v>
      </c>
      <c r="M80" s="6">
        <v>10</v>
      </c>
      <c r="N80" s="6" t="s">
        <v>493</v>
      </c>
      <c r="O80" s="6" t="s">
        <v>493</v>
      </c>
      <c r="P80" s="6" t="s">
        <v>493</v>
      </c>
      <c r="Q80" s="6" t="s">
        <v>493</v>
      </c>
      <c r="R80" s="8">
        <v>5.92</v>
      </c>
      <c r="S80" s="20">
        <v>45090</v>
      </c>
      <c r="T80" s="20">
        <v>45091</v>
      </c>
      <c r="U80" s="33">
        <v>1</v>
      </c>
      <c r="V80" s="8">
        <v>0.24635057899999999</v>
      </c>
      <c r="W80" s="8" t="s">
        <v>256</v>
      </c>
      <c r="X80" s="2" t="s">
        <v>34</v>
      </c>
      <c r="Y80" s="2">
        <v>4</v>
      </c>
      <c r="Z80" s="11" t="s">
        <v>94</v>
      </c>
      <c r="AA80" s="20">
        <v>45279</v>
      </c>
      <c r="AB80" s="8">
        <v>7.7009999999999996</v>
      </c>
      <c r="AC80" s="33">
        <v>4</v>
      </c>
      <c r="AD80" s="31" t="s">
        <v>196</v>
      </c>
      <c r="AE80" s="31" t="s">
        <v>197</v>
      </c>
      <c r="AF80" s="31" t="s">
        <v>176</v>
      </c>
      <c r="AG80" s="31" t="s">
        <v>224</v>
      </c>
      <c r="AH80" s="6">
        <v>316</v>
      </c>
      <c r="AI80" s="2" t="s">
        <v>1241</v>
      </c>
      <c r="AJ80" s="2" t="s">
        <v>1696</v>
      </c>
    </row>
    <row r="81" spans="1:36">
      <c r="A81" s="2" t="s">
        <v>946</v>
      </c>
      <c r="B81" s="20">
        <v>45090</v>
      </c>
      <c r="C81" s="2" t="s">
        <v>487</v>
      </c>
      <c r="D81" s="6">
        <v>1</v>
      </c>
      <c r="E81" s="6">
        <v>24</v>
      </c>
      <c r="F81" s="6">
        <v>2</v>
      </c>
      <c r="G81" s="8" t="s">
        <v>256</v>
      </c>
      <c r="H81" s="8" t="s">
        <v>256</v>
      </c>
      <c r="I81" s="2" t="s">
        <v>4</v>
      </c>
      <c r="J81" s="2" t="s">
        <v>255</v>
      </c>
      <c r="K81" s="6">
        <v>300</v>
      </c>
      <c r="L81" s="6">
        <v>5</v>
      </c>
      <c r="M81" s="6">
        <v>12</v>
      </c>
      <c r="N81" s="6" t="s">
        <v>493</v>
      </c>
      <c r="O81" s="6" t="s">
        <v>493</v>
      </c>
      <c r="P81" s="6" t="s">
        <v>493</v>
      </c>
      <c r="Q81" s="6" t="s">
        <v>493</v>
      </c>
      <c r="R81" s="8">
        <v>7.05</v>
      </c>
      <c r="S81" s="20">
        <v>45090</v>
      </c>
      <c r="T81" s="20">
        <v>45091</v>
      </c>
      <c r="U81" s="33">
        <v>1</v>
      </c>
      <c r="V81" s="8">
        <v>0.66986416299999996</v>
      </c>
      <c r="W81" s="8" t="s">
        <v>256</v>
      </c>
      <c r="X81" s="2" t="s">
        <v>33</v>
      </c>
      <c r="Y81" s="2">
        <v>1</v>
      </c>
      <c r="Z81" s="11" t="s">
        <v>119</v>
      </c>
      <c r="AA81" s="20">
        <v>45184</v>
      </c>
      <c r="AB81" s="8">
        <v>9.0961817636446014</v>
      </c>
      <c r="AC81" s="33">
        <v>1</v>
      </c>
      <c r="AD81" s="31" t="s">
        <v>156</v>
      </c>
      <c r="AE81" s="31" t="s">
        <v>185</v>
      </c>
      <c r="AF81" s="31" t="s">
        <v>171</v>
      </c>
      <c r="AG81" s="31" t="s">
        <v>219</v>
      </c>
      <c r="AH81" s="6">
        <v>22</v>
      </c>
      <c r="AI81" s="2" t="s">
        <v>1242</v>
      </c>
      <c r="AJ81" s="2" t="s">
        <v>1696</v>
      </c>
    </row>
    <row r="82" spans="1:36">
      <c r="A82" s="2" t="s">
        <v>947</v>
      </c>
      <c r="B82" s="20">
        <v>45090</v>
      </c>
      <c r="C82" s="2" t="s">
        <v>487</v>
      </c>
      <c r="D82" s="6">
        <v>1</v>
      </c>
      <c r="E82" s="6">
        <v>25</v>
      </c>
      <c r="F82" s="6">
        <v>3</v>
      </c>
      <c r="G82" s="8" t="s">
        <v>256</v>
      </c>
      <c r="H82" s="8" t="s">
        <v>256</v>
      </c>
      <c r="I82" s="2" t="s">
        <v>6</v>
      </c>
      <c r="J82" s="2" t="s">
        <v>253</v>
      </c>
      <c r="K82" s="6">
        <v>300</v>
      </c>
      <c r="L82" s="6">
        <v>4</v>
      </c>
      <c r="M82" s="6">
        <v>1</v>
      </c>
      <c r="N82" s="6" t="s">
        <v>493</v>
      </c>
      <c r="O82" s="6" t="s">
        <v>493</v>
      </c>
      <c r="P82" s="6" t="s">
        <v>493</v>
      </c>
      <c r="Q82" s="6" t="s">
        <v>493</v>
      </c>
      <c r="R82" s="8">
        <v>4.46</v>
      </c>
      <c r="S82" s="20">
        <v>45090</v>
      </c>
      <c r="T82" s="20">
        <v>45091</v>
      </c>
      <c r="U82" s="33">
        <v>1</v>
      </c>
      <c r="V82" s="8">
        <v>0.16363262805518347</v>
      </c>
      <c r="W82" s="8" t="s">
        <v>256</v>
      </c>
      <c r="X82" s="2" t="s">
        <v>33</v>
      </c>
      <c r="Y82" s="2">
        <v>1</v>
      </c>
      <c r="Z82" s="11" t="s">
        <v>244</v>
      </c>
      <c r="AA82" s="20">
        <v>45184</v>
      </c>
      <c r="AB82" s="8">
        <v>2.4414710063079492</v>
      </c>
      <c r="AC82" s="33">
        <v>1</v>
      </c>
      <c r="AD82" s="31" t="s">
        <v>157</v>
      </c>
      <c r="AE82" s="31" t="s">
        <v>186</v>
      </c>
      <c r="AF82" s="31" t="s">
        <v>171</v>
      </c>
      <c r="AG82" s="31" t="s">
        <v>219</v>
      </c>
      <c r="AH82" s="6">
        <v>34</v>
      </c>
      <c r="AI82" s="2" t="s">
        <v>1243</v>
      </c>
      <c r="AJ82" s="2" t="s">
        <v>1696</v>
      </c>
    </row>
    <row r="83" spans="1:36">
      <c r="A83" s="2" t="s">
        <v>948</v>
      </c>
      <c r="B83" s="20">
        <v>45090</v>
      </c>
      <c r="C83" s="2" t="s">
        <v>487</v>
      </c>
      <c r="D83" s="6">
        <v>1</v>
      </c>
      <c r="E83" s="6">
        <v>26</v>
      </c>
      <c r="F83" s="6">
        <v>3</v>
      </c>
      <c r="G83" s="8" t="s">
        <v>256</v>
      </c>
      <c r="H83" s="8" t="s">
        <v>256</v>
      </c>
      <c r="I83" s="2" t="s">
        <v>6</v>
      </c>
      <c r="J83" s="2" t="s">
        <v>255</v>
      </c>
      <c r="K83" s="6">
        <v>300</v>
      </c>
      <c r="L83" s="6">
        <v>4</v>
      </c>
      <c r="M83" s="6">
        <v>2</v>
      </c>
      <c r="N83" s="6" t="s">
        <v>493</v>
      </c>
      <c r="O83" s="6" t="s">
        <v>493</v>
      </c>
      <c r="P83" s="6" t="s">
        <v>493</v>
      </c>
      <c r="Q83" s="6" t="s">
        <v>493</v>
      </c>
      <c r="R83" s="8">
        <v>5.38</v>
      </c>
      <c r="S83" s="20">
        <v>45090</v>
      </c>
      <c r="T83" s="20">
        <v>45091</v>
      </c>
      <c r="U83" s="33">
        <v>1</v>
      </c>
      <c r="V83" s="8">
        <v>0.59</v>
      </c>
      <c r="W83" s="8" t="s">
        <v>256</v>
      </c>
      <c r="X83" s="2" t="s">
        <v>33</v>
      </c>
      <c r="Y83" s="2">
        <v>1</v>
      </c>
      <c r="Z83" s="11" t="s">
        <v>130</v>
      </c>
      <c r="AA83" s="20">
        <v>45184</v>
      </c>
      <c r="AB83" s="8">
        <v>5.3408179595426093</v>
      </c>
      <c r="AC83" s="33">
        <v>1</v>
      </c>
      <c r="AD83" s="31" t="s">
        <v>158</v>
      </c>
      <c r="AE83" s="31" t="s">
        <v>187</v>
      </c>
      <c r="AF83" s="31" t="s">
        <v>171</v>
      </c>
      <c r="AG83" s="31" t="s">
        <v>219</v>
      </c>
      <c r="AH83" s="6">
        <v>46</v>
      </c>
      <c r="AI83" s="2" t="s">
        <v>1244</v>
      </c>
      <c r="AJ83" s="2" t="s">
        <v>1696</v>
      </c>
    </row>
    <row r="84" spans="1:36">
      <c r="A84" s="2" t="s">
        <v>949</v>
      </c>
      <c r="B84" s="20">
        <v>45090</v>
      </c>
      <c r="C84" s="2" t="s">
        <v>487</v>
      </c>
      <c r="D84" s="6">
        <v>1</v>
      </c>
      <c r="E84" s="6">
        <v>28</v>
      </c>
      <c r="F84" s="6">
        <v>3</v>
      </c>
      <c r="G84" s="8" t="s">
        <v>256</v>
      </c>
      <c r="H84" s="8" t="s">
        <v>256</v>
      </c>
      <c r="I84" s="2" t="s">
        <v>6</v>
      </c>
      <c r="J84" s="2" t="s">
        <v>254</v>
      </c>
      <c r="K84" s="6">
        <v>300</v>
      </c>
      <c r="L84" s="6">
        <v>4</v>
      </c>
      <c r="M84" s="6">
        <v>4</v>
      </c>
      <c r="N84" s="6" t="s">
        <v>493</v>
      </c>
      <c r="O84" s="6" t="s">
        <v>493</v>
      </c>
      <c r="P84" s="6" t="s">
        <v>493</v>
      </c>
      <c r="Q84" s="6" t="s">
        <v>493</v>
      </c>
      <c r="R84" s="8">
        <v>4.76</v>
      </c>
      <c r="S84" s="20">
        <v>45090</v>
      </c>
      <c r="T84" s="20">
        <v>45091</v>
      </c>
      <c r="U84" s="33">
        <v>1</v>
      </c>
      <c r="V84" s="8">
        <v>0.11538630679355205</v>
      </c>
      <c r="W84" s="8" t="s">
        <v>256</v>
      </c>
      <c r="X84" s="2" t="s">
        <v>33</v>
      </c>
      <c r="Y84" s="2">
        <v>1</v>
      </c>
      <c r="Z84" s="11" t="s">
        <v>131</v>
      </c>
      <c r="AA84" s="20">
        <v>45184</v>
      </c>
      <c r="AB84" s="8">
        <v>3.0764937877335443</v>
      </c>
      <c r="AC84" s="33">
        <v>1</v>
      </c>
      <c r="AD84" s="31" t="s">
        <v>159</v>
      </c>
      <c r="AE84" s="31" t="s">
        <v>188</v>
      </c>
      <c r="AF84" s="31" t="s">
        <v>171</v>
      </c>
      <c r="AG84" s="31" t="s">
        <v>219</v>
      </c>
      <c r="AH84" s="6">
        <v>58</v>
      </c>
      <c r="AI84" s="2" t="s">
        <v>1245</v>
      </c>
      <c r="AJ84" s="2" t="s">
        <v>1696</v>
      </c>
    </row>
    <row r="85" spans="1:36">
      <c r="A85" s="2" t="s">
        <v>950</v>
      </c>
      <c r="B85" s="20">
        <v>45090</v>
      </c>
      <c r="C85" s="2" t="s">
        <v>487</v>
      </c>
      <c r="D85" s="6">
        <v>1</v>
      </c>
      <c r="E85" s="6">
        <v>35</v>
      </c>
      <c r="F85" s="6">
        <v>3</v>
      </c>
      <c r="G85" s="8" t="s">
        <v>256</v>
      </c>
      <c r="H85" s="8" t="s">
        <v>256</v>
      </c>
      <c r="I85" s="2" t="s">
        <v>6</v>
      </c>
      <c r="J85" s="2" t="s">
        <v>40</v>
      </c>
      <c r="K85" s="6">
        <v>300</v>
      </c>
      <c r="L85" s="6">
        <v>4</v>
      </c>
      <c r="M85" s="6">
        <v>11</v>
      </c>
      <c r="N85" s="6" t="s">
        <v>493</v>
      </c>
      <c r="O85" s="6" t="s">
        <v>493</v>
      </c>
      <c r="P85" s="6" t="s">
        <v>493</v>
      </c>
      <c r="Q85" s="6" t="s">
        <v>493</v>
      </c>
      <c r="R85" s="8">
        <v>4.4400000000000004</v>
      </c>
      <c r="S85" s="20">
        <v>45090</v>
      </c>
      <c r="T85" s="20">
        <v>45091</v>
      </c>
      <c r="U85" s="33">
        <v>1</v>
      </c>
      <c r="V85" s="8">
        <v>0.11043021013151805</v>
      </c>
      <c r="W85" s="8" t="s">
        <v>256</v>
      </c>
      <c r="X85" s="2" t="s">
        <v>33</v>
      </c>
      <c r="Y85" s="2">
        <v>1</v>
      </c>
      <c r="Z85" s="11" t="s">
        <v>132</v>
      </c>
      <c r="AA85" s="20">
        <v>45184</v>
      </c>
      <c r="AB85" s="8">
        <v>3.7873619385083974</v>
      </c>
      <c r="AC85" s="33">
        <v>1</v>
      </c>
      <c r="AD85" s="31" t="s">
        <v>160</v>
      </c>
      <c r="AE85" s="31" t="s">
        <v>189</v>
      </c>
      <c r="AF85" s="31" t="s">
        <v>171</v>
      </c>
      <c r="AG85" s="31" t="s">
        <v>219</v>
      </c>
      <c r="AH85" s="6">
        <v>70</v>
      </c>
      <c r="AI85" s="2" t="s">
        <v>1246</v>
      </c>
      <c r="AJ85" s="2" t="s">
        <v>1696</v>
      </c>
    </row>
    <row r="86" spans="1:36">
      <c r="A86" s="2" t="s">
        <v>951</v>
      </c>
      <c r="B86" s="20">
        <v>45090</v>
      </c>
      <c r="C86" s="2" t="s">
        <v>487</v>
      </c>
      <c r="D86" s="6">
        <v>2</v>
      </c>
      <c r="E86" s="6">
        <v>37</v>
      </c>
      <c r="F86" s="6">
        <v>4</v>
      </c>
      <c r="G86" s="8" t="s">
        <v>256</v>
      </c>
      <c r="H86" s="8" t="s">
        <v>256</v>
      </c>
      <c r="I86" s="2" t="s">
        <v>4</v>
      </c>
      <c r="J86" s="2" t="s">
        <v>40</v>
      </c>
      <c r="K86" s="6">
        <v>300</v>
      </c>
      <c r="L86" s="6">
        <v>3</v>
      </c>
      <c r="M86" s="6">
        <v>1</v>
      </c>
      <c r="N86" s="6" t="s">
        <v>493</v>
      </c>
      <c r="O86" s="6" t="s">
        <v>493</v>
      </c>
      <c r="P86" s="6" t="s">
        <v>493</v>
      </c>
      <c r="Q86" s="6" t="s">
        <v>493</v>
      </c>
      <c r="R86" s="8">
        <v>6.52</v>
      </c>
      <c r="S86" s="20">
        <v>45090</v>
      </c>
      <c r="T86" s="20">
        <v>45091</v>
      </c>
      <c r="U86" s="33">
        <v>1</v>
      </c>
      <c r="V86" s="8">
        <v>0.11777128288678437</v>
      </c>
      <c r="W86" s="8" t="s">
        <v>256</v>
      </c>
      <c r="X86" s="2" t="s">
        <v>33</v>
      </c>
      <c r="Y86" s="2">
        <v>1</v>
      </c>
      <c r="Z86" s="11" t="s">
        <v>133</v>
      </c>
      <c r="AA86" s="20">
        <v>45184</v>
      </c>
      <c r="AB86" s="8">
        <v>2.5394792003225626</v>
      </c>
      <c r="AC86" s="33">
        <v>1</v>
      </c>
      <c r="AD86" s="31" t="s">
        <v>49</v>
      </c>
      <c r="AE86" s="31" t="s">
        <v>190</v>
      </c>
      <c r="AF86" s="31" t="s">
        <v>171</v>
      </c>
      <c r="AG86" s="31" t="s">
        <v>219</v>
      </c>
      <c r="AH86" s="6">
        <v>82</v>
      </c>
      <c r="AI86" s="2" t="s">
        <v>1247</v>
      </c>
      <c r="AJ86" s="2" t="s">
        <v>1696</v>
      </c>
    </row>
    <row r="87" spans="1:36">
      <c r="A87" s="2" t="s">
        <v>952</v>
      </c>
      <c r="B87" s="20">
        <v>45090</v>
      </c>
      <c r="C87" s="2" t="s">
        <v>487</v>
      </c>
      <c r="D87" s="6">
        <v>2</v>
      </c>
      <c r="E87" s="6">
        <v>38</v>
      </c>
      <c r="F87" s="6">
        <v>4</v>
      </c>
      <c r="G87" s="8" t="s">
        <v>256</v>
      </c>
      <c r="H87" s="8" t="s">
        <v>256</v>
      </c>
      <c r="I87" s="2" t="s">
        <v>4</v>
      </c>
      <c r="J87" s="2" t="s">
        <v>255</v>
      </c>
      <c r="K87" s="6">
        <v>300</v>
      </c>
      <c r="L87" s="6">
        <v>3</v>
      </c>
      <c r="M87" s="6">
        <v>2</v>
      </c>
      <c r="N87" s="6" t="s">
        <v>493</v>
      </c>
      <c r="O87" s="6" t="s">
        <v>493</v>
      </c>
      <c r="P87" s="6" t="s">
        <v>493</v>
      </c>
      <c r="Q87" s="6" t="s">
        <v>493</v>
      </c>
      <c r="R87" s="8">
        <v>7.61</v>
      </c>
      <c r="S87" s="20">
        <v>45090</v>
      </c>
      <c r="T87" s="20">
        <v>45091</v>
      </c>
      <c r="U87" s="33">
        <v>1</v>
      </c>
      <c r="V87" s="8">
        <v>0.10575333000000001</v>
      </c>
      <c r="W87" s="8" t="s">
        <v>256</v>
      </c>
      <c r="X87" s="2" t="s">
        <v>33</v>
      </c>
      <c r="Y87" s="2">
        <v>1</v>
      </c>
      <c r="Z87" s="11" t="s">
        <v>134</v>
      </c>
      <c r="AA87" s="20">
        <v>45184</v>
      </c>
      <c r="AB87" s="8">
        <v>2.0162496228314479</v>
      </c>
      <c r="AC87" s="33">
        <v>1</v>
      </c>
      <c r="AD87" s="31" t="s">
        <v>162</v>
      </c>
      <c r="AE87" s="31" t="s">
        <v>192</v>
      </c>
      <c r="AF87" s="31" t="s">
        <v>171</v>
      </c>
      <c r="AG87" s="31" t="s">
        <v>219</v>
      </c>
      <c r="AH87" s="6">
        <v>94</v>
      </c>
      <c r="AI87" s="2" t="s">
        <v>1248</v>
      </c>
      <c r="AJ87" s="2" t="s">
        <v>1696</v>
      </c>
    </row>
    <row r="88" spans="1:36">
      <c r="A88" s="2" t="s">
        <v>953</v>
      </c>
      <c r="B88" s="20">
        <v>45090</v>
      </c>
      <c r="C88" s="2" t="s">
        <v>487</v>
      </c>
      <c r="D88" s="6">
        <v>2</v>
      </c>
      <c r="E88" s="6">
        <v>41</v>
      </c>
      <c r="F88" s="6">
        <v>4</v>
      </c>
      <c r="G88" s="8" t="s">
        <v>256</v>
      </c>
      <c r="H88" s="8" t="s">
        <v>256</v>
      </c>
      <c r="I88" s="2" t="s">
        <v>4</v>
      </c>
      <c r="J88" s="2" t="s">
        <v>253</v>
      </c>
      <c r="K88" s="6">
        <v>300</v>
      </c>
      <c r="L88" s="6">
        <v>3</v>
      </c>
      <c r="M88" s="6">
        <v>5</v>
      </c>
      <c r="N88" s="6" t="s">
        <v>493</v>
      </c>
      <c r="O88" s="6" t="s">
        <v>493</v>
      </c>
      <c r="P88" s="6" t="s">
        <v>493</v>
      </c>
      <c r="Q88" s="6" t="s">
        <v>493</v>
      </c>
      <c r="R88" s="8">
        <v>7.25</v>
      </c>
      <c r="S88" s="20">
        <v>45090</v>
      </c>
      <c r="T88" s="20">
        <v>45091</v>
      </c>
      <c r="U88" s="33">
        <v>1</v>
      </c>
      <c r="V88" s="8">
        <v>0.1490551888121586</v>
      </c>
      <c r="W88" s="8" t="s">
        <v>256</v>
      </c>
      <c r="X88" s="2" t="s">
        <v>33</v>
      </c>
      <c r="Y88" s="2">
        <v>1</v>
      </c>
      <c r="Z88" s="11" t="s">
        <v>67</v>
      </c>
      <c r="AA88" s="20">
        <v>45184</v>
      </c>
      <c r="AB88" s="8">
        <v>3.1342372917562304</v>
      </c>
      <c r="AC88" s="33">
        <v>1</v>
      </c>
      <c r="AD88" s="31" t="s">
        <v>155</v>
      </c>
      <c r="AE88" s="31" t="s">
        <v>184</v>
      </c>
      <c r="AF88" s="31" t="s">
        <v>69</v>
      </c>
      <c r="AG88" s="31" t="s">
        <v>214</v>
      </c>
      <c r="AH88" s="6">
        <v>11</v>
      </c>
      <c r="AI88" s="2" t="s">
        <v>1249</v>
      </c>
      <c r="AJ88" s="2" t="s">
        <v>1696</v>
      </c>
    </row>
    <row r="89" spans="1:36">
      <c r="A89" s="2" t="s">
        <v>954</v>
      </c>
      <c r="B89" s="20">
        <v>45090</v>
      </c>
      <c r="C89" s="2" t="s">
        <v>487</v>
      </c>
      <c r="D89" s="6">
        <v>2</v>
      </c>
      <c r="E89" s="6">
        <v>44</v>
      </c>
      <c r="F89" s="6">
        <v>4</v>
      </c>
      <c r="G89" s="8" t="s">
        <v>256</v>
      </c>
      <c r="H89" s="8" t="s">
        <v>256</v>
      </c>
      <c r="I89" s="2" t="s">
        <v>4</v>
      </c>
      <c r="J89" s="2" t="s">
        <v>254</v>
      </c>
      <c r="K89" s="6">
        <v>300</v>
      </c>
      <c r="L89" s="6">
        <v>3</v>
      </c>
      <c r="M89" s="6">
        <v>8</v>
      </c>
      <c r="N89" s="6" t="s">
        <v>493</v>
      </c>
      <c r="O89" s="6" t="s">
        <v>493</v>
      </c>
      <c r="P89" s="6" t="s">
        <v>493</v>
      </c>
      <c r="Q89" s="6" t="s">
        <v>493</v>
      </c>
      <c r="R89" s="8">
        <v>5.97</v>
      </c>
      <c r="S89" s="20">
        <v>45090</v>
      </c>
      <c r="T89" s="20">
        <v>45091</v>
      </c>
      <c r="U89" s="33">
        <v>1</v>
      </c>
      <c r="V89" s="8">
        <v>0.28311411331126124</v>
      </c>
      <c r="W89" s="8" t="s">
        <v>256</v>
      </c>
      <c r="X89" s="2" t="s">
        <v>33</v>
      </c>
      <c r="Y89" s="2">
        <v>1</v>
      </c>
      <c r="Z89" s="11" t="s">
        <v>70</v>
      </c>
      <c r="AA89" s="20">
        <v>45184</v>
      </c>
      <c r="AB89" s="8">
        <v>6.7511724490277283</v>
      </c>
      <c r="AC89" s="33">
        <v>1</v>
      </c>
      <c r="AD89" s="31" t="s">
        <v>156</v>
      </c>
      <c r="AE89" s="31" t="s">
        <v>185</v>
      </c>
      <c r="AF89" s="31" t="s">
        <v>69</v>
      </c>
      <c r="AG89" s="31" t="s">
        <v>214</v>
      </c>
      <c r="AH89" s="6">
        <v>23</v>
      </c>
      <c r="AI89" s="2" t="s">
        <v>1250</v>
      </c>
      <c r="AJ89" s="2" t="s">
        <v>1696</v>
      </c>
    </row>
    <row r="90" spans="1:36">
      <c r="A90" s="2" t="s">
        <v>955</v>
      </c>
      <c r="B90" s="20">
        <v>45090</v>
      </c>
      <c r="C90" s="2" t="s">
        <v>487</v>
      </c>
      <c r="D90" s="6">
        <v>2</v>
      </c>
      <c r="E90" s="6">
        <v>51</v>
      </c>
      <c r="F90" s="6">
        <v>5</v>
      </c>
      <c r="G90" s="8" t="s">
        <v>256</v>
      </c>
      <c r="H90" s="8" t="s">
        <v>256</v>
      </c>
      <c r="I90" s="2" t="s">
        <v>6</v>
      </c>
      <c r="J90" s="2" t="s">
        <v>40</v>
      </c>
      <c r="K90" s="6">
        <v>300</v>
      </c>
      <c r="L90" s="6">
        <v>2</v>
      </c>
      <c r="M90" s="6">
        <v>3</v>
      </c>
      <c r="N90" s="6" t="s">
        <v>493</v>
      </c>
      <c r="O90" s="6" t="s">
        <v>493</v>
      </c>
      <c r="P90" s="6" t="s">
        <v>493</v>
      </c>
      <c r="Q90" s="6" t="s">
        <v>493</v>
      </c>
      <c r="R90" s="8">
        <v>6.09</v>
      </c>
      <c r="S90" s="20">
        <v>45090</v>
      </c>
      <c r="T90" s="20">
        <v>45091</v>
      </c>
      <c r="U90" s="33">
        <v>1</v>
      </c>
      <c r="V90" s="8">
        <v>0.14630955779751065</v>
      </c>
      <c r="W90" s="8" t="s">
        <v>256</v>
      </c>
      <c r="X90" s="2" t="s">
        <v>33</v>
      </c>
      <c r="Y90" s="2">
        <v>1</v>
      </c>
      <c r="Z90" s="11" t="s">
        <v>71</v>
      </c>
      <c r="AA90" s="20">
        <v>45184</v>
      </c>
      <c r="AB90" s="8">
        <v>3.4989559440428732</v>
      </c>
      <c r="AC90" s="33">
        <v>1</v>
      </c>
      <c r="AD90" s="31" t="s">
        <v>157</v>
      </c>
      <c r="AE90" s="31" t="s">
        <v>186</v>
      </c>
      <c r="AF90" s="31" t="s">
        <v>69</v>
      </c>
      <c r="AG90" s="31" t="s">
        <v>214</v>
      </c>
      <c r="AH90" s="6">
        <v>35</v>
      </c>
      <c r="AI90" s="2" t="s">
        <v>1251</v>
      </c>
      <c r="AJ90" s="2" t="s">
        <v>1696</v>
      </c>
    </row>
    <row r="91" spans="1:36">
      <c r="A91" s="2" t="s">
        <v>956</v>
      </c>
      <c r="B91" s="20">
        <v>45090</v>
      </c>
      <c r="C91" s="2" t="s">
        <v>487</v>
      </c>
      <c r="D91" s="6">
        <v>2</v>
      </c>
      <c r="E91" s="6">
        <v>53</v>
      </c>
      <c r="F91" s="6">
        <v>5</v>
      </c>
      <c r="G91" s="8" t="s">
        <v>256</v>
      </c>
      <c r="H91" s="8" t="s">
        <v>256</v>
      </c>
      <c r="I91" s="2" t="s">
        <v>6</v>
      </c>
      <c r="J91" s="2" t="s">
        <v>255</v>
      </c>
      <c r="K91" s="6">
        <v>300</v>
      </c>
      <c r="L91" s="6">
        <v>2</v>
      </c>
      <c r="M91" s="6">
        <v>5</v>
      </c>
      <c r="N91" s="6" t="s">
        <v>493</v>
      </c>
      <c r="O91" s="6" t="s">
        <v>493</v>
      </c>
      <c r="P91" s="6" t="s">
        <v>493</v>
      </c>
      <c r="Q91" s="6" t="s">
        <v>493</v>
      </c>
      <c r="R91" s="8">
        <v>5.99</v>
      </c>
      <c r="S91" s="20">
        <v>45090</v>
      </c>
      <c r="T91" s="20">
        <v>45091</v>
      </c>
      <c r="U91" s="33">
        <v>1</v>
      </c>
      <c r="V91" s="8">
        <v>0.12462372639368113</v>
      </c>
      <c r="W91" s="8" t="s">
        <v>256</v>
      </c>
      <c r="X91" s="2" t="s">
        <v>33</v>
      </c>
      <c r="Y91" s="2">
        <v>1</v>
      </c>
      <c r="Z91" s="11" t="s">
        <v>72</v>
      </c>
      <c r="AA91" s="20">
        <v>45184</v>
      </c>
      <c r="AB91" s="8">
        <v>3.2487897228578828</v>
      </c>
      <c r="AC91" s="33">
        <v>1</v>
      </c>
      <c r="AD91" s="31" t="s">
        <v>158</v>
      </c>
      <c r="AE91" s="31" t="s">
        <v>187</v>
      </c>
      <c r="AF91" s="31" t="s">
        <v>69</v>
      </c>
      <c r="AG91" s="31" t="s">
        <v>214</v>
      </c>
      <c r="AH91" s="6">
        <v>47</v>
      </c>
      <c r="AI91" s="2" t="s">
        <v>1252</v>
      </c>
      <c r="AJ91" s="2" t="s">
        <v>1696</v>
      </c>
    </row>
    <row r="92" spans="1:36">
      <c r="A92" s="2" t="s">
        <v>957</v>
      </c>
      <c r="B92" s="20">
        <v>45090</v>
      </c>
      <c r="C92" s="2" t="s">
        <v>487</v>
      </c>
      <c r="D92" s="6">
        <v>2</v>
      </c>
      <c r="E92" s="6">
        <v>55</v>
      </c>
      <c r="F92" s="6">
        <v>5</v>
      </c>
      <c r="G92" s="8" t="s">
        <v>256</v>
      </c>
      <c r="H92" s="8" t="s">
        <v>256</v>
      </c>
      <c r="I92" s="2" t="s">
        <v>6</v>
      </c>
      <c r="J92" s="2" t="s">
        <v>253</v>
      </c>
      <c r="K92" s="6">
        <v>300</v>
      </c>
      <c r="L92" s="6">
        <v>2</v>
      </c>
      <c r="M92" s="6">
        <v>7</v>
      </c>
      <c r="N92" s="6" t="s">
        <v>493</v>
      </c>
      <c r="O92" s="6" t="s">
        <v>493</v>
      </c>
      <c r="P92" s="6" t="s">
        <v>493</v>
      </c>
      <c r="Q92" s="6" t="s">
        <v>493</v>
      </c>
      <c r="R92" s="8">
        <v>5.61</v>
      </c>
      <c r="S92" s="20">
        <v>45090</v>
      </c>
      <c r="T92" s="20">
        <v>45091</v>
      </c>
      <c r="U92" s="33">
        <v>1</v>
      </c>
      <c r="V92" s="8">
        <v>0.13</v>
      </c>
      <c r="W92" s="8" t="s">
        <v>256</v>
      </c>
      <c r="X92" s="2" t="s">
        <v>33</v>
      </c>
      <c r="Y92" s="2">
        <v>1</v>
      </c>
      <c r="Z92" s="11" t="s">
        <v>73</v>
      </c>
      <c r="AA92" s="20">
        <v>45184</v>
      </c>
      <c r="AB92" s="8">
        <v>2.1392911278385549</v>
      </c>
      <c r="AC92" s="33">
        <v>1</v>
      </c>
      <c r="AD92" s="31" t="s">
        <v>159</v>
      </c>
      <c r="AE92" s="31" t="s">
        <v>188</v>
      </c>
      <c r="AF92" s="31" t="s">
        <v>69</v>
      </c>
      <c r="AG92" s="31" t="s">
        <v>214</v>
      </c>
      <c r="AH92" s="6">
        <v>59</v>
      </c>
      <c r="AI92" s="2" t="s">
        <v>1253</v>
      </c>
      <c r="AJ92" s="2" t="s">
        <v>1696</v>
      </c>
    </row>
    <row r="93" spans="1:36">
      <c r="A93" s="2" t="s">
        <v>958</v>
      </c>
      <c r="B93" s="20">
        <v>45090</v>
      </c>
      <c r="C93" s="2" t="s">
        <v>487</v>
      </c>
      <c r="D93" s="6">
        <v>2</v>
      </c>
      <c r="E93" s="6">
        <v>59</v>
      </c>
      <c r="F93" s="6">
        <v>5</v>
      </c>
      <c r="G93" s="8" t="s">
        <v>256</v>
      </c>
      <c r="H93" s="8" t="s">
        <v>256</v>
      </c>
      <c r="I93" s="2" t="s">
        <v>6</v>
      </c>
      <c r="J93" s="2" t="s">
        <v>254</v>
      </c>
      <c r="K93" s="6">
        <v>300</v>
      </c>
      <c r="L93" s="6">
        <v>2</v>
      </c>
      <c r="M93" s="6">
        <v>11</v>
      </c>
      <c r="N93" s="6" t="s">
        <v>493</v>
      </c>
      <c r="O93" s="6" t="s">
        <v>493</v>
      </c>
      <c r="P93" s="6" t="s">
        <v>493</v>
      </c>
      <c r="Q93" s="6" t="s">
        <v>493</v>
      </c>
      <c r="R93" s="8">
        <v>5.49</v>
      </c>
      <c r="S93" s="20">
        <v>45090</v>
      </c>
      <c r="T93" s="20">
        <v>45091</v>
      </c>
      <c r="U93" s="33">
        <v>1</v>
      </c>
      <c r="V93" s="8">
        <v>0.2143453636181088</v>
      </c>
      <c r="W93" s="8" t="s">
        <v>256</v>
      </c>
      <c r="X93" s="2" t="s">
        <v>33</v>
      </c>
      <c r="Y93" s="2">
        <v>1</v>
      </c>
      <c r="Z93" s="11" t="s">
        <v>74</v>
      </c>
      <c r="AA93" s="20">
        <v>45184</v>
      </c>
      <c r="AB93" s="8">
        <v>3.8707061752394076</v>
      </c>
      <c r="AC93" s="33">
        <v>1</v>
      </c>
      <c r="AD93" s="31" t="s">
        <v>160</v>
      </c>
      <c r="AE93" s="31" t="s">
        <v>189</v>
      </c>
      <c r="AF93" s="31" t="s">
        <v>69</v>
      </c>
      <c r="AG93" s="31" t="s">
        <v>214</v>
      </c>
      <c r="AH93" s="6">
        <v>71</v>
      </c>
      <c r="AI93" s="2" t="s">
        <v>1254</v>
      </c>
      <c r="AJ93" s="2" t="s">
        <v>1696</v>
      </c>
    </row>
    <row r="94" spans="1:36">
      <c r="A94" s="2" t="s">
        <v>959</v>
      </c>
      <c r="B94" s="20">
        <v>45090</v>
      </c>
      <c r="C94" s="2" t="s">
        <v>487</v>
      </c>
      <c r="D94" s="6">
        <v>2</v>
      </c>
      <c r="E94" s="6">
        <v>61</v>
      </c>
      <c r="F94" s="6">
        <v>6</v>
      </c>
      <c r="G94" s="8" t="s">
        <v>256</v>
      </c>
      <c r="H94" s="8" t="s">
        <v>256</v>
      </c>
      <c r="I94" s="2" t="s">
        <v>5</v>
      </c>
      <c r="J94" s="2" t="s">
        <v>40</v>
      </c>
      <c r="K94" s="6">
        <v>300</v>
      </c>
      <c r="L94" s="6">
        <v>1</v>
      </c>
      <c r="M94" s="6">
        <v>1</v>
      </c>
      <c r="N94" s="6" t="s">
        <v>493</v>
      </c>
      <c r="O94" s="6" t="s">
        <v>493</v>
      </c>
      <c r="P94" s="6" t="s">
        <v>493</v>
      </c>
      <c r="Q94" s="6" t="s">
        <v>493</v>
      </c>
      <c r="R94" s="8">
        <v>7.67</v>
      </c>
      <c r="S94" s="20">
        <v>45090</v>
      </c>
      <c r="T94" s="20">
        <v>45091</v>
      </c>
      <c r="U94" s="33">
        <v>1</v>
      </c>
      <c r="V94" s="8">
        <v>0.40638829225706458</v>
      </c>
      <c r="W94" s="8" t="s">
        <v>256</v>
      </c>
      <c r="X94" s="2" t="s">
        <v>33</v>
      </c>
      <c r="Y94" s="2">
        <v>3</v>
      </c>
      <c r="Z94" s="11" t="s">
        <v>67</v>
      </c>
      <c r="AA94" s="20">
        <v>45272</v>
      </c>
      <c r="AB94" s="8">
        <v>8.2756139358705472</v>
      </c>
      <c r="AC94" s="33">
        <v>3</v>
      </c>
      <c r="AD94" s="31" t="s">
        <v>42</v>
      </c>
      <c r="AE94" s="31" t="s">
        <v>193</v>
      </c>
      <c r="AF94" s="31" t="s">
        <v>69</v>
      </c>
      <c r="AG94" s="31" t="s">
        <v>214</v>
      </c>
      <c r="AH94" s="6">
        <v>107</v>
      </c>
      <c r="AI94" s="2" t="s">
        <v>1255</v>
      </c>
      <c r="AJ94" s="2" t="s">
        <v>1696</v>
      </c>
    </row>
    <row r="95" spans="1:36">
      <c r="A95" s="2" t="s">
        <v>960</v>
      </c>
      <c r="B95" s="20">
        <v>45090</v>
      </c>
      <c r="C95" s="2" t="s">
        <v>487</v>
      </c>
      <c r="D95" s="6">
        <v>2</v>
      </c>
      <c r="E95" s="6">
        <v>66</v>
      </c>
      <c r="F95" s="6">
        <v>6</v>
      </c>
      <c r="G95" s="8" t="s">
        <v>256</v>
      </c>
      <c r="H95" s="8" t="s">
        <v>256</v>
      </c>
      <c r="I95" s="2" t="s">
        <v>5</v>
      </c>
      <c r="J95" s="2" t="s">
        <v>254</v>
      </c>
      <c r="K95" s="6">
        <v>300</v>
      </c>
      <c r="L95" s="6">
        <v>1</v>
      </c>
      <c r="M95" s="6">
        <v>6</v>
      </c>
      <c r="N95" s="6" t="s">
        <v>493</v>
      </c>
      <c r="O95" s="6" t="s">
        <v>493</v>
      </c>
      <c r="P95" s="6" t="s">
        <v>493</v>
      </c>
      <c r="Q95" s="6" t="s">
        <v>493</v>
      </c>
      <c r="R95" s="8">
        <v>8.14</v>
      </c>
      <c r="S95" s="20">
        <v>45090</v>
      </c>
      <c r="T95" s="20">
        <v>45091</v>
      </c>
      <c r="U95" s="33">
        <v>1</v>
      </c>
      <c r="V95" s="8">
        <v>0.26546529022134208</v>
      </c>
      <c r="W95" s="8" t="s">
        <v>256</v>
      </c>
      <c r="X95" s="2" t="s">
        <v>33</v>
      </c>
      <c r="Y95" s="2">
        <v>3</v>
      </c>
      <c r="Z95" s="11" t="s">
        <v>70</v>
      </c>
      <c r="AA95" s="20">
        <v>45272</v>
      </c>
      <c r="AB95" s="8">
        <v>2.6308246701254876</v>
      </c>
      <c r="AC95" s="33">
        <v>3</v>
      </c>
      <c r="AD95" s="31" t="s">
        <v>194</v>
      </c>
      <c r="AE95" s="31" t="s">
        <v>195</v>
      </c>
      <c r="AF95" s="31" t="s">
        <v>69</v>
      </c>
      <c r="AG95" s="31" t="s">
        <v>214</v>
      </c>
      <c r="AH95" s="6">
        <v>119</v>
      </c>
      <c r="AI95" s="2" t="s">
        <v>1256</v>
      </c>
      <c r="AJ95" s="2" t="s">
        <v>1696</v>
      </c>
    </row>
    <row r="96" spans="1:36">
      <c r="A96" s="2" t="s">
        <v>961</v>
      </c>
      <c r="B96" s="20">
        <v>45090</v>
      </c>
      <c r="C96" s="2" t="s">
        <v>487</v>
      </c>
      <c r="D96" s="6">
        <v>2</v>
      </c>
      <c r="E96" s="6">
        <v>68</v>
      </c>
      <c r="F96" s="6">
        <v>6</v>
      </c>
      <c r="G96" s="8" t="s">
        <v>256</v>
      </c>
      <c r="H96" s="8" t="s">
        <v>256</v>
      </c>
      <c r="I96" s="2" t="s">
        <v>5</v>
      </c>
      <c r="J96" s="2" t="s">
        <v>255</v>
      </c>
      <c r="K96" s="6">
        <v>300</v>
      </c>
      <c r="L96" s="6">
        <v>1</v>
      </c>
      <c r="M96" s="6">
        <v>8</v>
      </c>
      <c r="N96" s="6" t="s">
        <v>493</v>
      </c>
      <c r="O96" s="6" t="s">
        <v>493</v>
      </c>
      <c r="P96" s="6" t="s">
        <v>493</v>
      </c>
      <c r="Q96" s="6" t="s">
        <v>493</v>
      </c>
      <c r="R96" s="8">
        <v>8.59</v>
      </c>
      <c r="S96" s="20">
        <v>45090</v>
      </c>
      <c r="T96" s="20">
        <v>45091</v>
      </c>
      <c r="U96" s="33">
        <v>1</v>
      </c>
      <c r="V96" s="8">
        <v>0.14013188800000001</v>
      </c>
      <c r="W96" s="8" t="s">
        <v>256</v>
      </c>
      <c r="X96" s="2" t="s">
        <v>33</v>
      </c>
      <c r="Y96" s="2">
        <v>3</v>
      </c>
      <c r="Z96" s="11" t="s">
        <v>71</v>
      </c>
      <c r="AA96" s="20">
        <v>45272</v>
      </c>
      <c r="AB96" s="8">
        <v>7.6349697938569623</v>
      </c>
      <c r="AC96" s="33">
        <v>3</v>
      </c>
      <c r="AD96" s="31" t="s">
        <v>196</v>
      </c>
      <c r="AE96" s="31" t="s">
        <v>197</v>
      </c>
      <c r="AF96" s="31" t="s">
        <v>69</v>
      </c>
      <c r="AG96" s="31" t="s">
        <v>214</v>
      </c>
      <c r="AH96" s="6">
        <v>131</v>
      </c>
      <c r="AI96" s="2" t="s">
        <v>1257</v>
      </c>
      <c r="AJ96" s="2" t="s">
        <v>1696</v>
      </c>
    </row>
    <row r="97" spans="1:36">
      <c r="A97" s="2" t="s">
        <v>962</v>
      </c>
      <c r="B97" s="20">
        <v>45090</v>
      </c>
      <c r="C97" s="2" t="s">
        <v>487</v>
      </c>
      <c r="D97" s="6">
        <v>2</v>
      </c>
      <c r="E97" s="6">
        <v>72</v>
      </c>
      <c r="F97" s="6">
        <v>6</v>
      </c>
      <c r="G97" s="8" t="s">
        <v>256</v>
      </c>
      <c r="H97" s="8" t="s">
        <v>256</v>
      </c>
      <c r="I97" s="2" t="s">
        <v>5</v>
      </c>
      <c r="J97" s="2" t="s">
        <v>253</v>
      </c>
      <c r="K97" s="6">
        <v>300</v>
      </c>
      <c r="L97" s="6">
        <v>1</v>
      </c>
      <c r="M97" s="6">
        <v>12</v>
      </c>
      <c r="N97" s="6" t="s">
        <v>493</v>
      </c>
      <c r="O97" s="6" t="s">
        <v>493</v>
      </c>
      <c r="P97" s="6" t="s">
        <v>493</v>
      </c>
      <c r="Q97" s="6" t="s">
        <v>493</v>
      </c>
      <c r="R97" s="8">
        <v>9.81</v>
      </c>
      <c r="S97" s="20">
        <v>45090</v>
      </c>
      <c r="T97" s="20">
        <v>45091</v>
      </c>
      <c r="U97" s="33">
        <v>1</v>
      </c>
      <c r="V97" s="8">
        <v>1.0349051140169816</v>
      </c>
      <c r="W97" s="8" t="s">
        <v>256</v>
      </c>
      <c r="X97" s="2" t="s">
        <v>33</v>
      </c>
      <c r="Y97" s="2">
        <v>3</v>
      </c>
      <c r="Z97" s="11" t="s">
        <v>72</v>
      </c>
      <c r="AA97" s="20">
        <v>45272</v>
      </c>
      <c r="AB97" s="8">
        <v>8.3865848495467041</v>
      </c>
      <c r="AC97" s="33">
        <v>3</v>
      </c>
      <c r="AD97" s="31" t="s">
        <v>198</v>
      </c>
      <c r="AE97" s="31" t="s">
        <v>199</v>
      </c>
      <c r="AF97" s="31" t="s">
        <v>69</v>
      </c>
      <c r="AG97" s="31" t="s">
        <v>214</v>
      </c>
      <c r="AH97" s="6">
        <v>143</v>
      </c>
      <c r="AI97" s="2" t="s">
        <v>1258</v>
      </c>
      <c r="AJ97" s="2" t="s">
        <v>1696</v>
      </c>
    </row>
    <row r="98" spans="1:36">
      <c r="A98" s="2" t="s">
        <v>963</v>
      </c>
      <c r="B98" s="20">
        <v>45090</v>
      </c>
      <c r="C98" s="2" t="s">
        <v>487</v>
      </c>
      <c r="D98" s="6">
        <v>3</v>
      </c>
      <c r="E98" s="6">
        <v>75</v>
      </c>
      <c r="F98" s="6">
        <v>7</v>
      </c>
      <c r="G98" s="8" t="s">
        <v>256</v>
      </c>
      <c r="H98" s="8" t="s">
        <v>256</v>
      </c>
      <c r="I98" s="2" t="s">
        <v>4</v>
      </c>
      <c r="J98" s="2" t="s">
        <v>255</v>
      </c>
      <c r="K98" s="6">
        <v>300</v>
      </c>
      <c r="L98" s="6">
        <v>6</v>
      </c>
      <c r="M98" s="6">
        <v>15</v>
      </c>
      <c r="N98" s="6" t="s">
        <v>493</v>
      </c>
      <c r="O98" s="6" t="s">
        <v>493</v>
      </c>
      <c r="P98" s="6" t="s">
        <v>493</v>
      </c>
      <c r="Q98" s="6" t="s">
        <v>493</v>
      </c>
      <c r="R98" s="8">
        <v>5.68</v>
      </c>
      <c r="S98" s="20">
        <v>45090</v>
      </c>
      <c r="T98" s="20">
        <v>45091</v>
      </c>
      <c r="U98" s="33">
        <v>1</v>
      </c>
      <c r="V98" s="8">
        <v>0.3</v>
      </c>
      <c r="W98" s="8" t="s">
        <v>256</v>
      </c>
      <c r="X98" s="2" t="s">
        <v>33</v>
      </c>
      <c r="Y98" s="2">
        <v>3</v>
      </c>
      <c r="Z98" s="11" t="s">
        <v>73</v>
      </c>
      <c r="AA98" s="20">
        <v>45272</v>
      </c>
      <c r="AB98" s="8">
        <v>3.1391625495106212</v>
      </c>
      <c r="AC98" s="33">
        <v>3</v>
      </c>
      <c r="AD98" s="31" t="s">
        <v>200</v>
      </c>
      <c r="AE98" s="31" t="s">
        <v>201</v>
      </c>
      <c r="AF98" s="31" t="s">
        <v>69</v>
      </c>
      <c r="AG98" s="31" t="s">
        <v>214</v>
      </c>
      <c r="AH98" s="6">
        <v>155</v>
      </c>
      <c r="AI98" s="2" t="s">
        <v>1259</v>
      </c>
      <c r="AJ98" s="2" t="s">
        <v>1696</v>
      </c>
    </row>
    <row r="99" spans="1:36">
      <c r="A99" s="2" t="s">
        <v>964</v>
      </c>
      <c r="B99" s="20">
        <v>45090</v>
      </c>
      <c r="C99" s="2" t="s">
        <v>487</v>
      </c>
      <c r="D99" s="6">
        <v>3</v>
      </c>
      <c r="E99" s="6">
        <v>80</v>
      </c>
      <c r="F99" s="6">
        <v>7</v>
      </c>
      <c r="G99" s="8" t="s">
        <v>256</v>
      </c>
      <c r="H99" s="8" t="s">
        <v>256</v>
      </c>
      <c r="I99" s="2" t="s">
        <v>4</v>
      </c>
      <c r="J99" s="2" t="s">
        <v>40</v>
      </c>
      <c r="K99" s="6">
        <v>300</v>
      </c>
      <c r="L99" s="6">
        <v>6</v>
      </c>
      <c r="M99" s="6">
        <v>20</v>
      </c>
      <c r="N99" s="6" t="s">
        <v>493</v>
      </c>
      <c r="O99" s="6" t="s">
        <v>493</v>
      </c>
      <c r="P99" s="6" t="s">
        <v>493</v>
      </c>
      <c r="Q99" s="6" t="s">
        <v>493</v>
      </c>
      <c r="R99" s="8">
        <v>5.51</v>
      </c>
      <c r="S99" s="20">
        <v>45090</v>
      </c>
      <c r="T99" s="20">
        <v>45091</v>
      </c>
      <c r="U99" s="33">
        <v>1</v>
      </c>
      <c r="V99" s="8">
        <v>0.99</v>
      </c>
      <c r="W99" s="8" t="s">
        <v>256</v>
      </c>
      <c r="X99" s="2" t="s">
        <v>33</v>
      </c>
      <c r="Y99" s="2">
        <v>3</v>
      </c>
      <c r="Z99" s="11" t="s">
        <v>74</v>
      </c>
      <c r="AA99" s="20">
        <v>45272</v>
      </c>
      <c r="AB99" s="8">
        <v>15.566331047487463</v>
      </c>
      <c r="AC99" s="33">
        <v>3</v>
      </c>
      <c r="AD99" s="31" t="s">
        <v>202</v>
      </c>
      <c r="AE99" s="31" t="s">
        <v>203</v>
      </c>
      <c r="AF99" s="31" t="s">
        <v>69</v>
      </c>
      <c r="AG99" s="31" t="s">
        <v>214</v>
      </c>
      <c r="AH99" s="6">
        <v>167</v>
      </c>
      <c r="AI99" s="2" t="s">
        <v>1260</v>
      </c>
      <c r="AJ99" s="2" t="s">
        <v>1696</v>
      </c>
    </row>
    <row r="100" spans="1:36">
      <c r="A100" s="2" t="s">
        <v>965</v>
      </c>
      <c r="B100" s="20">
        <v>45090</v>
      </c>
      <c r="C100" s="2" t="s">
        <v>487</v>
      </c>
      <c r="D100" s="6">
        <v>3</v>
      </c>
      <c r="E100" s="6">
        <v>81</v>
      </c>
      <c r="F100" s="6">
        <v>7</v>
      </c>
      <c r="G100" s="8" t="s">
        <v>256</v>
      </c>
      <c r="H100" s="8" t="s">
        <v>256</v>
      </c>
      <c r="I100" s="2" t="s">
        <v>4</v>
      </c>
      <c r="J100" s="2" t="s">
        <v>254</v>
      </c>
      <c r="K100" s="6">
        <v>300</v>
      </c>
      <c r="L100" s="6">
        <v>6</v>
      </c>
      <c r="M100" s="6">
        <v>21</v>
      </c>
      <c r="N100" s="6" t="s">
        <v>493</v>
      </c>
      <c r="O100" s="6" t="s">
        <v>493</v>
      </c>
      <c r="P100" s="6" t="s">
        <v>493</v>
      </c>
      <c r="Q100" s="6" t="s">
        <v>493</v>
      </c>
      <c r="R100" s="8">
        <v>4.95</v>
      </c>
      <c r="S100" s="20">
        <v>45090</v>
      </c>
      <c r="T100" s="20">
        <v>45091</v>
      </c>
      <c r="U100" s="33">
        <v>1</v>
      </c>
      <c r="V100" s="8">
        <v>0.35</v>
      </c>
      <c r="W100" s="8" t="s">
        <v>256</v>
      </c>
      <c r="X100" s="2" t="s">
        <v>33</v>
      </c>
      <c r="Y100" s="2">
        <v>3</v>
      </c>
      <c r="Z100" s="11" t="s">
        <v>75</v>
      </c>
      <c r="AA100" s="20">
        <v>45272</v>
      </c>
      <c r="AB100" s="8">
        <v>17.971472126570422</v>
      </c>
      <c r="AC100" s="33">
        <v>3</v>
      </c>
      <c r="AD100" s="31" t="s">
        <v>204</v>
      </c>
      <c r="AE100" s="31" t="s">
        <v>205</v>
      </c>
      <c r="AF100" s="31" t="s">
        <v>69</v>
      </c>
      <c r="AG100" s="31" t="s">
        <v>214</v>
      </c>
      <c r="AH100" s="6">
        <v>179</v>
      </c>
      <c r="AI100" s="2" t="s">
        <v>1261</v>
      </c>
      <c r="AJ100" s="2" t="s">
        <v>1696</v>
      </c>
    </row>
    <row r="101" spans="1:36">
      <c r="A101" s="2" t="s">
        <v>966</v>
      </c>
      <c r="B101" s="20">
        <v>45090</v>
      </c>
      <c r="C101" s="2" t="s">
        <v>487</v>
      </c>
      <c r="D101" s="6">
        <v>3</v>
      </c>
      <c r="E101" s="6">
        <v>82</v>
      </c>
      <c r="F101" s="6">
        <v>7</v>
      </c>
      <c r="G101" s="8" t="s">
        <v>256</v>
      </c>
      <c r="H101" s="8" t="s">
        <v>256</v>
      </c>
      <c r="I101" s="2" t="s">
        <v>4</v>
      </c>
      <c r="J101" s="2" t="s">
        <v>253</v>
      </c>
      <c r="K101" s="6">
        <v>300</v>
      </c>
      <c r="L101" s="6">
        <v>6</v>
      </c>
      <c r="M101" s="6">
        <v>22</v>
      </c>
      <c r="N101" s="6" t="s">
        <v>493</v>
      </c>
      <c r="O101" s="6" t="s">
        <v>493</v>
      </c>
      <c r="P101" s="6" t="s">
        <v>493</v>
      </c>
      <c r="Q101" s="6" t="s">
        <v>493</v>
      </c>
      <c r="R101" s="8">
        <v>6.29</v>
      </c>
      <c r="S101" s="20">
        <v>45090</v>
      </c>
      <c r="T101" s="20">
        <v>45091</v>
      </c>
      <c r="U101" s="33">
        <v>1</v>
      </c>
      <c r="V101" s="8">
        <v>0.29763338240567072</v>
      </c>
      <c r="W101" s="8" t="s">
        <v>256</v>
      </c>
      <c r="X101" s="2" t="s">
        <v>33</v>
      </c>
      <c r="Y101" s="2">
        <v>2</v>
      </c>
      <c r="Z101" s="11" t="s">
        <v>41</v>
      </c>
      <c r="AA101" s="20">
        <v>45268</v>
      </c>
      <c r="AB101" s="8">
        <v>6.8628685183731832</v>
      </c>
      <c r="AC101" s="33">
        <v>2</v>
      </c>
      <c r="AD101" s="31" t="s">
        <v>155</v>
      </c>
      <c r="AE101" s="31" t="s">
        <v>184</v>
      </c>
      <c r="AF101" s="31" t="s">
        <v>173</v>
      </c>
      <c r="AG101" s="31" t="s">
        <v>221</v>
      </c>
      <c r="AH101" s="6">
        <v>193</v>
      </c>
      <c r="AI101" s="2" t="s">
        <v>1262</v>
      </c>
      <c r="AJ101" s="2" t="s">
        <v>1696</v>
      </c>
    </row>
    <row r="102" spans="1:36">
      <c r="A102" s="2" t="s">
        <v>967</v>
      </c>
      <c r="B102" s="20">
        <v>45090</v>
      </c>
      <c r="C102" s="2" t="s">
        <v>487</v>
      </c>
      <c r="D102" s="6">
        <v>3</v>
      </c>
      <c r="E102" s="6">
        <v>87</v>
      </c>
      <c r="F102" s="6">
        <v>8</v>
      </c>
      <c r="G102" s="8" t="s">
        <v>256</v>
      </c>
      <c r="H102" s="8" t="s">
        <v>256</v>
      </c>
      <c r="I102" s="2" t="s">
        <v>6</v>
      </c>
      <c r="J102" s="2" t="s">
        <v>254</v>
      </c>
      <c r="K102" s="6">
        <v>300</v>
      </c>
      <c r="L102" s="6">
        <v>5</v>
      </c>
      <c r="M102" s="6">
        <v>15</v>
      </c>
      <c r="N102" s="6" t="s">
        <v>493</v>
      </c>
      <c r="O102" s="6" t="s">
        <v>493</v>
      </c>
      <c r="P102" s="6" t="s">
        <v>493</v>
      </c>
      <c r="Q102" s="6" t="s">
        <v>493</v>
      </c>
      <c r="R102" s="8">
        <v>4.0199999999999996</v>
      </c>
      <c r="S102" s="20">
        <v>45090</v>
      </c>
      <c r="T102" s="20">
        <v>45091</v>
      </c>
      <c r="U102" s="33">
        <v>1</v>
      </c>
      <c r="V102" s="8">
        <v>0.18</v>
      </c>
      <c r="W102" s="8" t="s">
        <v>256</v>
      </c>
      <c r="X102" s="2" t="s">
        <v>33</v>
      </c>
      <c r="Y102" s="2">
        <v>2</v>
      </c>
      <c r="Z102" s="11" t="s">
        <v>44</v>
      </c>
      <c r="AA102" s="20">
        <v>45268</v>
      </c>
      <c r="AB102" s="8">
        <v>3.7009696221704416</v>
      </c>
      <c r="AC102" s="33">
        <v>2</v>
      </c>
      <c r="AD102" s="31" t="s">
        <v>156</v>
      </c>
      <c r="AE102" s="31" t="s">
        <v>185</v>
      </c>
      <c r="AF102" s="31" t="s">
        <v>173</v>
      </c>
      <c r="AG102" s="31" t="s">
        <v>221</v>
      </c>
      <c r="AH102" s="6">
        <v>205</v>
      </c>
      <c r="AI102" s="2" t="s">
        <v>1263</v>
      </c>
      <c r="AJ102" s="2" t="s">
        <v>1696</v>
      </c>
    </row>
    <row r="103" spans="1:36">
      <c r="A103" s="2" t="s">
        <v>968</v>
      </c>
      <c r="B103" s="20">
        <v>45090</v>
      </c>
      <c r="C103" s="2" t="s">
        <v>487</v>
      </c>
      <c r="D103" s="6">
        <v>3</v>
      </c>
      <c r="E103" s="6">
        <v>88</v>
      </c>
      <c r="F103" s="6">
        <v>8</v>
      </c>
      <c r="G103" s="8" t="s">
        <v>256</v>
      </c>
      <c r="H103" s="8" t="s">
        <v>256</v>
      </c>
      <c r="I103" s="2" t="s">
        <v>6</v>
      </c>
      <c r="J103" s="2" t="s">
        <v>253</v>
      </c>
      <c r="K103" s="6">
        <v>300</v>
      </c>
      <c r="L103" s="6">
        <v>5</v>
      </c>
      <c r="M103" s="6">
        <v>16</v>
      </c>
      <c r="N103" s="6" t="s">
        <v>493</v>
      </c>
      <c r="O103" s="6" t="s">
        <v>493</v>
      </c>
      <c r="P103" s="6" t="s">
        <v>493</v>
      </c>
      <c r="Q103" s="6" t="s">
        <v>493</v>
      </c>
      <c r="R103" s="8">
        <v>4.84</v>
      </c>
      <c r="S103" s="20">
        <v>45090</v>
      </c>
      <c r="T103" s="20">
        <v>45091</v>
      </c>
      <c r="U103" s="33">
        <v>1</v>
      </c>
      <c r="V103" s="8">
        <v>0.20905188009410533</v>
      </c>
      <c r="W103" s="8" t="s">
        <v>256</v>
      </c>
      <c r="X103" s="2" t="s">
        <v>33</v>
      </c>
      <c r="Y103" s="2">
        <v>2</v>
      </c>
      <c r="Z103" s="11" t="s">
        <v>46</v>
      </c>
      <c r="AA103" s="20">
        <v>45268</v>
      </c>
      <c r="AB103" s="8">
        <v>7.7597660381658011</v>
      </c>
      <c r="AC103" s="33">
        <v>2</v>
      </c>
      <c r="AD103" s="31" t="s">
        <v>157</v>
      </c>
      <c r="AE103" s="31" t="s">
        <v>186</v>
      </c>
      <c r="AF103" s="31" t="s">
        <v>173</v>
      </c>
      <c r="AG103" s="31" t="s">
        <v>221</v>
      </c>
      <c r="AH103" s="6">
        <v>217</v>
      </c>
      <c r="AI103" s="2" t="s">
        <v>1264</v>
      </c>
      <c r="AJ103" s="2" t="s">
        <v>1696</v>
      </c>
    </row>
    <row r="104" spans="1:36">
      <c r="A104" s="2" t="s">
        <v>969</v>
      </c>
      <c r="B104" s="20">
        <v>45090</v>
      </c>
      <c r="C104" s="2" t="s">
        <v>487</v>
      </c>
      <c r="D104" s="6">
        <v>3</v>
      </c>
      <c r="E104" s="6">
        <v>89</v>
      </c>
      <c r="F104" s="6">
        <v>8</v>
      </c>
      <c r="G104" s="8" t="s">
        <v>256</v>
      </c>
      <c r="H104" s="8" t="s">
        <v>256</v>
      </c>
      <c r="I104" s="2" t="s">
        <v>6</v>
      </c>
      <c r="J104" s="2" t="s">
        <v>255</v>
      </c>
      <c r="K104" s="6">
        <v>300</v>
      </c>
      <c r="L104" s="6">
        <v>5</v>
      </c>
      <c r="M104" s="6">
        <v>17</v>
      </c>
      <c r="N104" s="6" t="s">
        <v>493</v>
      </c>
      <c r="O104" s="6" t="s">
        <v>493</v>
      </c>
      <c r="P104" s="6" t="s">
        <v>493</v>
      </c>
      <c r="Q104" s="6" t="s">
        <v>493</v>
      </c>
      <c r="R104" s="8">
        <v>4.8600000000000003</v>
      </c>
      <c r="S104" s="20">
        <v>45090</v>
      </c>
      <c r="T104" s="20">
        <v>45091</v>
      </c>
      <c r="U104" s="33">
        <v>1</v>
      </c>
      <c r="V104" s="8">
        <v>0.291758197</v>
      </c>
      <c r="W104" s="8" t="s">
        <v>256</v>
      </c>
      <c r="X104" s="2" t="s">
        <v>33</v>
      </c>
      <c r="Y104" s="2">
        <v>2</v>
      </c>
      <c r="Z104" s="11" t="s">
        <v>48</v>
      </c>
      <c r="AA104" s="20">
        <v>45268</v>
      </c>
      <c r="AB104" s="8">
        <v>8.2167302152498269</v>
      </c>
      <c r="AC104" s="33">
        <v>2</v>
      </c>
      <c r="AD104" s="31" t="s">
        <v>158</v>
      </c>
      <c r="AE104" s="31" t="s">
        <v>187</v>
      </c>
      <c r="AF104" s="31" t="s">
        <v>173</v>
      </c>
      <c r="AG104" s="31" t="s">
        <v>221</v>
      </c>
      <c r="AH104" s="6">
        <v>229</v>
      </c>
      <c r="AI104" s="2" t="s">
        <v>1265</v>
      </c>
      <c r="AJ104" s="2" t="s">
        <v>1696</v>
      </c>
    </row>
    <row r="105" spans="1:36">
      <c r="A105" s="2" t="s">
        <v>970</v>
      </c>
      <c r="B105" s="20">
        <v>45090</v>
      </c>
      <c r="C105" s="2" t="s">
        <v>487</v>
      </c>
      <c r="D105" s="6">
        <v>3</v>
      </c>
      <c r="E105" s="6">
        <v>91</v>
      </c>
      <c r="F105" s="6">
        <v>8</v>
      </c>
      <c r="G105" s="8" t="s">
        <v>256</v>
      </c>
      <c r="H105" s="8" t="s">
        <v>256</v>
      </c>
      <c r="I105" s="2" t="s">
        <v>6</v>
      </c>
      <c r="J105" s="2" t="s">
        <v>40</v>
      </c>
      <c r="K105" s="6">
        <v>300</v>
      </c>
      <c r="L105" s="6">
        <v>5</v>
      </c>
      <c r="M105" s="6">
        <v>19</v>
      </c>
      <c r="N105" s="6" t="s">
        <v>493</v>
      </c>
      <c r="O105" s="6" t="s">
        <v>493</v>
      </c>
      <c r="P105" s="6" t="s">
        <v>493</v>
      </c>
      <c r="Q105" s="6" t="s">
        <v>493</v>
      </c>
      <c r="R105" s="8">
        <v>4.47</v>
      </c>
      <c r="S105" s="20">
        <v>45090</v>
      </c>
      <c r="T105" s="20">
        <v>45091</v>
      </c>
      <c r="U105" s="33">
        <v>1</v>
      </c>
      <c r="V105" s="8">
        <v>0.23</v>
      </c>
      <c r="W105" s="8" t="s">
        <v>256</v>
      </c>
      <c r="X105" s="2" t="s">
        <v>33</v>
      </c>
      <c r="Y105" s="2">
        <v>2</v>
      </c>
      <c r="Z105" s="11" t="s">
        <v>50</v>
      </c>
      <c r="AA105" s="20">
        <v>45268</v>
      </c>
      <c r="AB105" s="8">
        <v>4.0020369276295114</v>
      </c>
      <c r="AC105" s="33">
        <v>2</v>
      </c>
      <c r="AD105" s="31" t="s">
        <v>159</v>
      </c>
      <c r="AE105" s="31" t="s">
        <v>188</v>
      </c>
      <c r="AF105" s="31" t="s">
        <v>173</v>
      </c>
      <c r="AG105" s="31" t="s">
        <v>221</v>
      </c>
      <c r="AH105" s="6">
        <v>241</v>
      </c>
      <c r="AI105" s="2" t="s">
        <v>1266</v>
      </c>
      <c r="AJ105" s="2" t="s">
        <v>1696</v>
      </c>
    </row>
    <row r="106" spans="1:36">
      <c r="A106" s="2" t="s">
        <v>971</v>
      </c>
      <c r="B106" s="20">
        <v>45090</v>
      </c>
      <c r="C106" s="2" t="s">
        <v>487</v>
      </c>
      <c r="D106" s="6">
        <v>3</v>
      </c>
      <c r="E106" s="6">
        <v>98</v>
      </c>
      <c r="F106" s="6">
        <v>9</v>
      </c>
      <c r="G106" s="8" t="s">
        <v>256</v>
      </c>
      <c r="H106" s="8" t="s">
        <v>256</v>
      </c>
      <c r="I106" s="2" t="s">
        <v>5</v>
      </c>
      <c r="J106" s="2" t="s">
        <v>253</v>
      </c>
      <c r="K106" s="6">
        <v>300</v>
      </c>
      <c r="L106" s="6">
        <v>4</v>
      </c>
      <c r="M106" s="6">
        <v>14</v>
      </c>
      <c r="N106" s="6" t="s">
        <v>493</v>
      </c>
      <c r="O106" s="6" t="s">
        <v>493</v>
      </c>
      <c r="P106" s="6" t="s">
        <v>493</v>
      </c>
      <c r="Q106" s="6" t="s">
        <v>493</v>
      </c>
      <c r="R106" s="8">
        <v>6.88</v>
      </c>
      <c r="S106" s="20">
        <v>45090</v>
      </c>
      <c r="T106" s="20">
        <v>45091</v>
      </c>
      <c r="U106" s="33">
        <v>1</v>
      </c>
      <c r="V106" s="8">
        <v>0.46</v>
      </c>
      <c r="W106" s="8" t="s">
        <v>256</v>
      </c>
      <c r="X106" s="2" t="s">
        <v>33</v>
      </c>
      <c r="Y106" s="2">
        <v>2</v>
      </c>
      <c r="Z106" s="11" t="s">
        <v>52</v>
      </c>
      <c r="AA106" s="20">
        <v>45268</v>
      </c>
      <c r="AB106" s="8">
        <v>14.779288354136183</v>
      </c>
      <c r="AC106" s="33">
        <v>2</v>
      </c>
      <c r="AD106" s="31" t="s">
        <v>160</v>
      </c>
      <c r="AE106" s="31" t="s">
        <v>189</v>
      </c>
      <c r="AF106" s="31" t="s">
        <v>173</v>
      </c>
      <c r="AG106" s="31" t="s">
        <v>221</v>
      </c>
      <c r="AH106" s="6">
        <v>253</v>
      </c>
      <c r="AI106" s="2" t="s">
        <v>1267</v>
      </c>
      <c r="AJ106" s="2" t="s">
        <v>1696</v>
      </c>
    </row>
    <row r="107" spans="1:36">
      <c r="A107" s="2" t="s">
        <v>972</v>
      </c>
      <c r="B107" s="20">
        <v>45090</v>
      </c>
      <c r="C107" s="2" t="s">
        <v>487</v>
      </c>
      <c r="D107" s="6">
        <v>3</v>
      </c>
      <c r="E107" s="6">
        <v>100</v>
      </c>
      <c r="F107" s="6">
        <v>9</v>
      </c>
      <c r="G107" s="8" t="s">
        <v>256</v>
      </c>
      <c r="H107" s="8" t="s">
        <v>256</v>
      </c>
      <c r="I107" s="2" t="s">
        <v>5</v>
      </c>
      <c r="J107" s="2" t="s">
        <v>40</v>
      </c>
      <c r="K107" s="6">
        <v>300</v>
      </c>
      <c r="L107" s="6">
        <v>4</v>
      </c>
      <c r="M107" s="6">
        <v>16</v>
      </c>
      <c r="N107" s="6" t="s">
        <v>493</v>
      </c>
      <c r="O107" s="6" t="s">
        <v>493</v>
      </c>
      <c r="P107" s="6" t="s">
        <v>493</v>
      </c>
      <c r="Q107" s="6" t="s">
        <v>493</v>
      </c>
      <c r="R107" s="8">
        <v>6.94</v>
      </c>
      <c r="S107" s="20">
        <v>45090</v>
      </c>
      <c r="T107" s="20">
        <v>45091</v>
      </c>
      <c r="U107" s="33">
        <v>1</v>
      </c>
      <c r="V107" s="8">
        <v>0.4</v>
      </c>
      <c r="W107" s="8" t="s">
        <v>256</v>
      </c>
      <c r="X107" s="2" t="s">
        <v>33</v>
      </c>
      <c r="Y107" s="2">
        <v>2</v>
      </c>
      <c r="Z107" s="11" t="s">
        <v>54</v>
      </c>
      <c r="AA107" s="20">
        <v>45268</v>
      </c>
      <c r="AB107" s="8">
        <v>8.6218748418921081</v>
      </c>
      <c r="AC107" s="33">
        <v>2</v>
      </c>
      <c r="AD107" s="31" t="s">
        <v>161</v>
      </c>
      <c r="AE107" s="31" t="s">
        <v>190</v>
      </c>
      <c r="AF107" s="31" t="s">
        <v>173</v>
      </c>
      <c r="AG107" s="31" t="s">
        <v>221</v>
      </c>
      <c r="AH107" s="6">
        <v>265</v>
      </c>
      <c r="AI107" s="2" t="s">
        <v>1268</v>
      </c>
      <c r="AJ107" s="2" t="s">
        <v>1696</v>
      </c>
    </row>
    <row r="108" spans="1:36">
      <c r="A108" s="2" t="s">
        <v>973</v>
      </c>
      <c r="B108" s="20">
        <v>45090</v>
      </c>
      <c r="C108" s="2" t="s">
        <v>487</v>
      </c>
      <c r="D108" s="6">
        <v>3</v>
      </c>
      <c r="E108" s="6">
        <v>104</v>
      </c>
      <c r="F108" s="6">
        <v>9</v>
      </c>
      <c r="G108" s="8" t="s">
        <v>256</v>
      </c>
      <c r="H108" s="8" t="s">
        <v>256</v>
      </c>
      <c r="I108" s="2" t="s">
        <v>5</v>
      </c>
      <c r="J108" s="2" t="s">
        <v>254</v>
      </c>
      <c r="K108" s="6">
        <v>300</v>
      </c>
      <c r="L108" s="6">
        <v>4</v>
      </c>
      <c r="M108" s="6">
        <v>20</v>
      </c>
      <c r="N108" s="6" t="s">
        <v>493</v>
      </c>
      <c r="O108" s="6" t="s">
        <v>493</v>
      </c>
      <c r="P108" s="6" t="s">
        <v>493</v>
      </c>
      <c r="Q108" s="6" t="s">
        <v>493</v>
      </c>
      <c r="R108" s="8">
        <v>5.92</v>
      </c>
      <c r="S108" s="20">
        <v>45090</v>
      </c>
      <c r="T108" s="20">
        <v>45091</v>
      </c>
      <c r="U108" s="33">
        <v>1</v>
      </c>
      <c r="V108" s="8">
        <v>1.06</v>
      </c>
      <c r="W108" s="8" t="s">
        <v>256</v>
      </c>
      <c r="X108" s="2" t="s">
        <v>33</v>
      </c>
      <c r="Y108" s="2">
        <v>2</v>
      </c>
      <c r="Z108" s="11" t="s">
        <v>56</v>
      </c>
      <c r="AA108" s="20">
        <v>45268</v>
      </c>
      <c r="AB108" s="8">
        <v>13.480742010546768</v>
      </c>
      <c r="AC108" s="33">
        <v>2</v>
      </c>
      <c r="AD108" s="31" t="s">
        <v>162</v>
      </c>
      <c r="AE108" s="31" t="s">
        <v>192</v>
      </c>
      <c r="AF108" s="31" t="s">
        <v>173</v>
      </c>
      <c r="AG108" s="31" t="s">
        <v>221</v>
      </c>
      <c r="AH108" s="6">
        <v>277</v>
      </c>
      <c r="AI108" s="2" t="s">
        <v>1269</v>
      </c>
      <c r="AJ108" s="2" t="s">
        <v>1696</v>
      </c>
    </row>
    <row r="109" spans="1:36">
      <c r="A109" s="2" t="s">
        <v>974</v>
      </c>
      <c r="B109" s="20">
        <v>45090</v>
      </c>
      <c r="C109" s="2" t="s">
        <v>487</v>
      </c>
      <c r="D109" s="6">
        <v>3</v>
      </c>
      <c r="E109" s="6">
        <v>107</v>
      </c>
      <c r="F109" s="6">
        <v>9</v>
      </c>
      <c r="G109" s="8" t="s">
        <v>256</v>
      </c>
      <c r="H109" s="8" t="s">
        <v>256</v>
      </c>
      <c r="I109" s="2" t="s">
        <v>5</v>
      </c>
      <c r="J109" s="2" t="s">
        <v>255</v>
      </c>
      <c r="K109" s="6">
        <v>300</v>
      </c>
      <c r="L109" s="6">
        <v>4</v>
      </c>
      <c r="M109" s="6">
        <v>23</v>
      </c>
      <c r="N109" s="6" t="s">
        <v>493</v>
      </c>
      <c r="O109" s="6" t="s">
        <v>493</v>
      </c>
      <c r="P109" s="6" t="s">
        <v>493</v>
      </c>
      <c r="Q109" s="6" t="s">
        <v>493</v>
      </c>
      <c r="R109" s="8">
        <v>6.1</v>
      </c>
      <c r="S109" s="20">
        <v>45090</v>
      </c>
      <c r="T109" s="20">
        <v>45091</v>
      </c>
      <c r="U109" s="33">
        <v>1</v>
      </c>
      <c r="V109" s="8">
        <v>0.22</v>
      </c>
      <c r="W109" s="8" t="s">
        <v>256</v>
      </c>
      <c r="X109" s="2" t="s">
        <v>33</v>
      </c>
      <c r="Y109" s="2">
        <v>2</v>
      </c>
      <c r="Z109" s="11" t="s">
        <v>79</v>
      </c>
      <c r="AA109" s="20">
        <v>45268</v>
      </c>
      <c r="AB109" s="8">
        <v>3.012655005491697</v>
      </c>
      <c r="AC109" s="33">
        <v>2</v>
      </c>
      <c r="AD109" s="31" t="s">
        <v>155</v>
      </c>
      <c r="AE109" s="31" t="s">
        <v>184</v>
      </c>
      <c r="AF109" s="31" t="s">
        <v>174</v>
      </c>
      <c r="AG109" s="31" t="s">
        <v>222</v>
      </c>
      <c r="AH109" s="6">
        <v>194</v>
      </c>
      <c r="AI109" s="2" t="s">
        <v>1270</v>
      </c>
      <c r="AJ109" s="2" t="s">
        <v>1696</v>
      </c>
    </row>
    <row r="110" spans="1:36">
      <c r="A110" s="2" t="s">
        <v>975</v>
      </c>
      <c r="B110" s="20">
        <v>45097</v>
      </c>
      <c r="C110" s="2" t="s">
        <v>487</v>
      </c>
      <c r="D110" s="6">
        <v>1</v>
      </c>
      <c r="E110" s="6">
        <v>3</v>
      </c>
      <c r="F110" s="6">
        <v>1</v>
      </c>
      <c r="G110" s="8" t="s">
        <v>256</v>
      </c>
      <c r="H110" s="8" t="s">
        <v>256</v>
      </c>
      <c r="I110" s="2" t="s">
        <v>5</v>
      </c>
      <c r="J110" s="2" t="s">
        <v>40</v>
      </c>
      <c r="K110" s="6">
        <v>300</v>
      </c>
      <c r="L110" s="6">
        <v>6</v>
      </c>
      <c r="M110" s="6">
        <v>3</v>
      </c>
      <c r="N110" s="6" t="s">
        <v>493</v>
      </c>
      <c r="O110" s="6" t="s">
        <v>493</v>
      </c>
      <c r="P110" s="6" t="s">
        <v>493</v>
      </c>
      <c r="Q110" s="6" t="s">
        <v>493</v>
      </c>
      <c r="R110" s="8">
        <v>6.23</v>
      </c>
      <c r="S110" s="20">
        <v>45097</v>
      </c>
      <c r="T110" s="20">
        <v>45098</v>
      </c>
      <c r="U110" s="33">
        <v>1</v>
      </c>
      <c r="V110" s="8">
        <v>0.17</v>
      </c>
      <c r="W110" s="8" t="s">
        <v>256</v>
      </c>
      <c r="X110" s="2" t="s">
        <v>33</v>
      </c>
      <c r="Y110" s="2">
        <v>2</v>
      </c>
      <c r="Z110" s="11" t="s">
        <v>78</v>
      </c>
      <c r="AA110" s="20">
        <v>45268</v>
      </c>
      <c r="AB110" s="8">
        <v>5.820830443403251</v>
      </c>
      <c r="AC110" s="33">
        <v>2</v>
      </c>
      <c r="AD110" s="31" t="s">
        <v>156</v>
      </c>
      <c r="AE110" s="31" t="s">
        <v>185</v>
      </c>
      <c r="AF110" s="31" t="s">
        <v>174</v>
      </c>
      <c r="AG110" s="31" t="s">
        <v>222</v>
      </c>
      <c r="AH110" s="6">
        <v>206</v>
      </c>
      <c r="AI110" s="2" t="s">
        <v>1271</v>
      </c>
      <c r="AJ110" s="2" t="s">
        <v>1696</v>
      </c>
    </row>
    <row r="111" spans="1:36">
      <c r="A111" s="2" t="s">
        <v>976</v>
      </c>
      <c r="B111" s="20">
        <v>45097</v>
      </c>
      <c r="C111" s="2" t="s">
        <v>487</v>
      </c>
      <c r="D111" s="6">
        <v>1</v>
      </c>
      <c r="E111" s="6">
        <v>5</v>
      </c>
      <c r="F111" s="6">
        <v>1</v>
      </c>
      <c r="G111" s="8" t="s">
        <v>256</v>
      </c>
      <c r="H111" s="8" t="s">
        <v>256</v>
      </c>
      <c r="I111" s="2" t="s">
        <v>5</v>
      </c>
      <c r="J111" s="2" t="s">
        <v>255</v>
      </c>
      <c r="K111" s="6">
        <v>300</v>
      </c>
      <c r="L111" s="6">
        <v>6</v>
      </c>
      <c r="M111" s="6">
        <v>5</v>
      </c>
      <c r="N111" s="6" t="s">
        <v>493</v>
      </c>
      <c r="O111" s="6" t="s">
        <v>493</v>
      </c>
      <c r="P111" s="6" t="s">
        <v>493</v>
      </c>
      <c r="Q111" s="6" t="s">
        <v>493</v>
      </c>
      <c r="R111" s="8">
        <v>6.17</v>
      </c>
      <c r="S111" s="20">
        <v>45097</v>
      </c>
      <c r="T111" s="20">
        <v>45098</v>
      </c>
      <c r="U111" s="33">
        <v>1</v>
      </c>
      <c r="V111" s="8">
        <v>0.73299999999999998</v>
      </c>
      <c r="W111" s="8" t="s">
        <v>256</v>
      </c>
      <c r="X111" s="2" t="s">
        <v>33</v>
      </c>
      <c r="Y111" s="2">
        <v>2</v>
      </c>
      <c r="Z111" s="11" t="s">
        <v>80</v>
      </c>
      <c r="AA111" s="20">
        <v>45268</v>
      </c>
      <c r="AB111" s="8">
        <v>17.296176766914208</v>
      </c>
      <c r="AC111" s="33">
        <v>2</v>
      </c>
      <c r="AD111" s="31" t="s">
        <v>157</v>
      </c>
      <c r="AE111" s="31" t="s">
        <v>186</v>
      </c>
      <c r="AF111" s="31" t="s">
        <v>174</v>
      </c>
      <c r="AG111" s="31" t="s">
        <v>222</v>
      </c>
      <c r="AH111" s="6">
        <v>218</v>
      </c>
      <c r="AI111" s="2" t="s">
        <v>1272</v>
      </c>
      <c r="AJ111" s="2" t="s">
        <v>1696</v>
      </c>
    </row>
    <row r="112" spans="1:36">
      <c r="A112" s="2" t="s">
        <v>977</v>
      </c>
      <c r="B112" s="20">
        <v>45097</v>
      </c>
      <c r="C112" s="2" t="s">
        <v>487</v>
      </c>
      <c r="D112" s="6">
        <v>1</v>
      </c>
      <c r="E112" s="6">
        <v>9</v>
      </c>
      <c r="F112" s="6">
        <v>1</v>
      </c>
      <c r="G112" s="8" t="s">
        <v>256</v>
      </c>
      <c r="H112" s="8" t="s">
        <v>256</v>
      </c>
      <c r="I112" s="2" t="s">
        <v>5</v>
      </c>
      <c r="J112" s="2" t="s">
        <v>254</v>
      </c>
      <c r="K112" s="6">
        <v>300</v>
      </c>
      <c r="L112" s="6">
        <v>6</v>
      </c>
      <c r="M112" s="6">
        <v>9</v>
      </c>
      <c r="N112" s="6" t="s">
        <v>493</v>
      </c>
      <c r="O112" s="6" t="s">
        <v>493</v>
      </c>
      <c r="P112" s="6" t="s">
        <v>493</v>
      </c>
      <c r="Q112" s="6" t="s">
        <v>493</v>
      </c>
      <c r="R112" s="8">
        <v>7.04</v>
      </c>
      <c r="S112" s="20">
        <v>45097</v>
      </c>
      <c r="T112" s="20">
        <v>45098</v>
      </c>
      <c r="U112" s="33">
        <v>1</v>
      </c>
      <c r="V112" s="8">
        <v>0.98799999999999999</v>
      </c>
      <c r="W112" s="8" t="s">
        <v>256</v>
      </c>
      <c r="X112" s="2" t="s">
        <v>33</v>
      </c>
      <c r="Y112" s="2">
        <v>2</v>
      </c>
      <c r="Z112" s="11" t="s">
        <v>143</v>
      </c>
      <c r="AA112" s="20">
        <v>45268</v>
      </c>
      <c r="AB112" s="8">
        <v>20.339188487713699</v>
      </c>
      <c r="AC112" s="33">
        <v>2</v>
      </c>
      <c r="AD112" s="31" t="s">
        <v>158</v>
      </c>
      <c r="AE112" s="31" t="s">
        <v>187</v>
      </c>
      <c r="AF112" s="31" t="s">
        <v>174</v>
      </c>
      <c r="AG112" s="31" t="s">
        <v>222</v>
      </c>
      <c r="AH112" s="6">
        <v>230</v>
      </c>
      <c r="AI112" s="2" t="s">
        <v>1273</v>
      </c>
      <c r="AJ112" s="2" t="s">
        <v>1696</v>
      </c>
    </row>
    <row r="113" spans="1:36">
      <c r="A113" s="2" t="s">
        <v>978</v>
      </c>
      <c r="B113" s="20">
        <v>45097</v>
      </c>
      <c r="C113" s="2" t="s">
        <v>487</v>
      </c>
      <c r="D113" s="6">
        <v>1</v>
      </c>
      <c r="E113" s="6">
        <v>10</v>
      </c>
      <c r="F113" s="6">
        <v>1</v>
      </c>
      <c r="G113" s="8" t="s">
        <v>256</v>
      </c>
      <c r="H113" s="8" t="s">
        <v>256</v>
      </c>
      <c r="I113" s="2" t="s">
        <v>5</v>
      </c>
      <c r="J113" s="2" t="s">
        <v>253</v>
      </c>
      <c r="K113" s="6">
        <v>300</v>
      </c>
      <c r="L113" s="6">
        <v>6</v>
      </c>
      <c r="M113" s="6">
        <v>10</v>
      </c>
      <c r="N113" s="6" t="s">
        <v>493</v>
      </c>
      <c r="O113" s="6" t="s">
        <v>493</v>
      </c>
      <c r="P113" s="6" t="s">
        <v>493</v>
      </c>
      <c r="Q113" s="6" t="s">
        <v>493</v>
      </c>
      <c r="R113" s="8">
        <v>7.73</v>
      </c>
      <c r="S113" s="20">
        <v>45097</v>
      </c>
      <c r="T113" s="20">
        <v>45098</v>
      </c>
      <c r="U113" s="33">
        <v>1</v>
      </c>
      <c r="V113" s="8">
        <v>0.24</v>
      </c>
      <c r="W113" s="8" t="s">
        <v>256</v>
      </c>
      <c r="X113" s="2" t="s">
        <v>33</v>
      </c>
      <c r="Y113" s="2">
        <v>2</v>
      </c>
      <c r="Z113" s="11" t="s">
        <v>144</v>
      </c>
      <c r="AA113" s="20">
        <v>45268</v>
      </c>
      <c r="AB113" s="8">
        <v>9.1260672158230989</v>
      </c>
      <c r="AC113" s="33">
        <v>2</v>
      </c>
      <c r="AD113" s="31" t="s">
        <v>159</v>
      </c>
      <c r="AE113" s="31" t="s">
        <v>188</v>
      </c>
      <c r="AF113" s="31" t="s">
        <v>174</v>
      </c>
      <c r="AG113" s="31" t="s">
        <v>222</v>
      </c>
      <c r="AH113" s="6">
        <v>242</v>
      </c>
      <c r="AI113" s="2" t="s">
        <v>1274</v>
      </c>
      <c r="AJ113" s="2" t="s">
        <v>1696</v>
      </c>
    </row>
    <row r="114" spans="1:36">
      <c r="A114" s="2" t="s">
        <v>979</v>
      </c>
      <c r="B114" s="20">
        <v>45097</v>
      </c>
      <c r="C114" s="2" t="s">
        <v>487</v>
      </c>
      <c r="D114" s="6">
        <v>1</v>
      </c>
      <c r="E114" s="6">
        <v>17</v>
      </c>
      <c r="F114" s="6">
        <v>2</v>
      </c>
      <c r="G114" s="8" t="s">
        <v>256</v>
      </c>
      <c r="H114" s="8" t="s">
        <v>256</v>
      </c>
      <c r="I114" s="2" t="s">
        <v>4</v>
      </c>
      <c r="J114" s="2" t="s">
        <v>253</v>
      </c>
      <c r="K114" s="6">
        <v>300</v>
      </c>
      <c r="L114" s="6">
        <v>5</v>
      </c>
      <c r="M114" s="6">
        <v>5</v>
      </c>
      <c r="N114" s="6" t="s">
        <v>493</v>
      </c>
      <c r="O114" s="6" t="s">
        <v>493</v>
      </c>
      <c r="P114" s="6" t="s">
        <v>493</v>
      </c>
      <c r="Q114" s="6" t="s">
        <v>493</v>
      </c>
      <c r="R114" s="8">
        <v>6.47</v>
      </c>
      <c r="S114" s="20">
        <v>45097</v>
      </c>
      <c r="T114" s="20">
        <v>45098</v>
      </c>
      <c r="U114" s="33">
        <v>1</v>
      </c>
      <c r="V114" s="8">
        <v>0.97899999999999998</v>
      </c>
      <c r="W114" s="8" t="s">
        <v>256</v>
      </c>
      <c r="X114" s="2" t="s">
        <v>33</v>
      </c>
      <c r="Y114" s="2">
        <v>2</v>
      </c>
      <c r="Z114" s="11" t="s">
        <v>145</v>
      </c>
      <c r="AA114" s="20">
        <v>45268</v>
      </c>
      <c r="AB114" s="8">
        <v>18.377335963186308</v>
      </c>
      <c r="AC114" s="33">
        <v>2</v>
      </c>
      <c r="AD114" s="31" t="s">
        <v>160</v>
      </c>
      <c r="AE114" s="31" t="s">
        <v>189</v>
      </c>
      <c r="AF114" s="31" t="s">
        <v>174</v>
      </c>
      <c r="AG114" s="31" t="s">
        <v>222</v>
      </c>
      <c r="AH114" s="6">
        <v>254</v>
      </c>
      <c r="AI114" s="2" t="s">
        <v>1275</v>
      </c>
      <c r="AJ114" s="2" t="s">
        <v>1696</v>
      </c>
    </row>
    <row r="115" spans="1:36">
      <c r="A115" s="2" t="s">
        <v>980</v>
      </c>
      <c r="B115" s="20">
        <v>45097</v>
      </c>
      <c r="C115" s="2" t="s">
        <v>487</v>
      </c>
      <c r="D115" s="6">
        <v>1</v>
      </c>
      <c r="E115" s="6">
        <v>18</v>
      </c>
      <c r="F115" s="6">
        <v>2</v>
      </c>
      <c r="G115" s="8" t="s">
        <v>256</v>
      </c>
      <c r="H115" s="8" t="s">
        <v>256</v>
      </c>
      <c r="I115" s="2" t="s">
        <v>4</v>
      </c>
      <c r="J115" s="2" t="s">
        <v>40</v>
      </c>
      <c r="K115" s="6">
        <v>300</v>
      </c>
      <c r="L115" s="6">
        <v>5</v>
      </c>
      <c r="M115" s="6">
        <v>6</v>
      </c>
      <c r="N115" s="6" t="s">
        <v>493</v>
      </c>
      <c r="O115" s="6" t="s">
        <v>493</v>
      </c>
      <c r="P115" s="6" t="s">
        <v>493</v>
      </c>
      <c r="Q115" s="6" t="s">
        <v>493</v>
      </c>
      <c r="R115" s="8">
        <v>6.58</v>
      </c>
      <c r="S115" s="20">
        <v>45097</v>
      </c>
      <c r="T115" s="20">
        <v>45098</v>
      </c>
      <c r="U115" s="33">
        <v>1</v>
      </c>
      <c r="V115" s="8">
        <v>0.53200000000000003</v>
      </c>
      <c r="W115" s="8" t="s">
        <v>256</v>
      </c>
      <c r="X115" s="2" t="s">
        <v>33</v>
      </c>
      <c r="Y115" s="2">
        <v>2</v>
      </c>
      <c r="Z115" s="11" t="s">
        <v>84</v>
      </c>
      <c r="AA115" s="20">
        <v>45268</v>
      </c>
      <c r="AB115" s="8">
        <v>23.44492546868657</v>
      </c>
      <c r="AC115" s="33">
        <v>2</v>
      </c>
      <c r="AD115" s="31" t="s">
        <v>161</v>
      </c>
      <c r="AE115" s="31" t="s">
        <v>190</v>
      </c>
      <c r="AF115" s="31" t="s">
        <v>174</v>
      </c>
      <c r="AG115" s="31" t="s">
        <v>222</v>
      </c>
      <c r="AH115" s="6">
        <v>266</v>
      </c>
      <c r="AI115" s="2" t="s">
        <v>1276</v>
      </c>
      <c r="AJ115" s="2" t="s">
        <v>1696</v>
      </c>
    </row>
    <row r="116" spans="1:36">
      <c r="A116" s="2" t="s">
        <v>981</v>
      </c>
      <c r="B116" s="20">
        <v>45097</v>
      </c>
      <c r="C116" s="2" t="s">
        <v>487</v>
      </c>
      <c r="D116" s="6">
        <v>1</v>
      </c>
      <c r="E116" s="6">
        <v>22</v>
      </c>
      <c r="F116" s="6">
        <v>2</v>
      </c>
      <c r="G116" s="8" t="s">
        <v>256</v>
      </c>
      <c r="H116" s="8" t="s">
        <v>256</v>
      </c>
      <c r="I116" s="2" t="s">
        <v>4</v>
      </c>
      <c r="J116" s="2" t="s">
        <v>254</v>
      </c>
      <c r="K116" s="6">
        <v>300</v>
      </c>
      <c r="L116" s="6">
        <v>5</v>
      </c>
      <c r="M116" s="6">
        <v>10</v>
      </c>
      <c r="N116" s="6" t="s">
        <v>493</v>
      </c>
      <c r="O116" s="6" t="s">
        <v>493</v>
      </c>
      <c r="P116" s="6" t="s">
        <v>493</v>
      </c>
      <c r="Q116" s="6" t="s">
        <v>493</v>
      </c>
      <c r="R116" s="8">
        <v>4.79</v>
      </c>
      <c r="S116" s="20">
        <v>45097</v>
      </c>
      <c r="T116" s="20">
        <v>45098</v>
      </c>
      <c r="U116" s="33">
        <v>1</v>
      </c>
      <c r="V116" s="8">
        <v>0.28000000000000003</v>
      </c>
      <c r="W116" s="8" t="s">
        <v>256</v>
      </c>
      <c r="X116" s="2" t="s">
        <v>33</v>
      </c>
      <c r="Y116" s="2">
        <v>2</v>
      </c>
      <c r="Z116" s="11" t="s">
        <v>85</v>
      </c>
      <c r="AA116" s="20">
        <v>45268</v>
      </c>
      <c r="AB116" s="8">
        <v>5.8626008056082641</v>
      </c>
      <c r="AC116" s="33">
        <v>2</v>
      </c>
      <c r="AD116" s="31" t="s">
        <v>162</v>
      </c>
      <c r="AE116" s="31" t="s">
        <v>192</v>
      </c>
      <c r="AF116" s="31" t="s">
        <v>174</v>
      </c>
      <c r="AG116" s="31" t="s">
        <v>222</v>
      </c>
      <c r="AH116" s="6">
        <v>278</v>
      </c>
      <c r="AI116" s="2" t="s">
        <v>1277</v>
      </c>
      <c r="AJ116" s="2" t="s">
        <v>1696</v>
      </c>
    </row>
    <row r="117" spans="1:36">
      <c r="A117" s="2" t="s">
        <v>982</v>
      </c>
      <c r="B117" s="20">
        <v>45097</v>
      </c>
      <c r="C117" s="2" t="s">
        <v>487</v>
      </c>
      <c r="D117" s="6">
        <v>1</v>
      </c>
      <c r="E117" s="6">
        <v>24</v>
      </c>
      <c r="F117" s="6">
        <v>2</v>
      </c>
      <c r="G117" s="8" t="s">
        <v>256</v>
      </c>
      <c r="H117" s="8" t="s">
        <v>256</v>
      </c>
      <c r="I117" s="2" t="s">
        <v>4</v>
      </c>
      <c r="J117" s="2" t="s">
        <v>255</v>
      </c>
      <c r="K117" s="6">
        <v>300</v>
      </c>
      <c r="L117" s="6">
        <v>5</v>
      </c>
      <c r="M117" s="6">
        <v>12</v>
      </c>
      <c r="N117" s="6" t="s">
        <v>493</v>
      </c>
      <c r="O117" s="6" t="s">
        <v>493</v>
      </c>
      <c r="P117" s="6" t="s">
        <v>493</v>
      </c>
      <c r="Q117" s="6" t="s">
        <v>493</v>
      </c>
      <c r="R117" s="8">
        <v>5.67</v>
      </c>
      <c r="S117" s="20">
        <v>45097</v>
      </c>
      <c r="T117" s="20">
        <v>45098</v>
      </c>
      <c r="U117" s="33">
        <v>1</v>
      </c>
      <c r="V117" s="8">
        <v>0.26</v>
      </c>
      <c r="W117" s="8" t="s">
        <v>256</v>
      </c>
      <c r="X117" s="2" t="s">
        <v>33</v>
      </c>
      <c r="Y117" s="2">
        <v>2</v>
      </c>
      <c r="Z117" s="11" t="s">
        <v>81</v>
      </c>
      <c r="AA117" s="20">
        <v>45268</v>
      </c>
      <c r="AB117" s="8">
        <v>25.535306015211024</v>
      </c>
      <c r="AC117" s="33">
        <v>2</v>
      </c>
      <c r="AD117" s="31" t="s">
        <v>155</v>
      </c>
      <c r="AE117" s="31" t="s">
        <v>184</v>
      </c>
      <c r="AF117" s="31" t="s">
        <v>175</v>
      </c>
      <c r="AG117" s="31" t="s">
        <v>223</v>
      </c>
      <c r="AH117" s="6">
        <v>195</v>
      </c>
      <c r="AI117" s="2" t="s">
        <v>1278</v>
      </c>
      <c r="AJ117" s="2" t="s">
        <v>1696</v>
      </c>
    </row>
    <row r="118" spans="1:36">
      <c r="A118" s="2" t="s">
        <v>983</v>
      </c>
      <c r="B118" s="20">
        <v>45097</v>
      </c>
      <c r="C118" s="2" t="s">
        <v>487</v>
      </c>
      <c r="D118" s="6">
        <v>1</v>
      </c>
      <c r="E118" s="6">
        <v>25</v>
      </c>
      <c r="F118" s="6">
        <v>3</v>
      </c>
      <c r="G118" s="8" t="s">
        <v>256</v>
      </c>
      <c r="H118" s="8" t="s">
        <v>256</v>
      </c>
      <c r="I118" s="2" t="s">
        <v>6</v>
      </c>
      <c r="J118" s="2" t="s">
        <v>253</v>
      </c>
      <c r="K118" s="6">
        <v>300</v>
      </c>
      <c r="L118" s="6">
        <v>4</v>
      </c>
      <c r="M118" s="6">
        <v>1</v>
      </c>
      <c r="N118" s="6" t="s">
        <v>493</v>
      </c>
      <c r="O118" s="6" t="s">
        <v>493</v>
      </c>
      <c r="P118" s="6" t="s">
        <v>493</v>
      </c>
      <c r="Q118" s="6" t="s">
        <v>493</v>
      </c>
      <c r="R118" s="8">
        <v>3.82</v>
      </c>
      <c r="S118" s="20">
        <v>45097</v>
      </c>
      <c r="T118" s="20">
        <v>45098</v>
      </c>
      <c r="U118" s="33">
        <v>1</v>
      </c>
      <c r="V118" s="8">
        <v>0.21099999999999999</v>
      </c>
      <c r="W118" s="8" t="s">
        <v>256</v>
      </c>
      <c r="X118" s="2" t="s">
        <v>33</v>
      </c>
      <c r="Y118" s="2">
        <v>2</v>
      </c>
      <c r="Z118" s="11" t="s">
        <v>82</v>
      </c>
      <c r="AA118" s="20">
        <v>45268</v>
      </c>
      <c r="AB118" s="8">
        <v>18.731905983420134</v>
      </c>
      <c r="AC118" s="33">
        <v>2</v>
      </c>
      <c r="AD118" s="31" t="s">
        <v>156</v>
      </c>
      <c r="AE118" s="31" t="s">
        <v>185</v>
      </c>
      <c r="AF118" s="31" t="s">
        <v>175</v>
      </c>
      <c r="AG118" s="31" t="s">
        <v>223</v>
      </c>
      <c r="AH118" s="6">
        <v>207</v>
      </c>
      <c r="AI118" s="2" t="s">
        <v>1279</v>
      </c>
      <c r="AJ118" s="2" t="s">
        <v>1696</v>
      </c>
    </row>
    <row r="119" spans="1:36">
      <c r="A119" s="2" t="s">
        <v>984</v>
      </c>
      <c r="B119" s="20">
        <v>45097</v>
      </c>
      <c r="C119" s="2" t="s">
        <v>487</v>
      </c>
      <c r="D119" s="6">
        <v>1</v>
      </c>
      <c r="E119" s="6">
        <v>26</v>
      </c>
      <c r="F119" s="6">
        <v>3</v>
      </c>
      <c r="G119" s="8" t="s">
        <v>256</v>
      </c>
      <c r="H119" s="8" t="s">
        <v>256</v>
      </c>
      <c r="I119" s="2" t="s">
        <v>6</v>
      </c>
      <c r="J119" s="2" t="s">
        <v>255</v>
      </c>
      <c r="K119" s="6">
        <v>300</v>
      </c>
      <c r="L119" s="6">
        <v>4</v>
      </c>
      <c r="M119" s="6">
        <v>2</v>
      </c>
      <c r="N119" s="6" t="s">
        <v>493</v>
      </c>
      <c r="O119" s="6" t="s">
        <v>493</v>
      </c>
      <c r="P119" s="6" t="s">
        <v>493</v>
      </c>
      <c r="Q119" s="6" t="s">
        <v>493</v>
      </c>
      <c r="R119" s="8">
        <v>4.76</v>
      </c>
      <c r="S119" s="20">
        <v>45097</v>
      </c>
      <c r="T119" s="20">
        <v>45098</v>
      </c>
      <c r="U119" s="33">
        <v>1</v>
      </c>
      <c r="V119" s="8">
        <v>0.46899999999999997</v>
      </c>
      <c r="W119" s="8" t="s">
        <v>256</v>
      </c>
      <c r="X119" s="2" t="s">
        <v>33</v>
      </c>
      <c r="Y119" s="2">
        <v>2</v>
      </c>
      <c r="Z119" s="11" t="s">
        <v>83</v>
      </c>
      <c r="AA119" s="20">
        <v>45268</v>
      </c>
      <c r="AB119" s="8">
        <v>21.039942585173094</v>
      </c>
      <c r="AC119" s="33">
        <v>2</v>
      </c>
      <c r="AD119" s="31" t="s">
        <v>157</v>
      </c>
      <c r="AE119" s="31" t="s">
        <v>186</v>
      </c>
      <c r="AF119" s="31" t="s">
        <v>175</v>
      </c>
      <c r="AG119" s="31" t="s">
        <v>223</v>
      </c>
      <c r="AH119" s="6">
        <v>219</v>
      </c>
      <c r="AI119" s="2" t="s">
        <v>1280</v>
      </c>
      <c r="AJ119" s="2" t="s">
        <v>1696</v>
      </c>
    </row>
    <row r="120" spans="1:36">
      <c r="A120" s="2" t="s">
        <v>985</v>
      </c>
      <c r="B120" s="20">
        <v>45097</v>
      </c>
      <c r="C120" s="2" t="s">
        <v>487</v>
      </c>
      <c r="D120" s="6">
        <v>1</v>
      </c>
      <c r="E120" s="6">
        <v>28</v>
      </c>
      <c r="F120" s="6">
        <v>3</v>
      </c>
      <c r="G120" s="8" t="s">
        <v>256</v>
      </c>
      <c r="H120" s="8" t="s">
        <v>256</v>
      </c>
      <c r="I120" s="2" t="s">
        <v>6</v>
      </c>
      <c r="J120" s="2" t="s">
        <v>254</v>
      </c>
      <c r="K120" s="6">
        <v>300</v>
      </c>
      <c r="L120" s="6">
        <v>4</v>
      </c>
      <c r="M120" s="6">
        <v>4</v>
      </c>
      <c r="N120" s="6" t="s">
        <v>493</v>
      </c>
      <c r="O120" s="6" t="s">
        <v>493</v>
      </c>
      <c r="P120" s="6" t="s">
        <v>493</v>
      </c>
      <c r="Q120" s="6" t="s">
        <v>493</v>
      </c>
      <c r="R120" s="8">
        <v>4.34</v>
      </c>
      <c r="S120" s="20">
        <v>45097</v>
      </c>
      <c r="T120" s="20">
        <v>45098</v>
      </c>
      <c r="U120" s="33">
        <v>1</v>
      </c>
      <c r="V120" s="8">
        <v>0.13500000000000001</v>
      </c>
      <c r="W120" s="8" t="s">
        <v>256</v>
      </c>
      <c r="X120" s="2" t="s">
        <v>33</v>
      </c>
      <c r="Y120" s="2">
        <v>2</v>
      </c>
      <c r="Z120" s="11" t="s">
        <v>146</v>
      </c>
      <c r="AA120" s="20">
        <v>45268</v>
      </c>
      <c r="AB120" s="8">
        <v>6.453540879779041</v>
      </c>
      <c r="AC120" s="33">
        <v>2</v>
      </c>
      <c r="AD120" s="31" t="s">
        <v>158</v>
      </c>
      <c r="AE120" s="31" t="s">
        <v>187</v>
      </c>
      <c r="AF120" s="31" t="s">
        <v>175</v>
      </c>
      <c r="AG120" s="31" t="s">
        <v>223</v>
      </c>
      <c r="AH120" s="6">
        <v>231</v>
      </c>
      <c r="AI120" s="2" t="s">
        <v>1281</v>
      </c>
      <c r="AJ120" s="2" t="s">
        <v>1696</v>
      </c>
    </row>
    <row r="121" spans="1:36">
      <c r="A121" s="2" t="s">
        <v>986</v>
      </c>
      <c r="B121" s="20">
        <v>45097</v>
      </c>
      <c r="C121" s="2" t="s">
        <v>487</v>
      </c>
      <c r="D121" s="6">
        <v>1</v>
      </c>
      <c r="E121" s="6">
        <v>35</v>
      </c>
      <c r="F121" s="6">
        <v>3</v>
      </c>
      <c r="G121" s="8" t="s">
        <v>256</v>
      </c>
      <c r="H121" s="8" t="s">
        <v>256</v>
      </c>
      <c r="I121" s="2" t="s">
        <v>6</v>
      </c>
      <c r="J121" s="2" t="s">
        <v>40</v>
      </c>
      <c r="K121" s="6">
        <v>300</v>
      </c>
      <c r="L121" s="6">
        <v>4</v>
      </c>
      <c r="M121" s="6">
        <v>11</v>
      </c>
      <c r="N121" s="6" t="s">
        <v>493</v>
      </c>
      <c r="O121" s="6" t="s">
        <v>493</v>
      </c>
      <c r="P121" s="6" t="s">
        <v>493</v>
      </c>
      <c r="Q121" s="6" t="s">
        <v>493</v>
      </c>
      <c r="R121" s="8">
        <v>3.64</v>
      </c>
      <c r="S121" s="20">
        <v>45097</v>
      </c>
      <c r="T121" s="20">
        <v>45098</v>
      </c>
      <c r="U121" s="33">
        <v>1</v>
      </c>
      <c r="V121" s="8">
        <v>0.17</v>
      </c>
      <c r="W121" s="8" t="s">
        <v>256</v>
      </c>
      <c r="X121" s="2" t="s">
        <v>33</v>
      </c>
      <c r="Y121" s="2">
        <v>2</v>
      </c>
      <c r="Z121" s="11" t="s">
        <v>89</v>
      </c>
      <c r="AA121" s="20">
        <v>45268</v>
      </c>
      <c r="AB121" s="8">
        <v>8.0161249135012884</v>
      </c>
      <c r="AC121" s="33">
        <v>2</v>
      </c>
      <c r="AD121" s="31" t="s">
        <v>159</v>
      </c>
      <c r="AE121" s="31" t="s">
        <v>188</v>
      </c>
      <c r="AF121" s="31" t="s">
        <v>175</v>
      </c>
      <c r="AG121" s="31" t="s">
        <v>223</v>
      </c>
      <c r="AH121" s="6">
        <v>243</v>
      </c>
      <c r="AI121" s="2" t="s">
        <v>1282</v>
      </c>
      <c r="AJ121" s="2" t="s">
        <v>1696</v>
      </c>
    </row>
    <row r="122" spans="1:36">
      <c r="A122" s="2" t="s">
        <v>987</v>
      </c>
      <c r="B122" s="20">
        <v>45097</v>
      </c>
      <c r="C122" s="2" t="s">
        <v>487</v>
      </c>
      <c r="D122" s="6">
        <v>2</v>
      </c>
      <c r="E122" s="6">
        <v>37</v>
      </c>
      <c r="F122" s="6">
        <v>4</v>
      </c>
      <c r="G122" s="8" t="s">
        <v>256</v>
      </c>
      <c r="H122" s="8" t="s">
        <v>256</v>
      </c>
      <c r="I122" s="2" t="s">
        <v>4</v>
      </c>
      <c r="J122" s="2" t="s">
        <v>40</v>
      </c>
      <c r="K122" s="6">
        <v>300</v>
      </c>
      <c r="L122" s="6">
        <v>3</v>
      </c>
      <c r="M122" s="6">
        <v>1</v>
      </c>
      <c r="N122" s="6" t="s">
        <v>493</v>
      </c>
      <c r="O122" s="6" t="s">
        <v>493</v>
      </c>
      <c r="P122" s="6" t="s">
        <v>493</v>
      </c>
      <c r="Q122" s="6" t="s">
        <v>493</v>
      </c>
      <c r="R122" s="8">
        <v>5.25</v>
      </c>
      <c r="S122" s="20">
        <v>45097</v>
      </c>
      <c r="T122" s="20">
        <v>45098</v>
      </c>
      <c r="U122" s="33">
        <v>1</v>
      </c>
      <c r="V122" s="8">
        <v>0.66</v>
      </c>
      <c r="W122" s="8" t="s">
        <v>256</v>
      </c>
      <c r="X122" s="2" t="s">
        <v>33</v>
      </c>
      <c r="Y122" s="2">
        <v>2</v>
      </c>
      <c r="Z122" s="11" t="s">
        <v>90</v>
      </c>
      <c r="AA122" s="20">
        <v>45268</v>
      </c>
      <c r="AB122" s="8">
        <v>21.094003034874767</v>
      </c>
      <c r="AC122" s="33">
        <v>2</v>
      </c>
      <c r="AD122" s="31" t="s">
        <v>160</v>
      </c>
      <c r="AE122" s="31" t="s">
        <v>189</v>
      </c>
      <c r="AF122" s="31" t="s">
        <v>175</v>
      </c>
      <c r="AG122" s="31" t="s">
        <v>223</v>
      </c>
      <c r="AH122" s="6">
        <v>255</v>
      </c>
      <c r="AI122" s="2" t="s">
        <v>1283</v>
      </c>
      <c r="AJ122" s="2" t="s">
        <v>1696</v>
      </c>
    </row>
    <row r="123" spans="1:36">
      <c r="A123" s="2" t="s">
        <v>988</v>
      </c>
      <c r="B123" s="20">
        <v>45097</v>
      </c>
      <c r="C123" s="2" t="s">
        <v>487</v>
      </c>
      <c r="D123" s="6">
        <v>2</v>
      </c>
      <c r="E123" s="6">
        <v>38</v>
      </c>
      <c r="F123" s="6">
        <v>4</v>
      </c>
      <c r="G123" s="8" t="s">
        <v>256</v>
      </c>
      <c r="H123" s="8" t="s">
        <v>256</v>
      </c>
      <c r="I123" s="2" t="s">
        <v>4</v>
      </c>
      <c r="J123" s="2" t="s">
        <v>255</v>
      </c>
      <c r="K123" s="6">
        <v>300</v>
      </c>
      <c r="L123" s="6">
        <v>3</v>
      </c>
      <c r="M123" s="6">
        <v>2</v>
      </c>
      <c r="N123" s="6" t="s">
        <v>493</v>
      </c>
      <c r="O123" s="6" t="s">
        <v>493</v>
      </c>
      <c r="P123" s="6" t="s">
        <v>493</v>
      </c>
      <c r="Q123" s="6" t="s">
        <v>493</v>
      </c>
      <c r="R123" s="8">
        <v>5.15</v>
      </c>
      <c r="S123" s="20">
        <v>45097</v>
      </c>
      <c r="T123" s="20">
        <v>45098</v>
      </c>
      <c r="U123" s="33">
        <v>1</v>
      </c>
      <c r="V123" s="8">
        <v>0.65400000000000003</v>
      </c>
      <c r="W123" s="8" t="s">
        <v>256</v>
      </c>
      <c r="X123" s="2" t="s">
        <v>33</v>
      </c>
      <c r="Y123" s="2">
        <v>2</v>
      </c>
      <c r="Z123" s="11" t="s">
        <v>91</v>
      </c>
      <c r="AA123" s="20">
        <v>45268</v>
      </c>
      <c r="AB123" s="8">
        <v>23.358446676357975</v>
      </c>
      <c r="AC123" s="33">
        <v>2</v>
      </c>
      <c r="AD123" s="31" t="s">
        <v>162</v>
      </c>
      <c r="AE123" s="31" t="s">
        <v>190</v>
      </c>
      <c r="AF123" s="31" t="s">
        <v>175</v>
      </c>
      <c r="AG123" s="31" t="s">
        <v>223</v>
      </c>
      <c r="AH123" s="6">
        <v>267</v>
      </c>
      <c r="AI123" s="2" t="s">
        <v>1284</v>
      </c>
      <c r="AJ123" s="2" t="s">
        <v>1696</v>
      </c>
    </row>
    <row r="124" spans="1:36">
      <c r="A124" s="2" t="s">
        <v>989</v>
      </c>
      <c r="B124" s="20">
        <v>45097</v>
      </c>
      <c r="C124" s="2" t="s">
        <v>487</v>
      </c>
      <c r="D124" s="6">
        <v>2</v>
      </c>
      <c r="E124" s="6">
        <v>41</v>
      </c>
      <c r="F124" s="6">
        <v>4</v>
      </c>
      <c r="G124" s="8" t="s">
        <v>256</v>
      </c>
      <c r="H124" s="8" t="s">
        <v>256</v>
      </c>
      <c r="I124" s="2" t="s">
        <v>4</v>
      </c>
      <c r="J124" s="2" t="s">
        <v>253</v>
      </c>
      <c r="K124" s="6">
        <v>300</v>
      </c>
      <c r="L124" s="6">
        <v>3</v>
      </c>
      <c r="M124" s="6">
        <v>5</v>
      </c>
      <c r="N124" s="6" t="s">
        <v>493</v>
      </c>
      <c r="O124" s="6" t="s">
        <v>493</v>
      </c>
      <c r="P124" s="6" t="s">
        <v>493</v>
      </c>
      <c r="Q124" s="6" t="s">
        <v>493</v>
      </c>
      <c r="R124" s="8">
        <v>6.63</v>
      </c>
      <c r="S124" s="20">
        <v>45097</v>
      </c>
      <c r="T124" s="20">
        <v>45098</v>
      </c>
      <c r="U124" s="33">
        <v>1</v>
      </c>
      <c r="V124" s="8">
        <v>0.56000000000000005</v>
      </c>
      <c r="W124" s="8" t="s">
        <v>256</v>
      </c>
      <c r="X124" s="2" t="s">
        <v>33</v>
      </c>
      <c r="Y124" s="2">
        <v>2</v>
      </c>
      <c r="Z124" s="11" t="s">
        <v>147</v>
      </c>
      <c r="AA124" s="20">
        <v>45268</v>
      </c>
      <c r="AB124" s="8">
        <v>16.536193212126911</v>
      </c>
      <c r="AC124" s="33">
        <v>2</v>
      </c>
      <c r="AD124" s="31" t="s">
        <v>162</v>
      </c>
      <c r="AE124" s="31" t="s">
        <v>192</v>
      </c>
      <c r="AF124" s="31" t="s">
        <v>175</v>
      </c>
      <c r="AG124" s="31" t="s">
        <v>223</v>
      </c>
      <c r="AH124" s="6">
        <v>279</v>
      </c>
      <c r="AI124" s="2" t="s">
        <v>1285</v>
      </c>
      <c r="AJ124" s="2" t="s">
        <v>1696</v>
      </c>
    </row>
    <row r="125" spans="1:36">
      <c r="A125" s="2" t="s">
        <v>990</v>
      </c>
      <c r="B125" s="20">
        <v>45097</v>
      </c>
      <c r="C125" s="2" t="s">
        <v>487</v>
      </c>
      <c r="D125" s="6">
        <v>2</v>
      </c>
      <c r="E125" s="6">
        <v>44</v>
      </c>
      <c r="F125" s="6">
        <v>4</v>
      </c>
      <c r="G125" s="8" t="s">
        <v>256</v>
      </c>
      <c r="H125" s="8" t="s">
        <v>256</v>
      </c>
      <c r="I125" s="2" t="s">
        <v>4</v>
      </c>
      <c r="J125" s="2" t="s">
        <v>254</v>
      </c>
      <c r="K125" s="6">
        <v>300</v>
      </c>
      <c r="L125" s="6">
        <v>3</v>
      </c>
      <c r="M125" s="6">
        <v>8</v>
      </c>
      <c r="N125" s="6" t="s">
        <v>493</v>
      </c>
      <c r="O125" s="6" t="s">
        <v>493</v>
      </c>
      <c r="P125" s="6" t="s">
        <v>493</v>
      </c>
      <c r="Q125" s="6" t="s">
        <v>493</v>
      </c>
      <c r="R125" s="8">
        <v>4.63</v>
      </c>
      <c r="S125" s="20">
        <v>45097</v>
      </c>
      <c r="T125" s="20">
        <v>45098</v>
      </c>
      <c r="U125" s="33">
        <v>1</v>
      </c>
      <c r="V125" s="8">
        <v>0.36799999999999999</v>
      </c>
      <c r="W125" s="8" t="s">
        <v>256</v>
      </c>
      <c r="X125" s="2" t="s">
        <v>33</v>
      </c>
      <c r="Y125" s="2">
        <v>2</v>
      </c>
      <c r="Z125" s="11" t="s">
        <v>86</v>
      </c>
      <c r="AA125" s="20">
        <v>45268</v>
      </c>
      <c r="AB125" s="8">
        <v>15.537738137874465</v>
      </c>
      <c r="AC125" s="33">
        <v>2</v>
      </c>
      <c r="AD125" s="31" t="s">
        <v>155</v>
      </c>
      <c r="AE125" s="31" t="s">
        <v>184</v>
      </c>
      <c r="AF125" s="31" t="s">
        <v>176</v>
      </c>
      <c r="AG125" s="31" t="s">
        <v>224</v>
      </c>
      <c r="AH125" s="6">
        <v>196</v>
      </c>
      <c r="AI125" s="2" t="s">
        <v>1286</v>
      </c>
      <c r="AJ125" s="2" t="s">
        <v>1696</v>
      </c>
    </row>
    <row r="126" spans="1:36">
      <c r="A126" s="2" t="s">
        <v>991</v>
      </c>
      <c r="B126" s="20">
        <v>45097</v>
      </c>
      <c r="C126" s="2" t="s">
        <v>487</v>
      </c>
      <c r="D126" s="6">
        <v>2</v>
      </c>
      <c r="E126" s="6">
        <v>51</v>
      </c>
      <c r="F126" s="6">
        <v>5</v>
      </c>
      <c r="G126" s="8" t="s">
        <v>256</v>
      </c>
      <c r="H126" s="8" t="s">
        <v>256</v>
      </c>
      <c r="I126" s="2" t="s">
        <v>6</v>
      </c>
      <c r="J126" s="2" t="s">
        <v>40</v>
      </c>
      <c r="K126" s="6">
        <v>300</v>
      </c>
      <c r="L126" s="6">
        <v>2</v>
      </c>
      <c r="M126" s="6">
        <v>3</v>
      </c>
      <c r="N126" s="6" t="s">
        <v>493</v>
      </c>
      <c r="O126" s="6" t="s">
        <v>493</v>
      </c>
      <c r="P126" s="6" t="s">
        <v>493</v>
      </c>
      <c r="Q126" s="6" t="s">
        <v>493</v>
      </c>
      <c r="R126" s="8">
        <v>5.73</v>
      </c>
      <c r="S126" s="20">
        <v>45097</v>
      </c>
      <c r="T126" s="20">
        <v>45098</v>
      </c>
      <c r="U126" s="33">
        <v>1</v>
      </c>
      <c r="V126" s="8">
        <v>0.20599999999999999</v>
      </c>
      <c r="W126" s="8" t="s">
        <v>256</v>
      </c>
      <c r="X126" s="2" t="s">
        <v>33</v>
      </c>
      <c r="Y126" s="2">
        <v>2</v>
      </c>
      <c r="Z126" s="11" t="s">
        <v>87</v>
      </c>
      <c r="AA126" s="20">
        <v>45268</v>
      </c>
      <c r="AB126" s="8">
        <v>11.809897643689448</v>
      </c>
      <c r="AC126" s="33">
        <v>2</v>
      </c>
      <c r="AD126" s="31" t="s">
        <v>156</v>
      </c>
      <c r="AE126" s="31" t="s">
        <v>185</v>
      </c>
      <c r="AF126" s="31" t="s">
        <v>176</v>
      </c>
      <c r="AG126" s="31" t="s">
        <v>224</v>
      </c>
      <c r="AH126" s="6">
        <v>208</v>
      </c>
      <c r="AI126" s="2" t="s">
        <v>1287</v>
      </c>
      <c r="AJ126" s="2" t="s">
        <v>1696</v>
      </c>
    </row>
    <row r="127" spans="1:36">
      <c r="A127" s="2" t="s">
        <v>992</v>
      </c>
      <c r="B127" s="20">
        <v>45097</v>
      </c>
      <c r="C127" s="2" t="s">
        <v>487</v>
      </c>
      <c r="D127" s="6">
        <v>2</v>
      </c>
      <c r="E127" s="6">
        <v>53</v>
      </c>
      <c r="F127" s="6">
        <v>5</v>
      </c>
      <c r="G127" s="8" t="s">
        <v>256</v>
      </c>
      <c r="H127" s="8" t="s">
        <v>256</v>
      </c>
      <c r="I127" s="2" t="s">
        <v>6</v>
      </c>
      <c r="J127" s="2" t="s">
        <v>255</v>
      </c>
      <c r="K127" s="6">
        <v>300</v>
      </c>
      <c r="L127" s="6">
        <v>2</v>
      </c>
      <c r="M127" s="6">
        <v>5</v>
      </c>
      <c r="N127" s="6" t="s">
        <v>493</v>
      </c>
      <c r="O127" s="6" t="s">
        <v>493</v>
      </c>
      <c r="P127" s="6" t="s">
        <v>493</v>
      </c>
      <c r="Q127" s="6" t="s">
        <v>493</v>
      </c>
      <c r="R127" s="8">
        <v>4.93</v>
      </c>
      <c r="S127" s="20">
        <v>45097</v>
      </c>
      <c r="T127" s="20">
        <v>45098</v>
      </c>
      <c r="U127" s="33">
        <v>1</v>
      </c>
      <c r="V127" s="8">
        <v>0.23</v>
      </c>
      <c r="W127" s="8" t="s">
        <v>256</v>
      </c>
      <c r="X127" s="2" t="s">
        <v>33</v>
      </c>
      <c r="Y127" s="2">
        <v>2</v>
      </c>
      <c r="Z127" s="11" t="s">
        <v>94</v>
      </c>
      <c r="AA127" s="20">
        <v>45268</v>
      </c>
      <c r="AB127" s="8">
        <v>9.1887924759964825</v>
      </c>
      <c r="AC127" s="33">
        <v>2</v>
      </c>
      <c r="AD127" s="31" t="s">
        <v>157</v>
      </c>
      <c r="AE127" s="31" t="s">
        <v>186</v>
      </c>
      <c r="AF127" s="31" t="s">
        <v>176</v>
      </c>
      <c r="AG127" s="31" t="s">
        <v>224</v>
      </c>
      <c r="AH127" s="6">
        <v>220</v>
      </c>
      <c r="AI127" s="2" t="s">
        <v>1288</v>
      </c>
      <c r="AJ127" s="2" t="s">
        <v>1696</v>
      </c>
    </row>
    <row r="128" spans="1:36">
      <c r="A128" s="2" t="s">
        <v>993</v>
      </c>
      <c r="B128" s="20">
        <v>45097</v>
      </c>
      <c r="C128" s="2" t="s">
        <v>487</v>
      </c>
      <c r="D128" s="6">
        <v>2</v>
      </c>
      <c r="E128" s="6">
        <v>55</v>
      </c>
      <c r="F128" s="6">
        <v>5</v>
      </c>
      <c r="G128" s="8" t="s">
        <v>256</v>
      </c>
      <c r="H128" s="8" t="s">
        <v>256</v>
      </c>
      <c r="I128" s="2" t="s">
        <v>6</v>
      </c>
      <c r="J128" s="2" t="s">
        <v>253</v>
      </c>
      <c r="K128" s="6">
        <v>300</v>
      </c>
      <c r="L128" s="6">
        <v>2</v>
      </c>
      <c r="M128" s="6">
        <v>7</v>
      </c>
      <c r="N128" s="6" t="s">
        <v>493</v>
      </c>
      <c r="O128" s="6" t="s">
        <v>493</v>
      </c>
      <c r="P128" s="6" t="s">
        <v>493</v>
      </c>
      <c r="Q128" s="6" t="s">
        <v>493</v>
      </c>
      <c r="R128" s="8">
        <v>4.34</v>
      </c>
      <c r="S128" s="20">
        <v>45097</v>
      </c>
      <c r="T128" s="20">
        <v>45098</v>
      </c>
      <c r="U128" s="33">
        <v>1</v>
      </c>
      <c r="V128" s="8">
        <v>0.28999999999999998</v>
      </c>
      <c r="W128" s="8" t="s">
        <v>256</v>
      </c>
      <c r="X128" s="2" t="s">
        <v>33</v>
      </c>
      <c r="Y128" s="2">
        <v>2</v>
      </c>
      <c r="Z128" s="11" t="s">
        <v>102</v>
      </c>
      <c r="AA128" s="20">
        <v>45268</v>
      </c>
      <c r="AB128" s="8">
        <v>14.293680504734173</v>
      </c>
      <c r="AC128" s="33">
        <v>2</v>
      </c>
      <c r="AD128" s="31" t="s">
        <v>158</v>
      </c>
      <c r="AE128" s="31" t="s">
        <v>187</v>
      </c>
      <c r="AF128" s="31" t="s">
        <v>176</v>
      </c>
      <c r="AG128" s="31" t="s">
        <v>224</v>
      </c>
      <c r="AH128" s="6">
        <v>232</v>
      </c>
      <c r="AI128" s="2" t="s">
        <v>1289</v>
      </c>
      <c r="AJ128" s="2" t="s">
        <v>1696</v>
      </c>
    </row>
    <row r="129" spans="1:36">
      <c r="A129" s="2" t="s">
        <v>994</v>
      </c>
      <c r="B129" s="20">
        <v>45097</v>
      </c>
      <c r="C129" s="2" t="s">
        <v>487</v>
      </c>
      <c r="D129" s="6">
        <v>2</v>
      </c>
      <c r="E129" s="6">
        <v>59</v>
      </c>
      <c r="F129" s="6">
        <v>5</v>
      </c>
      <c r="G129" s="8" t="s">
        <v>256</v>
      </c>
      <c r="H129" s="8" t="s">
        <v>256</v>
      </c>
      <c r="I129" s="2" t="s">
        <v>6</v>
      </c>
      <c r="J129" s="2" t="s">
        <v>254</v>
      </c>
      <c r="K129" s="6">
        <v>300</v>
      </c>
      <c r="L129" s="6">
        <v>2</v>
      </c>
      <c r="M129" s="6">
        <v>11</v>
      </c>
      <c r="N129" s="6" t="s">
        <v>493</v>
      </c>
      <c r="O129" s="6" t="s">
        <v>493</v>
      </c>
      <c r="P129" s="6" t="s">
        <v>493</v>
      </c>
      <c r="Q129" s="6" t="s">
        <v>493</v>
      </c>
      <c r="R129" s="8">
        <v>4.32</v>
      </c>
      <c r="S129" s="20">
        <v>45097</v>
      </c>
      <c r="T129" s="20">
        <v>45098</v>
      </c>
      <c r="U129" s="33">
        <v>1</v>
      </c>
      <c r="V129" s="8">
        <v>0.19400000000000001</v>
      </c>
      <c r="W129" s="8" t="s">
        <v>256</v>
      </c>
      <c r="X129" s="2" t="s">
        <v>33</v>
      </c>
      <c r="Y129" s="2">
        <v>2</v>
      </c>
      <c r="Z129" s="11" t="s">
        <v>88</v>
      </c>
      <c r="AA129" s="20">
        <v>45268</v>
      </c>
      <c r="AB129" s="8">
        <v>11.009538064014425</v>
      </c>
      <c r="AC129" s="33">
        <v>2</v>
      </c>
      <c r="AD129" s="31" t="s">
        <v>159</v>
      </c>
      <c r="AE129" s="31" t="s">
        <v>188</v>
      </c>
      <c r="AF129" s="31" t="s">
        <v>176</v>
      </c>
      <c r="AG129" s="31" t="s">
        <v>224</v>
      </c>
      <c r="AH129" s="6">
        <v>244</v>
      </c>
      <c r="AI129" s="2" t="s">
        <v>1290</v>
      </c>
      <c r="AJ129" s="2" t="s">
        <v>1696</v>
      </c>
    </row>
    <row r="130" spans="1:36">
      <c r="A130" s="2" t="s">
        <v>995</v>
      </c>
      <c r="B130" s="20">
        <v>45097</v>
      </c>
      <c r="C130" s="2" t="s">
        <v>487</v>
      </c>
      <c r="D130" s="6">
        <v>2</v>
      </c>
      <c r="E130" s="6">
        <v>61</v>
      </c>
      <c r="F130" s="6">
        <v>6</v>
      </c>
      <c r="G130" s="8" t="s">
        <v>256</v>
      </c>
      <c r="H130" s="8" t="s">
        <v>256</v>
      </c>
      <c r="I130" s="2" t="s">
        <v>5</v>
      </c>
      <c r="J130" s="2" t="s">
        <v>40</v>
      </c>
      <c r="K130" s="6">
        <v>300</v>
      </c>
      <c r="L130" s="6">
        <v>1</v>
      </c>
      <c r="M130" s="6">
        <v>1</v>
      </c>
      <c r="N130" s="6" t="s">
        <v>493</v>
      </c>
      <c r="O130" s="6" t="s">
        <v>493</v>
      </c>
      <c r="P130" s="6" t="s">
        <v>493</v>
      </c>
      <c r="Q130" s="6" t="s">
        <v>493</v>
      </c>
      <c r="R130" s="8">
        <v>7.24</v>
      </c>
      <c r="S130" s="20">
        <v>45097</v>
      </c>
      <c r="T130" s="20">
        <v>45098</v>
      </c>
      <c r="U130" s="33">
        <v>1</v>
      </c>
      <c r="V130" s="8">
        <v>0.371</v>
      </c>
      <c r="W130" s="8" t="s">
        <v>256</v>
      </c>
      <c r="X130" s="2" t="s">
        <v>33</v>
      </c>
      <c r="Y130" s="2">
        <v>2</v>
      </c>
      <c r="Z130" s="11" t="s">
        <v>148</v>
      </c>
      <c r="AA130" s="20">
        <v>45268</v>
      </c>
      <c r="AB130" s="8">
        <v>18.758587623941647</v>
      </c>
      <c r="AC130" s="33">
        <v>2</v>
      </c>
      <c r="AD130" s="31" t="s">
        <v>160</v>
      </c>
      <c r="AE130" s="31" t="s">
        <v>189</v>
      </c>
      <c r="AF130" s="31" t="s">
        <v>176</v>
      </c>
      <c r="AG130" s="31" t="s">
        <v>224</v>
      </c>
      <c r="AH130" s="6">
        <v>256</v>
      </c>
      <c r="AI130" s="2" t="s">
        <v>1291</v>
      </c>
      <c r="AJ130" s="2" t="s">
        <v>1696</v>
      </c>
    </row>
    <row r="131" spans="1:36">
      <c r="A131" s="2" t="s">
        <v>996</v>
      </c>
      <c r="B131" s="20">
        <v>45097</v>
      </c>
      <c r="C131" s="2" t="s">
        <v>487</v>
      </c>
      <c r="D131" s="6">
        <v>2</v>
      </c>
      <c r="E131" s="6">
        <v>66</v>
      </c>
      <c r="F131" s="6">
        <v>6</v>
      </c>
      <c r="G131" s="8" t="s">
        <v>256</v>
      </c>
      <c r="H131" s="8" t="s">
        <v>256</v>
      </c>
      <c r="I131" s="2" t="s">
        <v>5</v>
      </c>
      <c r="J131" s="2" t="s">
        <v>254</v>
      </c>
      <c r="K131" s="6">
        <v>300</v>
      </c>
      <c r="L131" s="6">
        <v>1</v>
      </c>
      <c r="M131" s="6">
        <v>6</v>
      </c>
      <c r="N131" s="6" t="s">
        <v>493</v>
      </c>
      <c r="O131" s="6" t="s">
        <v>493</v>
      </c>
      <c r="P131" s="6" t="s">
        <v>493</v>
      </c>
      <c r="Q131" s="6" t="s">
        <v>493</v>
      </c>
      <c r="R131" s="8">
        <v>6.38</v>
      </c>
      <c r="S131" s="20">
        <v>45097</v>
      </c>
      <c r="T131" s="20">
        <v>45098</v>
      </c>
      <c r="U131" s="33">
        <v>1</v>
      </c>
      <c r="V131" s="8">
        <v>0.30099999999999999</v>
      </c>
      <c r="W131" s="8" t="s">
        <v>256</v>
      </c>
      <c r="X131" s="2" t="s">
        <v>33</v>
      </c>
      <c r="Y131" s="2">
        <v>2</v>
      </c>
      <c r="Z131" s="11" t="s">
        <v>96</v>
      </c>
      <c r="AA131" s="20">
        <v>45268</v>
      </c>
      <c r="AB131" s="8">
        <v>18.681191943279952</v>
      </c>
      <c r="AC131" s="33">
        <v>2</v>
      </c>
      <c r="AD131" s="31" t="s">
        <v>191</v>
      </c>
      <c r="AE131" s="31" t="s">
        <v>190</v>
      </c>
      <c r="AF131" s="31" t="s">
        <v>176</v>
      </c>
      <c r="AG131" s="31" t="s">
        <v>224</v>
      </c>
      <c r="AH131" s="6">
        <v>268</v>
      </c>
      <c r="AI131" s="2" t="s">
        <v>1292</v>
      </c>
      <c r="AJ131" s="2" t="s">
        <v>1696</v>
      </c>
    </row>
    <row r="132" spans="1:36">
      <c r="A132" s="2" t="s">
        <v>997</v>
      </c>
      <c r="B132" s="20">
        <v>45097</v>
      </c>
      <c r="C132" s="2" t="s">
        <v>487</v>
      </c>
      <c r="D132" s="6">
        <v>2</v>
      </c>
      <c r="E132" s="6">
        <v>68</v>
      </c>
      <c r="F132" s="6">
        <v>6</v>
      </c>
      <c r="G132" s="8" t="s">
        <v>256</v>
      </c>
      <c r="H132" s="8" t="s">
        <v>256</v>
      </c>
      <c r="I132" s="2" t="s">
        <v>5</v>
      </c>
      <c r="J132" s="2" t="s">
        <v>255</v>
      </c>
      <c r="K132" s="6">
        <v>300</v>
      </c>
      <c r="L132" s="6">
        <v>1</v>
      </c>
      <c r="M132" s="6">
        <v>8</v>
      </c>
      <c r="N132" s="6" t="s">
        <v>493</v>
      </c>
      <c r="O132" s="6" t="s">
        <v>493</v>
      </c>
      <c r="P132" s="6" t="s">
        <v>493</v>
      </c>
      <c r="Q132" s="6" t="s">
        <v>493</v>
      </c>
      <c r="R132" s="8">
        <v>6.3</v>
      </c>
      <c r="S132" s="20">
        <v>45097</v>
      </c>
      <c r="T132" s="20">
        <v>45098</v>
      </c>
      <c r="U132" s="33">
        <v>1</v>
      </c>
      <c r="V132" s="8">
        <v>2.3879999999999999</v>
      </c>
      <c r="W132" s="8" t="s">
        <v>256</v>
      </c>
      <c r="X132" s="2" t="s">
        <v>33</v>
      </c>
      <c r="Y132" s="2">
        <v>2</v>
      </c>
      <c r="Z132" s="11" t="s">
        <v>149</v>
      </c>
      <c r="AA132" s="20">
        <v>45268</v>
      </c>
      <c r="AB132" s="8">
        <v>20.204236554504845</v>
      </c>
      <c r="AC132" s="33">
        <v>2</v>
      </c>
      <c r="AD132" s="31" t="s">
        <v>162</v>
      </c>
      <c r="AE132" s="31" t="s">
        <v>192</v>
      </c>
      <c r="AF132" s="31" t="s">
        <v>176</v>
      </c>
      <c r="AG132" s="31" t="s">
        <v>224</v>
      </c>
      <c r="AH132" s="6">
        <v>280</v>
      </c>
      <c r="AI132" s="2" t="s">
        <v>1293</v>
      </c>
      <c r="AJ132" s="2" t="s">
        <v>1696</v>
      </c>
    </row>
    <row r="133" spans="1:36">
      <c r="A133" s="2" t="s">
        <v>998</v>
      </c>
      <c r="B133" s="20">
        <v>45097</v>
      </c>
      <c r="C133" s="2" t="s">
        <v>487</v>
      </c>
      <c r="D133" s="6">
        <v>2</v>
      </c>
      <c r="E133" s="6">
        <v>72</v>
      </c>
      <c r="F133" s="6">
        <v>6</v>
      </c>
      <c r="G133" s="8" t="s">
        <v>256</v>
      </c>
      <c r="H133" s="8" t="s">
        <v>256</v>
      </c>
      <c r="I133" s="2" t="s">
        <v>5</v>
      </c>
      <c r="J133" s="2" t="s">
        <v>253</v>
      </c>
      <c r="K133" s="6">
        <v>300</v>
      </c>
      <c r="L133" s="6">
        <v>1</v>
      </c>
      <c r="M133" s="6">
        <v>12</v>
      </c>
      <c r="N133" s="6" t="s">
        <v>493</v>
      </c>
      <c r="O133" s="6" t="s">
        <v>493</v>
      </c>
      <c r="P133" s="6" t="s">
        <v>493</v>
      </c>
      <c r="Q133" s="6" t="s">
        <v>493</v>
      </c>
      <c r="R133" s="8">
        <v>7.48</v>
      </c>
      <c r="S133" s="20">
        <v>45097</v>
      </c>
      <c r="T133" s="20">
        <v>45098</v>
      </c>
      <c r="U133" s="33">
        <v>1</v>
      </c>
      <c r="V133" s="8">
        <v>0.55000000000000004</v>
      </c>
      <c r="W133" s="8" t="s">
        <v>256</v>
      </c>
      <c r="X133" s="2" t="s">
        <v>33</v>
      </c>
      <c r="Y133" s="2">
        <v>2</v>
      </c>
      <c r="Z133" s="11" t="s">
        <v>92</v>
      </c>
      <c r="AA133" s="20">
        <v>45268</v>
      </c>
      <c r="AB133" s="8">
        <v>23.069271076304911</v>
      </c>
      <c r="AC133" s="33">
        <v>2</v>
      </c>
      <c r="AD133" s="31" t="s">
        <v>155</v>
      </c>
      <c r="AE133" s="31" t="s">
        <v>184</v>
      </c>
      <c r="AF133" s="31" t="s">
        <v>181</v>
      </c>
      <c r="AG133" s="31" t="s">
        <v>229</v>
      </c>
      <c r="AH133" s="6">
        <v>197</v>
      </c>
      <c r="AI133" s="2" t="s">
        <v>1294</v>
      </c>
      <c r="AJ133" s="2" t="s">
        <v>1696</v>
      </c>
    </row>
    <row r="134" spans="1:36">
      <c r="A134" s="2" t="s">
        <v>999</v>
      </c>
      <c r="B134" s="20">
        <v>45097</v>
      </c>
      <c r="C134" s="2" t="s">
        <v>487</v>
      </c>
      <c r="D134" s="6">
        <v>3</v>
      </c>
      <c r="E134" s="6">
        <v>75</v>
      </c>
      <c r="F134" s="6">
        <v>7</v>
      </c>
      <c r="G134" s="8" t="s">
        <v>256</v>
      </c>
      <c r="H134" s="8" t="s">
        <v>256</v>
      </c>
      <c r="I134" s="2" t="s">
        <v>4</v>
      </c>
      <c r="J134" s="2" t="s">
        <v>255</v>
      </c>
      <c r="K134" s="6">
        <v>300</v>
      </c>
      <c r="L134" s="6">
        <v>6</v>
      </c>
      <c r="M134" s="6">
        <v>15</v>
      </c>
      <c r="N134" s="6" t="s">
        <v>493</v>
      </c>
      <c r="O134" s="6" t="s">
        <v>493</v>
      </c>
      <c r="P134" s="6" t="s">
        <v>493</v>
      </c>
      <c r="Q134" s="6" t="s">
        <v>493</v>
      </c>
      <c r="R134" s="8">
        <v>5.1100000000000003</v>
      </c>
      <c r="S134" s="20">
        <v>45097</v>
      </c>
      <c r="T134" s="20">
        <v>45098</v>
      </c>
      <c r="U134" s="33">
        <v>1</v>
      </c>
      <c r="V134" s="8">
        <v>0.193</v>
      </c>
      <c r="W134" s="8" t="s">
        <v>256</v>
      </c>
      <c r="X134" s="2" t="s">
        <v>33</v>
      </c>
      <c r="Y134" s="2">
        <v>2</v>
      </c>
      <c r="Z134" s="11" t="s">
        <v>99</v>
      </c>
      <c r="AA134" s="20">
        <v>45268</v>
      </c>
      <c r="AB134" s="8">
        <v>8.4703004159507405</v>
      </c>
      <c r="AC134" s="33">
        <v>2</v>
      </c>
      <c r="AD134" s="31" t="s">
        <v>156</v>
      </c>
      <c r="AE134" s="31" t="s">
        <v>185</v>
      </c>
      <c r="AF134" s="31" t="s">
        <v>181</v>
      </c>
      <c r="AG134" s="31" t="s">
        <v>229</v>
      </c>
      <c r="AH134" s="6">
        <v>209</v>
      </c>
      <c r="AI134" s="2" t="s">
        <v>1295</v>
      </c>
      <c r="AJ134" s="2" t="s">
        <v>1696</v>
      </c>
    </row>
    <row r="135" spans="1:36">
      <c r="A135" s="2" t="s">
        <v>1000</v>
      </c>
      <c r="B135" s="20">
        <v>45097</v>
      </c>
      <c r="C135" s="2" t="s">
        <v>487</v>
      </c>
      <c r="D135" s="6">
        <v>3</v>
      </c>
      <c r="E135" s="6">
        <v>80</v>
      </c>
      <c r="F135" s="6">
        <v>7</v>
      </c>
      <c r="G135" s="8" t="s">
        <v>256</v>
      </c>
      <c r="H135" s="8" t="s">
        <v>256</v>
      </c>
      <c r="I135" s="2" t="s">
        <v>4</v>
      </c>
      <c r="J135" s="2" t="s">
        <v>40</v>
      </c>
      <c r="K135" s="6">
        <v>300</v>
      </c>
      <c r="L135" s="6">
        <v>6</v>
      </c>
      <c r="M135" s="6">
        <v>20</v>
      </c>
      <c r="N135" s="6" t="s">
        <v>493</v>
      </c>
      <c r="O135" s="6" t="s">
        <v>493</v>
      </c>
      <c r="P135" s="6" t="s">
        <v>493</v>
      </c>
      <c r="Q135" s="6" t="s">
        <v>493</v>
      </c>
      <c r="R135" s="8">
        <v>5.44</v>
      </c>
      <c r="S135" s="20">
        <v>45097</v>
      </c>
      <c r="T135" s="20">
        <v>45098</v>
      </c>
      <c r="U135" s="33">
        <v>1</v>
      </c>
      <c r="V135" s="8">
        <v>0.19500000000000001</v>
      </c>
      <c r="W135" s="8" t="s">
        <v>256</v>
      </c>
      <c r="X135" s="2" t="s">
        <v>33</v>
      </c>
      <c r="Y135" s="2">
        <v>2</v>
      </c>
      <c r="Z135" s="11" t="s">
        <v>100</v>
      </c>
      <c r="AA135" s="20">
        <v>45268</v>
      </c>
      <c r="AB135" s="8">
        <v>7.181255485223411</v>
      </c>
      <c r="AC135" s="33">
        <v>2</v>
      </c>
      <c r="AD135" s="31" t="s">
        <v>157</v>
      </c>
      <c r="AE135" s="31" t="s">
        <v>186</v>
      </c>
      <c r="AF135" s="31" t="s">
        <v>181</v>
      </c>
      <c r="AG135" s="31" t="s">
        <v>229</v>
      </c>
      <c r="AH135" s="6">
        <v>221</v>
      </c>
      <c r="AI135" s="2" t="s">
        <v>1296</v>
      </c>
      <c r="AJ135" s="2" t="s">
        <v>1696</v>
      </c>
    </row>
    <row r="136" spans="1:36">
      <c r="A136" s="2" t="s">
        <v>1001</v>
      </c>
      <c r="B136" s="20">
        <v>45097</v>
      </c>
      <c r="C136" s="2" t="s">
        <v>487</v>
      </c>
      <c r="D136" s="6">
        <v>3</v>
      </c>
      <c r="E136" s="6">
        <v>81</v>
      </c>
      <c r="F136" s="6">
        <v>7</v>
      </c>
      <c r="G136" s="8" t="s">
        <v>256</v>
      </c>
      <c r="H136" s="8" t="s">
        <v>256</v>
      </c>
      <c r="I136" s="2" t="s">
        <v>4</v>
      </c>
      <c r="J136" s="2" t="s">
        <v>254</v>
      </c>
      <c r="K136" s="6">
        <v>300</v>
      </c>
      <c r="L136" s="6">
        <v>6</v>
      </c>
      <c r="M136" s="6">
        <v>21</v>
      </c>
      <c r="N136" s="6" t="s">
        <v>493</v>
      </c>
      <c r="O136" s="6" t="s">
        <v>493</v>
      </c>
      <c r="P136" s="6" t="s">
        <v>493</v>
      </c>
      <c r="Q136" s="6" t="s">
        <v>493</v>
      </c>
      <c r="R136" s="8">
        <v>4.95</v>
      </c>
      <c r="S136" s="20">
        <v>45097</v>
      </c>
      <c r="T136" s="20">
        <v>45098</v>
      </c>
      <c r="U136" s="33">
        <v>1</v>
      </c>
      <c r="V136" s="8">
        <v>0.24099999999999999</v>
      </c>
      <c r="W136" s="8" t="s">
        <v>256</v>
      </c>
      <c r="X136" s="2" t="s">
        <v>33</v>
      </c>
      <c r="Y136" s="2">
        <v>2</v>
      </c>
      <c r="Z136" s="11" t="s">
        <v>141</v>
      </c>
      <c r="AA136" s="20">
        <v>45268</v>
      </c>
      <c r="AB136" s="8">
        <v>4.5878079941740602</v>
      </c>
      <c r="AC136" s="33">
        <v>2</v>
      </c>
      <c r="AD136" s="31" t="s">
        <v>158</v>
      </c>
      <c r="AE136" s="31" t="s">
        <v>187</v>
      </c>
      <c r="AF136" s="31" t="s">
        <v>181</v>
      </c>
      <c r="AG136" s="31" t="s">
        <v>229</v>
      </c>
      <c r="AH136" s="6">
        <v>233</v>
      </c>
      <c r="AI136" s="2" t="s">
        <v>1297</v>
      </c>
      <c r="AJ136" s="2" t="s">
        <v>1696</v>
      </c>
    </row>
    <row r="137" spans="1:36">
      <c r="A137" s="4" t="s">
        <v>1002</v>
      </c>
      <c r="B137" s="20">
        <v>45097</v>
      </c>
      <c r="C137" s="2" t="s">
        <v>487</v>
      </c>
      <c r="D137" s="6">
        <v>3</v>
      </c>
      <c r="E137" s="6">
        <v>82</v>
      </c>
      <c r="F137" s="6">
        <v>7</v>
      </c>
      <c r="G137" s="8" t="s">
        <v>256</v>
      </c>
      <c r="H137" s="8" t="s">
        <v>256</v>
      </c>
      <c r="I137" s="2" t="s">
        <v>4</v>
      </c>
      <c r="J137" s="2" t="s">
        <v>253</v>
      </c>
      <c r="K137" s="6">
        <v>300</v>
      </c>
      <c r="L137" s="6">
        <v>6</v>
      </c>
      <c r="M137" s="6">
        <v>22</v>
      </c>
      <c r="N137" s="6" t="s">
        <v>493</v>
      </c>
      <c r="O137" s="6" t="s">
        <v>493</v>
      </c>
      <c r="P137" s="6" t="s">
        <v>493</v>
      </c>
      <c r="Q137" s="6" t="s">
        <v>493</v>
      </c>
      <c r="R137" s="8">
        <v>5.76</v>
      </c>
      <c r="S137" s="20">
        <v>45097</v>
      </c>
      <c r="T137" s="20">
        <v>45098</v>
      </c>
      <c r="U137" s="33">
        <v>1</v>
      </c>
      <c r="V137" s="8">
        <v>8.8999999999999996E-2</v>
      </c>
      <c r="W137" s="8" t="s">
        <v>256</v>
      </c>
      <c r="X137" s="2" t="s">
        <v>34</v>
      </c>
      <c r="Y137" s="2">
        <v>4</v>
      </c>
      <c r="Z137" s="11" t="s">
        <v>89</v>
      </c>
      <c r="AA137" s="20">
        <v>45279</v>
      </c>
      <c r="AB137" s="8">
        <v>1.0900000000000001</v>
      </c>
      <c r="AC137" s="33">
        <v>4</v>
      </c>
      <c r="AD137" s="31" t="s">
        <v>200</v>
      </c>
      <c r="AE137" s="31" t="s">
        <v>201</v>
      </c>
      <c r="AF137" s="31" t="s">
        <v>175</v>
      </c>
      <c r="AG137" s="31" t="s">
        <v>223</v>
      </c>
      <c r="AH137" s="6">
        <v>339</v>
      </c>
      <c r="AI137" s="4" t="s">
        <v>1298</v>
      </c>
      <c r="AJ137" s="2" t="s">
        <v>1696</v>
      </c>
    </row>
    <row r="138" spans="1:36">
      <c r="A138" s="2" t="s">
        <v>1003</v>
      </c>
      <c r="B138" s="20">
        <v>45097</v>
      </c>
      <c r="C138" s="2" t="s">
        <v>487</v>
      </c>
      <c r="D138" s="6">
        <v>3</v>
      </c>
      <c r="E138" s="6">
        <v>87</v>
      </c>
      <c r="F138" s="6">
        <v>8</v>
      </c>
      <c r="G138" s="8" t="s">
        <v>256</v>
      </c>
      <c r="H138" s="8" t="s">
        <v>256</v>
      </c>
      <c r="I138" s="2" t="s">
        <v>6</v>
      </c>
      <c r="J138" s="2" t="s">
        <v>254</v>
      </c>
      <c r="K138" s="6">
        <v>300</v>
      </c>
      <c r="L138" s="6">
        <v>5</v>
      </c>
      <c r="M138" s="6">
        <v>15</v>
      </c>
      <c r="N138" s="6" t="s">
        <v>493</v>
      </c>
      <c r="O138" s="6" t="s">
        <v>493</v>
      </c>
      <c r="P138" s="6" t="s">
        <v>493</v>
      </c>
      <c r="Q138" s="6" t="s">
        <v>493</v>
      </c>
      <c r="R138" s="8">
        <v>4.0599999999999996</v>
      </c>
      <c r="S138" s="20">
        <v>45097</v>
      </c>
      <c r="T138" s="20">
        <v>45098</v>
      </c>
      <c r="U138" s="33">
        <v>1</v>
      </c>
      <c r="V138" s="8">
        <v>0.25700000000000001</v>
      </c>
      <c r="W138" s="8" t="s">
        <v>256</v>
      </c>
      <c r="X138" s="2" t="s">
        <v>33</v>
      </c>
      <c r="Y138" s="2">
        <v>2</v>
      </c>
      <c r="Z138" s="11" t="s">
        <v>101</v>
      </c>
      <c r="AA138" s="20">
        <v>45268</v>
      </c>
      <c r="AB138" s="8">
        <v>3.4664122067459635</v>
      </c>
      <c r="AC138" s="33">
        <v>2</v>
      </c>
      <c r="AD138" s="31" t="s">
        <v>159</v>
      </c>
      <c r="AE138" s="31" t="s">
        <v>188</v>
      </c>
      <c r="AF138" s="31" t="s">
        <v>181</v>
      </c>
      <c r="AG138" s="31" t="s">
        <v>229</v>
      </c>
      <c r="AH138" s="6">
        <v>245</v>
      </c>
      <c r="AI138" s="2" t="s">
        <v>1299</v>
      </c>
      <c r="AJ138" s="2" t="s">
        <v>1696</v>
      </c>
    </row>
    <row r="139" spans="1:36">
      <c r="A139" s="2" t="s">
        <v>1004</v>
      </c>
      <c r="B139" s="20">
        <v>45097</v>
      </c>
      <c r="C139" s="2" t="s">
        <v>487</v>
      </c>
      <c r="D139" s="6">
        <v>3</v>
      </c>
      <c r="E139" s="6">
        <v>88</v>
      </c>
      <c r="F139" s="6">
        <v>8</v>
      </c>
      <c r="G139" s="8" t="s">
        <v>256</v>
      </c>
      <c r="H139" s="8" t="s">
        <v>256</v>
      </c>
      <c r="I139" s="2" t="s">
        <v>6</v>
      </c>
      <c r="J139" s="2" t="s">
        <v>253</v>
      </c>
      <c r="K139" s="6">
        <v>300</v>
      </c>
      <c r="L139" s="6">
        <v>5</v>
      </c>
      <c r="M139" s="6">
        <v>16</v>
      </c>
      <c r="N139" s="6" t="s">
        <v>493</v>
      </c>
      <c r="O139" s="6" t="s">
        <v>493</v>
      </c>
      <c r="P139" s="6" t="s">
        <v>493</v>
      </c>
      <c r="Q139" s="6" t="s">
        <v>493</v>
      </c>
      <c r="R139" s="8">
        <v>4.34</v>
      </c>
      <c r="S139" s="20">
        <v>45097</v>
      </c>
      <c r="T139" s="20">
        <v>45098</v>
      </c>
      <c r="U139" s="33">
        <v>1</v>
      </c>
      <c r="V139" s="8">
        <v>0.28999999999999998</v>
      </c>
      <c r="W139" s="8" t="s">
        <v>256</v>
      </c>
      <c r="X139" s="2" t="s">
        <v>33</v>
      </c>
      <c r="Y139" s="2">
        <v>2</v>
      </c>
      <c r="Z139" s="11" t="s">
        <v>93</v>
      </c>
      <c r="AA139" s="20">
        <v>45268</v>
      </c>
      <c r="AB139" s="8">
        <v>4.2578281084858176</v>
      </c>
      <c r="AC139" s="33">
        <v>2</v>
      </c>
      <c r="AD139" s="31" t="s">
        <v>160</v>
      </c>
      <c r="AE139" s="31" t="s">
        <v>189</v>
      </c>
      <c r="AF139" s="31" t="s">
        <v>181</v>
      </c>
      <c r="AG139" s="31" t="s">
        <v>229</v>
      </c>
      <c r="AH139" s="6">
        <v>257</v>
      </c>
      <c r="AI139" s="2" t="s">
        <v>1300</v>
      </c>
      <c r="AJ139" s="2" t="s">
        <v>1696</v>
      </c>
    </row>
    <row r="140" spans="1:36">
      <c r="A140" s="2" t="s">
        <v>1005</v>
      </c>
      <c r="B140" s="20">
        <v>45097</v>
      </c>
      <c r="C140" s="2" t="s">
        <v>487</v>
      </c>
      <c r="D140" s="6">
        <v>3</v>
      </c>
      <c r="E140" s="6">
        <v>89</v>
      </c>
      <c r="F140" s="6">
        <v>8</v>
      </c>
      <c r="G140" s="8" t="s">
        <v>256</v>
      </c>
      <c r="H140" s="8" t="s">
        <v>256</v>
      </c>
      <c r="I140" s="2" t="s">
        <v>6</v>
      </c>
      <c r="J140" s="2" t="s">
        <v>255</v>
      </c>
      <c r="K140" s="6">
        <v>300</v>
      </c>
      <c r="L140" s="6">
        <v>5</v>
      </c>
      <c r="M140" s="6">
        <v>17</v>
      </c>
      <c r="N140" s="6" t="s">
        <v>493</v>
      </c>
      <c r="O140" s="6" t="s">
        <v>493</v>
      </c>
      <c r="P140" s="6" t="s">
        <v>493</v>
      </c>
      <c r="Q140" s="6" t="s">
        <v>493</v>
      </c>
      <c r="R140" s="8">
        <v>4.5</v>
      </c>
      <c r="S140" s="20">
        <v>45097</v>
      </c>
      <c r="T140" s="20">
        <v>45098</v>
      </c>
      <c r="U140" s="33">
        <v>1</v>
      </c>
      <c r="V140" s="8">
        <v>0.28999999999999998</v>
      </c>
      <c r="W140" s="8" t="s">
        <v>256</v>
      </c>
      <c r="X140" s="2" t="s">
        <v>33</v>
      </c>
      <c r="Y140" s="2">
        <v>2</v>
      </c>
      <c r="Z140" s="11" t="s">
        <v>104</v>
      </c>
      <c r="AA140" s="20">
        <v>45268</v>
      </c>
      <c r="AB140" s="8">
        <v>4.2353394394684312</v>
      </c>
      <c r="AC140" s="33">
        <v>2</v>
      </c>
      <c r="AD140" s="31" t="s">
        <v>42</v>
      </c>
      <c r="AE140" s="31" t="s">
        <v>190</v>
      </c>
      <c r="AF140" s="31" t="s">
        <v>181</v>
      </c>
      <c r="AG140" s="31" t="s">
        <v>229</v>
      </c>
      <c r="AH140" s="6">
        <v>269</v>
      </c>
      <c r="AI140" s="2" t="s">
        <v>1301</v>
      </c>
      <c r="AJ140" s="2" t="s">
        <v>1696</v>
      </c>
    </row>
    <row r="141" spans="1:36">
      <c r="A141" s="2" t="s">
        <v>1006</v>
      </c>
      <c r="B141" s="20">
        <v>45097</v>
      </c>
      <c r="C141" s="2" t="s">
        <v>487</v>
      </c>
      <c r="D141" s="6">
        <v>3</v>
      </c>
      <c r="E141" s="6">
        <v>91</v>
      </c>
      <c r="F141" s="6">
        <v>8</v>
      </c>
      <c r="G141" s="8" t="s">
        <v>256</v>
      </c>
      <c r="H141" s="8" t="s">
        <v>256</v>
      </c>
      <c r="I141" s="2" t="s">
        <v>6</v>
      </c>
      <c r="J141" s="2" t="s">
        <v>40</v>
      </c>
      <c r="K141" s="6">
        <v>300</v>
      </c>
      <c r="L141" s="6">
        <v>5</v>
      </c>
      <c r="M141" s="6">
        <v>19</v>
      </c>
      <c r="N141" s="6" t="s">
        <v>493</v>
      </c>
      <c r="O141" s="6" t="s">
        <v>493</v>
      </c>
      <c r="P141" s="6" t="s">
        <v>493</v>
      </c>
      <c r="Q141" s="6" t="s">
        <v>493</v>
      </c>
      <c r="R141" s="8">
        <v>3.93</v>
      </c>
      <c r="S141" s="20">
        <v>45097</v>
      </c>
      <c r="T141" s="20">
        <v>45098</v>
      </c>
      <c r="U141" s="33">
        <v>1</v>
      </c>
      <c r="V141" s="8">
        <v>0.3</v>
      </c>
      <c r="W141" s="8" t="s">
        <v>256</v>
      </c>
      <c r="X141" s="2" t="s">
        <v>33</v>
      </c>
      <c r="Y141" s="2">
        <v>3</v>
      </c>
      <c r="Z141" s="11" t="s">
        <v>129</v>
      </c>
      <c r="AA141" s="20">
        <v>45272</v>
      </c>
      <c r="AB141" s="8">
        <v>0.77</v>
      </c>
      <c r="AC141" s="33">
        <v>3</v>
      </c>
      <c r="AD141" s="31" t="s">
        <v>198</v>
      </c>
      <c r="AE141" s="31" t="s">
        <v>199</v>
      </c>
      <c r="AF141" s="31" t="s">
        <v>167</v>
      </c>
      <c r="AG141" s="31" t="s">
        <v>215</v>
      </c>
      <c r="AH141" s="6">
        <v>144</v>
      </c>
      <c r="AI141" s="2" t="s">
        <v>1302</v>
      </c>
      <c r="AJ141" s="2" t="s">
        <v>1696</v>
      </c>
    </row>
    <row r="142" spans="1:36">
      <c r="A142" s="2" t="s">
        <v>1007</v>
      </c>
      <c r="B142" s="20">
        <v>45097</v>
      </c>
      <c r="C142" s="2" t="s">
        <v>487</v>
      </c>
      <c r="D142" s="6">
        <v>3</v>
      </c>
      <c r="E142" s="6">
        <v>98</v>
      </c>
      <c r="F142" s="6">
        <v>9</v>
      </c>
      <c r="G142" s="8" t="s">
        <v>256</v>
      </c>
      <c r="H142" s="8" t="s">
        <v>256</v>
      </c>
      <c r="I142" s="2" t="s">
        <v>5</v>
      </c>
      <c r="J142" s="2" t="s">
        <v>253</v>
      </c>
      <c r="K142" s="6">
        <v>300</v>
      </c>
      <c r="L142" s="6">
        <v>4</v>
      </c>
      <c r="M142" s="6">
        <v>14</v>
      </c>
      <c r="N142" s="6" t="s">
        <v>493</v>
      </c>
      <c r="O142" s="6" t="s">
        <v>493</v>
      </c>
      <c r="P142" s="6" t="s">
        <v>493</v>
      </c>
      <c r="Q142" s="6" t="s">
        <v>493</v>
      </c>
      <c r="R142" s="8">
        <v>6.7</v>
      </c>
      <c r="S142" s="20">
        <v>45097</v>
      </c>
      <c r="T142" s="20">
        <v>45098</v>
      </c>
      <c r="U142" s="33">
        <v>1</v>
      </c>
      <c r="V142" s="8">
        <v>0.17399999999999999</v>
      </c>
      <c r="W142" s="8" t="s">
        <v>256</v>
      </c>
      <c r="X142" s="2" t="s">
        <v>33</v>
      </c>
      <c r="Y142" s="2">
        <v>2</v>
      </c>
      <c r="Z142" s="11" t="s">
        <v>95</v>
      </c>
      <c r="AA142" s="20">
        <v>45268</v>
      </c>
      <c r="AB142" s="8">
        <v>12.518748857141377</v>
      </c>
      <c r="AC142" s="33">
        <v>2</v>
      </c>
      <c r="AD142" s="31" t="s">
        <v>155</v>
      </c>
      <c r="AE142" s="31" t="s">
        <v>184</v>
      </c>
      <c r="AF142" s="31" t="s">
        <v>177</v>
      </c>
      <c r="AG142" s="31" t="s">
        <v>225</v>
      </c>
      <c r="AH142" s="6">
        <v>198</v>
      </c>
      <c r="AI142" s="2" t="s">
        <v>1303</v>
      </c>
      <c r="AJ142" s="2" t="s">
        <v>1696</v>
      </c>
    </row>
    <row r="143" spans="1:36">
      <c r="A143" s="2" t="s">
        <v>1008</v>
      </c>
      <c r="B143" s="20">
        <v>45097</v>
      </c>
      <c r="C143" s="2" t="s">
        <v>487</v>
      </c>
      <c r="D143" s="6">
        <v>3</v>
      </c>
      <c r="E143" s="6">
        <v>100</v>
      </c>
      <c r="F143" s="6">
        <v>9</v>
      </c>
      <c r="G143" s="8" t="s">
        <v>256</v>
      </c>
      <c r="H143" s="8" t="s">
        <v>256</v>
      </c>
      <c r="I143" s="2" t="s">
        <v>5</v>
      </c>
      <c r="J143" s="2" t="s">
        <v>40</v>
      </c>
      <c r="K143" s="6">
        <v>300</v>
      </c>
      <c r="L143" s="6">
        <v>4</v>
      </c>
      <c r="M143" s="6">
        <v>16</v>
      </c>
      <c r="N143" s="6" t="s">
        <v>493</v>
      </c>
      <c r="O143" s="6" t="s">
        <v>493</v>
      </c>
      <c r="P143" s="6" t="s">
        <v>493</v>
      </c>
      <c r="Q143" s="6" t="s">
        <v>493</v>
      </c>
      <c r="R143" s="8">
        <v>9.0399999999999991</v>
      </c>
      <c r="S143" s="20">
        <v>45097</v>
      </c>
      <c r="T143" s="20">
        <v>45098</v>
      </c>
      <c r="U143" s="33">
        <v>1</v>
      </c>
      <c r="V143" s="8">
        <v>0.316</v>
      </c>
      <c r="W143" s="8" t="s">
        <v>256</v>
      </c>
      <c r="X143" s="2" t="s">
        <v>33</v>
      </c>
      <c r="Y143" s="2">
        <v>2</v>
      </c>
      <c r="Z143" s="11" t="s">
        <v>106</v>
      </c>
      <c r="AA143" s="20">
        <v>45268</v>
      </c>
      <c r="AB143" s="8">
        <v>9.7417368582711887</v>
      </c>
      <c r="AC143" s="33">
        <v>2</v>
      </c>
      <c r="AD143" s="31" t="s">
        <v>156</v>
      </c>
      <c r="AE143" s="31" t="s">
        <v>185</v>
      </c>
      <c r="AF143" s="31" t="s">
        <v>177</v>
      </c>
      <c r="AG143" s="31" t="s">
        <v>225</v>
      </c>
      <c r="AH143" s="6">
        <v>210</v>
      </c>
      <c r="AI143" s="2" t="s">
        <v>1304</v>
      </c>
      <c r="AJ143" s="2" t="s">
        <v>1696</v>
      </c>
    </row>
    <row r="144" spans="1:36">
      <c r="A144" s="2" t="s">
        <v>1009</v>
      </c>
      <c r="B144" s="20">
        <v>45097</v>
      </c>
      <c r="C144" s="2" t="s">
        <v>487</v>
      </c>
      <c r="D144" s="6">
        <v>3</v>
      </c>
      <c r="E144" s="6">
        <v>104</v>
      </c>
      <c r="F144" s="6">
        <v>9</v>
      </c>
      <c r="G144" s="8" t="s">
        <v>256</v>
      </c>
      <c r="H144" s="8" t="s">
        <v>256</v>
      </c>
      <c r="I144" s="2" t="s">
        <v>5</v>
      </c>
      <c r="J144" s="2" t="s">
        <v>254</v>
      </c>
      <c r="K144" s="6">
        <v>300</v>
      </c>
      <c r="L144" s="6">
        <v>4</v>
      </c>
      <c r="M144" s="6">
        <v>20</v>
      </c>
      <c r="N144" s="6" t="s">
        <v>493</v>
      </c>
      <c r="O144" s="6" t="s">
        <v>493</v>
      </c>
      <c r="P144" s="6" t="s">
        <v>493</v>
      </c>
      <c r="Q144" s="6" t="s">
        <v>493</v>
      </c>
      <c r="R144" s="8">
        <v>5.81</v>
      </c>
      <c r="S144" s="20">
        <v>45097</v>
      </c>
      <c r="T144" s="20">
        <v>45098</v>
      </c>
      <c r="U144" s="33">
        <v>1</v>
      </c>
      <c r="V144" s="8">
        <v>0.443</v>
      </c>
      <c r="W144" s="8" t="s">
        <v>256</v>
      </c>
      <c r="X144" s="2" t="s">
        <v>33</v>
      </c>
      <c r="Y144" s="2">
        <v>2</v>
      </c>
      <c r="Z144" s="11" t="s">
        <v>107</v>
      </c>
      <c r="AA144" s="20">
        <v>45268</v>
      </c>
      <c r="AB144" s="8">
        <v>3.1879829635882753</v>
      </c>
      <c r="AC144" s="33">
        <v>2</v>
      </c>
      <c r="AD144" s="31" t="s">
        <v>157</v>
      </c>
      <c r="AE144" s="31" t="s">
        <v>186</v>
      </c>
      <c r="AF144" s="31" t="s">
        <v>177</v>
      </c>
      <c r="AG144" s="31" t="s">
        <v>225</v>
      </c>
      <c r="AH144" s="6">
        <v>222</v>
      </c>
      <c r="AI144" s="2" t="s">
        <v>1305</v>
      </c>
      <c r="AJ144" s="2" t="s">
        <v>1696</v>
      </c>
    </row>
    <row r="145" spans="1:36">
      <c r="A145" s="2" t="s">
        <v>1010</v>
      </c>
      <c r="B145" s="20">
        <v>45097</v>
      </c>
      <c r="C145" s="2" t="s">
        <v>487</v>
      </c>
      <c r="D145" s="6">
        <v>3</v>
      </c>
      <c r="E145" s="6">
        <v>107</v>
      </c>
      <c r="F145" s="6">
        <v>9</v>
      </c>
      <c r="G145" s="8" t="s">
        <v>256</v>
      </c>
      <c r="H145" s="8" t="s">
        <v>256</v>
      </c>
      <c r="I145" s="2" t="s">
        <v>5</v>
      </c>
      <c r="J145" s="2" t="s">
        <v>255</v>
      </c>
      <c r="K145" s="6">
        <v>300</v>
      </c>
      <c r="L145" s="6">
        <v>4</v>
      </c>
      <c r="M145" s="6">
        <v>23</v>
      </c>
      <c r="N145" s="6" t="s">
        <v>493</v>
      </c>
      <c r="O145" s="6" t="s">
        <v>493</v>
      </c>
      <c r="P145" s="6" t="s">
        <v>493</v>
      </c>
      <c r="Q145" s="6" t="s">
        <v>493</v>
      </c>
      <c r="R145" s="8">
        <v>6.07</v>
      </c>
      <c r="S145" s="20">
        <v>45097</v>
      </c>
      <c r="T145" s="20">
        <v>45098</v>
      </c>
      <c r="U145" s="33">
        <v>1</v>
      </c>
      <c r="V145" s="8">
        <v>0.50800000000000001</v>
      </c>
      <c r="W145" s="8" t="s">
        <v>256</v>
      </c>
      <c r="X145" s="2" t="s">
        <v>33</v>
      </c>
      <c r="Y145" s="2">
        <v>2</v>
      </c>
      <c r="Z145" s="11" t="s">
        <v>97</v>
      </c>
      <c r="AA145" s="20">
        <v>45268</v>
      </c>
      <c r="AB145" s="8">
        <v>7.5161255110744243</v>
      </c>
      <c r="AC145" s="33">
        <v>2</v>
      </c>
      <c r="AD145" s="31" t="s">
        <v>158</v>
      </c>
      <c r="AE145" s="31" t="s">
        <v>187</v>
      </c>
      <c r="AF145" s="31" t="s">
        <v>177</v>
      </c>
      <c r="AG145" s="31" t="s">
        <v>225</v>
      </c>
      <c r="AH145" s="6">
        <v>234</v>
      </c>
      <c r="AI145" s="2" t="s">
        <v>1306</v>
      </c>
      <c r="AJ145" s="2" t="s">
        <v>1696</v>
      </c>
    </row>
    <row r="146" spans="1:36">
      <c r="A146" s="2" t="s">
        <v>1011</v>
      </c>
      <c r="B146" s="20">
        <v>45104</v>
      </c>
      <c r="C146" s="2" t="s">
        <v>487</v>
      </c>
      <c r="D146" s="6">
        <v>1</v>
      </c>
      <c r="E146" s="6">
        <v>3</v>
      </c>
      <c r="F146" s="6">
        <v>1</v>
      </c>
      <c r="G146" s="8" t="s">
        <v>256</v>
      </c>
      <c r="H146" s="8" t="s">
        <v>256</v>
      </c>
      <c r="I146" s="2" t="s">
        <v>5</v>
      </c>
      <c r="J146" s="2" t="s">
        <v>40</v>
      </c>
      <c r="K146" s="6">
        <v>300</v>
      </c>
      <c r="L146" s="6">
        <v>6</v>
      </c>
      <c r="M146" s="6">
        <v>3</v>
      </c>
      <c r="N146" s="6" t="s">
        <v>493</v>
      </c>
      <c r="O146" s="6" t="s">
        <v>493</v>
      </c>
      <c r="P146" s="6" t="s">
        <v>493</v>
      </c>
      <c r="Q146" s="6" t="s">
        <v>493</v>
      </c>
      <c r="R146" s="8">
        <v>1.06</v>
      </c>
      <c r="S146" s="20">
        <v>45104</v>
      </c>
      <c r="T146" s="20">
        <v>45137</v>
      </c>
      <c r="U146" s="33">
        <v>33</v>
      </c>
      <c r="V146" s="8">
        <v>2.613</v>
      </c>
      <c r="W146" s="8" t="s">
        <v>256</v>
      </c>
      <c r="X146" s="2" t="s">
        <v>33</v>
      </c>
      <c r="Y146" s="2">
        <v>2</v>
      </c>
      <c r="Z146" s="11" t="s">
        <v>98</v>
      </c>
      <c r="AA146" s="20">
        <v>45268</v>
      </c>
      <c r="AB146" s="8">
        <v>24.156854183788798</v>
      </c>
      <c r="AC146" s="33">
        <v>2</v>
      </c>
      <c r="AD146" s="31" t="s">
        <v>159</v>
      </c>
      <c r="AE146" s="31" t="s">
        <v>188</v>
      </c>
      <c r="AF146" s="31" t="s">
        <v>177</v>
      </c>
      <c r="AG146" s="31" t="s">
        <v>225</v>
      </c>
      <c r="AH146" s="6">
        <v>246</v>
      </c>
      <c r="AI146" s="2" t="s">
        <v>1307</v>
      </c>
      <c r="AJ146" s="2" t="s">
        <v>1696</v>
      </c>
    </row>
    <row r="147" spans="1:36">
      <c r="A147" s="2" t="s">
        <v>1012</v>
      </c>
      <c r="B147" s="20">
        <v>45104</v>
      </c>
      <c r="C147" s="2" t="s">
        <v>487</v>
      </c>
      <c r="D147" s="6">
        <v>1</v>
      </c>
      <c r="E147" s="6">
        <v>5</v>
      </c>
      <c r="F147" s="6">
        <v>1</v>
      </c>
      <c r="G147" s="8" t="s">
        <v>256</v>
      </c>
      <c r="H147" s="8" t="s">
        <v>256</v>
      </c>
      <c r="I147" s="2" t="s">
        <v>5</v>
      </c>
      <c r="J147" s="2" t="s">
        <v>255</v>
      </c>
      <c r="K147" s="6">
        <v>300</v>
      </c>
      <c r="L147" s="6">
        <v>6</v>
      </c>
      <c r="M147" s="6">
        <v>5</v>
      </c>
      <c r="N147" s="6" t="s">
        <v>493</v>
      </c>
      <c r="O147" s="6" t="s">
        <v>493</v>
      </c>
      <c r="P147" s="6" t="s">
        <v>493</v>
      </c>
      <c r="Q147" s="6" t="s">
        <v>493</v>
      </c>
      <c r="R147" s="8">
        <v>5.05</v>
      </c>
      <c r="S147" s="20">
        <v>45104</v>
      </c>
      <c r="T147" s="20">
        <v>45137</v>
      </c>
      <c r="U147" s="33">
        <v>33</v>
      </c>
      <c r="V147" s="8">
        <v>0.89</v>
      </c>
      <c r="W147" s="8" t="s">
        <v>256</v>
      </c>
      <c r="X147" s="2" t="s">
        <v>33</v>
      </c>
      <c r="Y147" s="2">
        <v>2</v>
      </c>
      <c r="Z147" s="11" t="s">
        <v>109</v>
      </c>
      <c r="AA147" s="20">
        <v>45268</v>
      </c>
      <c r="AB147" s="8">
        <v>5.8477909513882222</v>
      </c>
      <c r="AC147" s="33">
        <v>2</v>
      </c>
      <c r="AD147" s="31" t="s">
        <v>160</v>
      </c>
      <c r="AE147" s="31" t="s">
        <v>189</v>
      </c>
      <c r="AF147" s="31" t="s">
        <v>177</v>
      </c>
      <c r="AG147" s="31" t="s">
        <v>225</v>
      </c>
      <c r="AH147" s="6">
        <v>258</v>
      </c>
      <c r="AI147" s="2" t="s">
        <v>1308</v>
      </c>
      <c r="AJ147" s="2" t="s">
        <v>1696</v>
      </c>
    </row>
    <row r="148" spans="1:36">
      <c r="A148" s="2" t="s">
        <v>1013</v>
      </c>
      <c r="B148" s="20">
        <v>45104</v>
      </c>
      <c r="C148" s="2" t="s">
        <v>487</v>
      </c>
      <c r="D148" s="6">
        <v>1</v>
      </c>
      <c r="E148" s="6">
        <v>9</v>
      </c>
      <c r="F148" s="6">
        <v>1</v>
      </c>
      <c r="G148" s="8" t="s">
        <v>256</v>
      </c>
      <c r="H148" s="8" t="s">
        <v>256</v>
      </c>
      <c r="I148" s="2" t="s">
        <v>5</v>
      </c>
      <c r="J148" s="2" t="s">
        <v>254</v>
      </c>
      <c r="K148" s="6">
        <v>300</v>
      </c>
      <c r="L148" s="6">
        <v>6</v>
      </c>
      <c r="M148" s="6">
        <v>9</v>
      </c>
      <c r="N148" s="6" t="s">
        <v>493</v>
      </c>
      <c r="O148" s="6" t="s">
        <v>493</v>
      </c>
      <c r="P148" s="6" t="s">
        <v>493</v>
      </c>
      <c r="Q148" s="6" t="s">
        <v>493</v>
      </c>
      <c r="R148" s="8">
        <v>4.92</v>
      </c>
      <c r="S148" s="20">
        <v>45104</v>
      </c>
      <c r="T148" s="20">
        <v>45137</v>
      </c>
      <c r="U148" s="33">
        <v>33</v>
      </c>
      <c r="V148" s="8">
        <v>2.1960000000000002</v>
      </c>
      <c r="W148" s="8" t="s">
        <v>256</v>
      </c>
      <c r="X148" s="2" t="s">
        <v>33</v>
      </c>
      <c r="Y148" s="2">
        <v>2</v>
      </c>
      <c r="Z148" s="11" t="s">
        <v>110</v>
      </c>
      <c r="AA148" s="20">
        <v>45268</v>
      </c>
      <c r="AB148" s="8">
        <v>10.671182194870193</v>
      </c>
      <c r="AC148" s="33">
        <v>2</v>
      </c>
      <c r="AD148" s="31" t="s">
        <v>45</v>
      </c>
      <c r="AE148" s="31" t="s">
        <v>190</v>
      </c>
      <c r="AF148" s="31" t="s">
        <v>177</v>
      </c>
      <c r="AG148" s="31" t="s">
        <v>225</v>
      </c>
      <c r="AH148" s="6">
        <v>270</v>
      </c>
      <c r="AI148" s="2" t="s">
        <v>1309</v>
      </c>
      <c r="AJ148" s="2" t="s">
        <v>1696</v>
      </c>
    </row>
    <row r="149" spans="1:36">
      <c r="A149" s="2" t="s">
        <v>1014</v>
      </c>
      <c r="B149" s="20">
        <v>45104</v>
      </c>
      <c r="C149" s="2" t="s">
        <v>487</v>
      </c>
      <c r="D149" s="6">
        <v>1</v>
      </c>
      <c r="E149" s="6">
        <v>10</v>
      </c>
      <c r="F149" s="6">
        <v>1</v>
      </c>
      <c r="G149" s="8" t="s">
        <v>256</v>
      </c>
      <c r="H149" s="8" t="s">
        <v>256</v>
      </c>
      <c r="I149" s="2" t="s">
        <v>5</v>
      </c>
      <c r="J149" s="2" t="s">
        <v>253</v>
      </c>
      <c r="K149" s="6">
        <v>300</v>
      </c>
      <c r="L149" s="6">
        <v>6</v>
      </c>
      <c r="M149" s="6">
        <v>10</v>
      </c>
      <c r="N149" s="6" t="s">
        <v>493</v>
      </c>
      <c r="O149" s="6" t="s">
        <v>493</v>
      </c>
      <c r="P149" s="6" t="s">
        <v>493</v>
      </c>
      <c r="Q149" s="6" t="s">
        <v>493</v>
      </c>
      <c r="R149" s="8">
        <v>5.63</v>
      </c>
      <c r="S149" s="20">
        <v>45104</v>
      </c>
      <c r="T149" s="20">
        <v>45137</v>
      </c>
      <c r="U149" s="33">
        <v>33</v>
      </c>
      <c r="V149" s="8">
        <v>1.679</v>
      </c>
      <c r="W149" s="8" t="s">
        <v>256</v>
      </c>
      <c r="X149" s="2" t="s">
        <v>33</v>
      </c>
      <c r="Y149" s="2">
        <v>2</v>
      </c>
      <c r="Z149" s="11" t="s">
        <v>150</v>
      </c>
      <c r="AA149" s="20">
        <v>45268</v>
      </c>
      <c r="AB149" s="8">
        <v>9.4332696054782321</v>
      </c>
      <c r="AC149" s="33">
        <v>2</v>
      </c>
      <c r="AD149" s="31" t="s">
        <v>162</v>
      </c>
      <c r="AE149" s="31" t="s">
        <v>192</v>
      </c>
      <c r="AF149" s="31" t="s">
        <v>177</v>
      </c>
      <c r="AG149" s="31" t="s">
        <v>225</v>
      </c>
      <c r="AH149" s="6">
        <v>282</v>
      </c>
      <c r="AI149" s="2" t="s">
        <v>1310</v>
      </c>
      <c r="AJ149" s="2" t="s">
        <v>1696</v>
      </c>
    </row>
    <row r="150" spans="1:36">
      <c r="A150" s="2" t="s">
        <v>1015</v>
      </c>
      <c r="B150" s="20">
        <v>45104</v>
      </c>
      <c r="C150" s="2" t="s">
        <v>487</v>
      </c>
      <c r="D150" s="6">
        <v>1</v>
      </c>
      <c r="E150" s="6">
        <v>17</v>
      </c>
      <c r="F150" s="6">
        <v>2</v>
      </c>
      <c r="G150" s="8" t="s">
        <v>256</v>
      </c>
      <c r="H150" s="8" t="s">
        <v>256</v>
      </c>
      <c r="I150" s="2" t="s">
        <v>4</v>
      </c>
      <c r="J150" s="2" t="s">
        <v>253</v>
      </c>
      <c r="K150" s="6">
        <v>300</v>
      </c>
      <c r="L150" s="6">
        <v>5</v>
      </c>
      <c r="M150" s="6">
        <v>5</v>
      </c>
      <c r="N150" s="6" t="s">
        <v>493</v>
      </c>
      <c r="O150" s="6" t="s">
        <v>493</v>
      </c>
      <c r="P150" s="6" t="s">
        <v>493</v>
      </c>
      <c r="Q150" s="6" t="s">
        <v>493</v>
      </c>
      <c r="R150" s="8">
        <v>4.8899999999999997</v>
      </c>
      <c r="S150" s="20">
        <v>45104</v>
      </c>
      <c r="T150" s="20">
        <v>45137</v>
      </c>
      <c r="U150" s="33">
        <v>33</v>
      </c>
      <c r="V150" s="8">
        <v>0.55000000000000004</v>
      </c>
      <c r="W150" s="8" t="s">
        <v>256</v>
      </c>
      <c r="X150" s="2" t="s">
        <v>33</v>
      </c>
      <c r="Y150" s="2">
        <v>2</v>
      </c>
      <c r="Z150" s="11" t="s">
        <v>103</v>
      </c>
      <c r="AA150" s="20">
        <v>45268</v>
      </c>
      <c r="AB150" s="8">
        <v>19.340036244802608</v>
      </c>
      <c r="AC150" s="33">
        <v>2</v>
      </c>
      <c r="AD150" s="31" t="s">
        <v>155</v>
      </c>
      <c r="AE150" s="31" t="s">
        <v>184</v>
      </c>
      <c r="AF150" s="31" t="s">
        <v>178</v>
      </c>
      <c r="AG150" s="31" t="s">
        <v>226</v>
      </c>
      <c r="AH150" s="6">
        <v>199</v>
      </c>
      <c r="AI150" s="2" t="s">
        <v>1311</v>
      </c>
      <c r="AJ150" s="2" t="s">
        <v>1696</v>
      </c>
    </row>
    <row r="151" spans="1:36">
      <c r="A151" s="2" t="s">
        <v>1016</v>
      </c>
      <c r="B151" s="20">
        <v>45104</v>
      </c>
      <c r="C151" s="2" t="s">
        <v>487</v>
      </c>
      <c r="D151" s="6">
        <v>1</v>
      </c>
      <c r="E151" s="6">
        <v>18</v>
      </c>
      <c r="F151" s="6">
        <v>2</v>
      </c>
      <c r="G151" s="8" t="s">
        <v>256</v>
      </c>
      <c r="H151" s="8" t="s">
        <v>256</v>
      </c>
      <c r="I151" s="2" t="s">
        <v>4</v>
      </c>
      <c r="J151" s="2" t="s">
        <v>40</v>
      </c>
      <c r="K151" s="6">
        <v>300</v>
      </c>
      <c r="L151" s="6">
        <v>5</v>
      </c>
      <c r="M151" s="6">
        <v>6</v>
      </c>
      <c r="N151" s="6" t="s">
        <v>493</v>
      </c>
      <c r="O151" s="6" t="s">
        <v>493</v>
      </c>
      <c r="P151" s="6" t="s">
        <v>493</v>
      </c>
      <c r="Q151" s="6" t="s">
        <v>493</v>
      </c>
      <c r="R151" s="8">
        <v>4.67</v>
      </c>
      <c r="S151" s="20">
        <v>45104</v>
      </c>
      <c r="T151" s="20">
        <v>45137</v>
      </c>
      <c r="U151" s="33">
        <v>33</v>
      </c>
      <c r="V151" s="8">
        <v>0.36199999999999999</v>
      </c>
      <c r="W151" s="8" t="s">
        <v>256</v>
      </c>
      <c r="X151" s="2" t="s">
        <v>33</v>
      </c>
      <c r="Y151" s="2">
        <v>2</v>
      </c>
      <c r="Z151" s="11" t="s">
        <v>112</v>
      </c>
      <c r="AA151" s="20">
        <v>45268</v>
      </c>
      <c r="AB151" s="8">
        <v>30.014883554906813</v>
      </c>
      <c r="AC151" s="33">
        <v>2</v>
      </c>
      <c r="AD151" s="31" t="s">
        <v>156</v>
      </c>
      <c r="AE151" s="31" t="s">
        <v>185</v>
      </c>
      <c r="AF151" s="31" t="s">
        <v>178</v>
      </c>
      <c r="AG151" s="31" t="s">
        <v>226</v>
      </c>
      <c r="AH151" s="6">
        <v>211</v>
      </c>
      <c r="AI151" s="2" t="s">
        <v>1312</v>
      </c>
      <c r="AJ151" s="2" t="s">
        <v>1696</v>
      </c>
    </row>
    <row r="152" spans="1:36">
      <c r="A152" s="2" t="s">
        <v>1017</v>
      </c>
      <c r="B152" s="20">
        <v>45104</v>
      </c>
      <c r="C152" s="2" t="s">
        <v>487</v>
      </c>
      <c r="D152" s="6">
        <v>1</v>
      </c>
      <c r="E152" s="6">
        <v>22</v>
      </c>
      <c r="F152" s="6">
        <v>2</v>
      </c>
      <c r="G152" s="8" t="s">
        <v>256</v>
      </c>
      <c r="H152" s="8" t="s">
        <v>256</v>
      </c>
      <c r="I152" s="2" t="s">
        <v>4</v>
      </c>
      <c r="J152" s="2" t="s">
        <v>254</v>
      </c>
      <c r="K152" s="6">
        <v>300</v>
      </c>
      <c r="L152" s="6">
        <v>5</v>
      </c>
      <c r="M152" s="6">
        <v>10</v>
      </c>
      <c r="N152" s="6" t="s">
        <v>493</v>
      </c>
      <c r="O152" s="6" t="s">
        <v>493</v>
      </c>
      <c r="P152" s="6" t="s">
        <v>493</v>
      </c>
      <c r="Q152" s="6" t="s">
        <v>493</v>
      </c>
      <c r="R152" s="8">
        <v>4.26</v>
      </c>
      <c r="S152" s="20">
        <v>45104</v>
      </c>
      <c r="T152" s="20">
        <v>45137</v>
      </c>
      <c r="U152" s="33">
        <v>33</v>
      </c>
      <c r="V152" s="8">
        <v>0.54200000000000004</v>
      </c>
      <c r="W152" s="8" t="s">
        <v>256</v>
      </c>
      <c r="X152" s="2" t="s">
        <v>33</v>
      </c>
      <c r="Y152" s="2">
        <v>2</v>
      </c>
      <c r="Z152" s="11" t="s">
        <v>151</v>
      </c>
      <c r="AA152" s="20">
        <v>45268</v>
      </c>
      <c r="AB152" s="8">
        <v>25.469363819655616</v>
      </c>
      <c r="AC152" s="33">
        <v>2</v>
      </c>
      <c r="AD152" s="31" t="s">
        <v>157</v>
      </c>
      <c r="AE152" s="31" t="s">
        <v>186</v>
      </c>
      <c r="AF152" s="31" t="s">
        <v>178</v>
      </c>
      <c r="AG152" s="31" t="s">
        <v>226</v>
      </c>
      <c r="AH152" s="6">
        <v>223</v>
      </c>
      <c r="AI152" s="2" t="s">
        <v>1313</v>
      </c>
      <c r="AJ152" s="2" t="s">
        <v>1696</v>
      </c>
    </row>
    <row r="153" spans="1:36">
      <c r="A153" s="2" t="s">
        <v>1018</v>
      </c>
      <c r="B153" s="20">
        <v>45104</v>
      </c>
      <c r="C153" s="2" t="s">
        <v>487</v>
      </c>
      <c r="D153" s="6">
        <v>1</v>
      </c>
      <c r="E153" s="6">
        <v>24</v>
      </c>
      <c r="F153" s="6">
        <v>2</v>
      </c>
      <c r="G153" s="8" t="s">
        <v>256</v>
      </c>
      <c r="H153" s="8" t="s">
        <v>256</v>
      </c>
      <c r="I153" s="2" t="s">
        <v>4</v>
      </c>
      <c r="J153" s="2" t="s">
        <v>255</v>
      </c>
      <c r="K153" s="6">
        <v>300</v>
      </c>
      <c r="L153" s="6">
        <v>5</v>
      </c>
      <c r="M153" s="6">
        <v>12</v>
      </c>
      <c r="N153" s="6" t="s">
        <v>493</v>
      </c>
      <c r="O153" s="6" t="s">
        <v>493</v>
      </c>
      <c r="P153" s="6" t="s">
        <v>493</v>
      </c>
      <c r="Q153" s="6" t="s">
        <v>493</v>
      </c>
      <c r="R153" s="8">
        <v>5.91</v>
      </c>
      <c r="S153" s="20">
        <v>45104</v>
      </c>
      <c r="T153" s="20">
        <v>45137</v>
      </c>
      <c r="U153" s="33">
        <v>33</v>
      </c>
      <c r="V153" s="8">
        <v>2.323</v>
      </c>
      <c r="W153" s="8" t="s">
        <v>256</v>
      </c>
      <c r="X153" s="2" t="s">
        <v>33</v>
      </c>
      <c r="Y153" s="2">
        <v>2</v>
      </c>
      <c r="Z153" s="11" t="s">
        <v>152</v>
      </c>
      <c r="AA153" s="20">
        <v>45268</v>
      </c>
      <c r="AB153" s="8">
        <v>19.429024844302319</v>
      </c>
      <c r="AC153" s="33">
        <v>2</v>
      </c>
      <c r="AD153" s="31" t="s">
        <v>158</v>
      </c>
      <c r="AE153" s="31" t="s">
        <v>187</v>
      </c>
      <c r="AF153" s="31" t="s">
        <v>178</v>
      </c>
      <c r="AG153" s="31" t="s">
        <v>226</v>
      </c>
      <c r="AH153" s="6">
        <v>235</v>
      </c>
      <c r="AI153" s="2" t="s">
        <v>1314</v>
      </c>
      <c r="AJ153" s="2" t="s">
        <v>1696</v>
      </c>
    </row>
    <row r="154" spans="1:36">
      <c r="A154" s="2" t="s">
        <v>1019</v>
      </c>
      <c r="B154" s="20">
        <v>45104</v>
      </c>
      <c r="C154" s="2" t="s">
        <v>487</v>
      </c>
      <c r="D154" s="6">
        <v>1</v>
      </c>
      <c r="E154" s="6">
        <v>25</v>
      </c>
      <c r="F154" s="6">
        <v>3</v>
      </c>
      <c r="G154" s="8" t="s">
        <v>256</v>
      </c>
      <c r="H154" s="8" t="s">
        <v>256</v>
      </c>
      <c r="I154" s="2" t="s">
        <v>6</v>
      </c>
      <c r="J154" s="2" t="s">
        <v>253</v>
      </c>
      <c r="K154" s="6">
        <v>300</v>
      </c>
      <c r="L154" s="6">
        <v>4</v>
      </c>
      <c r="M154" s="6">
        <v>1</v>
      </c>
      <c r="N154" s="6" t="s">
        <v>493</v>
      </c>
      <c r="O154" s="6" t="s">
        <v>493</v>
      </c>
      <c r="P154" s="6" t="s">
        <v>493</v>
      </c>
      <c r="Q154" s="6" t="s">
        <v>493</v>
      </c>
      <c r="R154" s="8">
        <v>2.92</v>
      </c>
      <c r="S154" s="20">
        <v>45104</v>
      </c>
      <c r="T154" s="20">
        <v>45137</v>
      </c>
      <c r="U154" s="33">
        <v>33</v>
      </c>
      <c r="V154" s="8">
        <v>1.4</v>
      </c>
      <c r="W154" s="8" t="s">
        <v>256</v>
      </c>
      <c r="X154" s="2" t="s">
        <v>33</v>
      </c>
      <c r="Y154" s="2">
        <v>2</v>
      </c>
      <c r="Z154" s="11" t="s">
        <v>105</v>
      </c>
      <c r="AA154" s="20">
        <v>45268</v>
      </c>
      <c r="AB154" s="8">
        <v>28.944898976277543</v>
      </c>
      <c r="AC154" s="33">
        <v>2</v>
      </c>
      <c r="AD154" s="31" t="s">
        <v>159</v>
      </c>
      <c r="AE154" s="31" t="s">
        <v>188</v>
      </c>
      <c r="AF154" s="31" t="s">
        <v>178</v>
      </c>
      <c r="AG154" s="31" t="s">
        <v>226</v>
      </c>
      <c r="AH154" s="6">
        <v>247</v>
      </c>
      <c r="AI154" s="2" t="s">
        <v>1315</v>
      </c>
      <c r="AJ154" s="2" t="s">
        <v>1696</v>
      </c>
    </row>
    <row r="155" spans="1:36">
      <c r="A155" s="2" t="s">
        <v>1020</v>
      </c>
      <c r="B155" s="20">
        <v>45104</v>
      </c>
      <c r="C155" s="2" t="s">
        <v>487</v>
      </c>
      <c r="D155" s="6">
        <v>1</v>
      </c>
      <c r="E155" s="6">
        <v>26</v>
      </c>
      <c r="F155" s="6">
        <v>3</v>
      </c>
      <c r="G155" s="8" t="s">
        <v>256</v>
      </c>
      <c r="H155" s="8" t="s">
        <v>256</v>
      </c>
      <c r="I155" s="2" t="s">
        <v>6</v>
      </c>
      <c r="J155" s="2" t="s">
        <v>255</v>
      </c>
      <c r="K155" s="6">
        <v>300</v>
      </c>
      <c r="L155" s="6">
        <v>4</v>
      </c>
      <c r="M155" s="6">
        <v>2</v>
      </c>
      <c r="N155" s="6" t="s">
        <v>493</v>
      </c>
      <c r="O155" s="6" t="s">
        <v>493</v>
      </c>
      <c r="P155" s="6" t="s">
        <v>493</v>
      </c>
      <c r="Q155" s="6" t="s">
        <v>493</v>
      </c>
      <c r="R155" s="8">
        <v>3.58</v>
      </c>
      <c r="S155" s="20">
        <v>45104</v>
      </c>
      <c r="T155" s="20">
        <v>45137</v>
      </c>
      <c r="U155" s="33">
        <v>33</v>
      </c>
      <c r="V155" s="8">
        <v>0.31</v>
      </c>
      <c r="W155" s="8" t="s">
        <v>256</v>
      </c>
      <c r="X155" s="2" t="s">
        <v>33</v>
      </c>
      <c r="Y155" s="2">
        <v>2</v>
      </c>
      <c r="Z155" s="11" t="s">
        <v>116</v>
      </c>
      <c r="AA155" s="20">
        <v>45268</v>
      </c>
      <c r="AB155" s="8">
        <v>7.3736242372476895</v>
      </c>
      <c r="AC155" s="33">
        <v>2</v>
      </c>
      <c r="AD155" s="31" t="s">
        <v>160</v>
      </c>
      <c r="AE155" s="31" t="s">
        <v>189</v>
      </c>
      <c r="AF155" s="31" t="s">
        <v>178</v>
      </c>
      <c r="AG155" s="31" t="s">
        <v>226</v>
      </c>
      <c r="AH155" s="6">
        <v>259</v>
      </c>
      <c r="AI155" s="2" t="s">
        <v>1316</v>
      </c>
      <c r="AJ155" s="2" t="s">
        <v>1696</v>
      </c>
    </row>
    <row r="156" spans="1:36">
      <c r="A156" s="2" t="s">
        <v>1021</v>
      </c>
      <c r="B156" s="20">
        <v>45104</v>
      </c>
      <c r="C156" s="2" t="s">
        <v>487</v>
      </c>
      <c r="D156" s="6">
        <v>1</v>
      </c>
      <c r="E156" s="6">
        <v>28</v>
      </c>
      <c r="F156" s="6">
        <v>3</v>
      </c>
      <c r="G156" s="8" t="s">
        <v>256</v>
      </c>
      <c r="H156" s="8" t="s">
        <v>256</v>
      </c>
      <c r="I156" s="2" t="s">
        <v>6</v>
      </c>
      <c r="J156" s="2" t="s">
        <v>254</v>
      </c>
      <c r="K156" s="6">
        <v>300</v>
      </c>
      <c r="L156" s="6">
        <v>4</v>
      </c>
      <c r="M156" s="6">
        <v>4</v>
      </c>
      <c r="N156" s="6" t="s">
        <v>493</v>
      </c>
      <c r="O156" s="6" t="s">
        <v>493</v>
      </c>
      <c r="P156" s="6" t="s">
        <v>493</v>
      </c>
      <c r="Q156" s="6" t="s">
        <v>493</v>
      </c>
      <c r="R156" s="8">
        <v>2.91</v>
      </c>
      <c r="S156" s="20">
        <v>45104</v>
      </c>
      <c r="T156" s="20">
        <v>45137</v>
      </c>
      <c r="U156" s="33">
        <v>33</v>
      </c>
      <c r="V156" s="8">
        <v>0.81699999999999995</v>
      </c>
      <c r="W156" s="8" t="s">
        <v>256</v>
      </c>
      <c r="X156" s="2" t="s">
        <v>33</v>
      </c>
      <c r="Y156" s="2">
        <v>2</v>
      </c>
      <c r="Z156" s="11" t="s">
        <v>117</v>
      </c>
      <c r="AA156" s="20">
        <v>45268</v>
      </c>
      <c r="AB156" s="8">
        <v>23.646935067304661</v>
      </c>
      <c r="AC156" s="33">
        <v>2</v>
      </c>
      <c r="AD156" s="31" t="s">
        <v>240</v>
      </c>
      <c r="AE156" s="31" t="s">
        <v>190</v>
      </c>
      <c r="AF156" s="31" t="s">
        <v>178</v>
      </c>
      <c r="AG156" s="31" t="s">
        <v>226</v>
      </c>
      <c r="AH156" s="6">
        <v>271</v>
      </c>
      <c r="AI156" s="2" t="s">
        <v>1317</v>
      </c>
      <c r="AJ156" s="2" t="s">
        <v>1696</v>
      </c>
    </row>
    <row r="157" spans="1:36">
      <c r="A157" s="2" t="s">
        <v>1022</v>
      </c>
      <c r="B157" s="20">
        <v>45104</v>
      </c>
      <c r="C157" s="2" t="s">
        <v>487</v>
      </c>
      <c r="D157" s="6">
        <v>1</v>
      </c>
      <c r="E157" s="6">
        <v>35</v>
      </c>
      <c r="F157" s="6">
        <v>3</v>
      </c>
      <c r="G157" s="8" t="s">
        <v>256</v>
      </c>
      <c r="H157" s="8" t="s">
        <v>256</v>
      </c>
      <c r="I157" s="2" t="s">
        <v>6</v>
      </c>
      <c r="J157" s="2" t="s">
        <v>40</v>
      </c>
      <c r="K157" s="6">
        <v>300</v>
      </c>
      <c r="L157" s="6">
        <v>4</v>
      </c>
      <c r="M157" s="6">
        <v>11</v>
      </c>
      <c r="N157" s="6" t="s">
        <v>493</v>
      </c>
      <c r="O157" s="6" t="s">
        <v>493</v>
      </c>
      <c r="P157" s="6" t="s">
        <v>493</v>
      </c>
      <c r="Q157" s="6" t="s">
        <v>493</v>
      </c>
      <c r="R157" s="8">
        <v>2.64</v>
      </c>
      <c r="S157" s="20">
        <v>45104</v>
      </c>
      <c r="T157" s="20">
        <v>45137</v>
      </c>
      <c r="U157" s="33">
        <v>33</v>
      </c>
      <c r="V157" s="8">
        <v>0.33900000000000002</v>
      </c>
      <c r="W157" s="8" t="s">
        <v>256</v>
      </c>
      <c r="X157" s="2" t="s">
        <v>33</v>
      </c>
      <c r="Y157" s="2">
        <v>2</v>
      </c>
      <c r="Z157" s="11" t="s">
        <v>142</v>
      </c>
      <c r="AA157" s="20">
        <v>45268</v>
      </c>
      <c r="AB157" s="8">
        <v>10.925021303482298</v>
      </c>
      <c r="AC157" s="33">
        <v>2</v>
      </c>
      <c r="AD157" s="31" t="s">
        <v>162</v>
      </c>
      <c r="AE157" s="31" t="s">
        <v>192</v>
      </c>
      <c r="AF157" s="31" t="s">
        <v>178</v>
      </c>
      <c r="AG157" s="31" t="s">
        <v>226</v>
      </c>
      <c r="AH157" s="6">
        <v>283</v>
      </c>
      <c r="AI157" s="2" t="s">
        <v>1318</v>
      </c>
      <c r="AJ157" s="2" t="s">
        <v>1696</v>
      </c>
    </row>
    <row r="158" spans="1:36">
      <c r="A158" s="2" t="s">
        <v>1023</v>
      </c>
      <c r="B158" s="20">
        <v>45104</v>
      </c>
      <c r="C158" s="2" t="s">
        <v>487</v>
      </c>
      <c r="D158" s="6">
        <v>2</v>
      </c>
      <c r="E158" s="6">
        <v>37</v>
      </c>
      <c r="F158" s="6">
        <v>4</v>
      </c>
      <c r="G158" s="8" t="s">
        <v>256</v>
      </c>
      <c r="H158" s="8" t="s">
        <v>256</v>
      </c>
      <c r="I158" s="2" t="s">
        <v>4</v>
      </c>
      <c r="J158" s="2" t="s">
        <v>40</v>
      </c>
      <c r="K158" s="6">
        <v>300</v>
      </c>
      <c r="L158" s="6">
        <v>3</v>
      </c>
      <c r="M158" s="6">
        <v>1</v>
      </c>
      <c r="N158" s="6" t="s">
        <v>493</v>
      </c>
      <c r="O158" s="6" t="s">
        <v>493</v>
      </c>
      <c r="P158" s="6" t="s">
        <v>493</v>
      </c>
      <c r="Q158" s="6" t="s">
        <v>493</v>
      </c>
      <c r="R158" s="8">
        <v>6.29</v>
      </c>
      <c r="S158" s="20">
        <v>45104</v>
      </c>
      <c r="T158" s="20">
        <v>45137</v>
      </c>
      <c r="U158" s="33">
        <v>33</v>
      </c>
      <c r="V158" s="8">
        <v>1.266</v>
      </c>
      <c r="W158" s="8" t="s">
        <v>256</v>
      </c>
      <c r="X158" s="2" t="s">
        <v>33</v>
      </c>
      <c r="Y158" s="2">
        <v>2</v>
      </c>
      <c r="Z158" s="11" t="s">
        <v>108</v>
      </c>
      <c r="AA158" s="20">
        <v>45268</v>
      </c>
      <c r="AB158" s="8">
        <v>26.593976542465739</v>
      </c>
      <c r="AC158" s="33">
        <v>2</v>
      </c>
      <c r="AD158" s="31" t="s">
        <v>155</v>
      </c>
      <c r="AE158" s="31" t="s">
        <v>184</v>
      </c>
      <c r="AF158" s="31" t="s">
        <v>179</v>
      </c>
      <c r="AG158" s="31" t="s">
        <v>227</v>
      </c>
      <c r="AH158" s="6">
        <v>200</v>
      </c>
      <c r="AI158" s="2" t="s">
        <v>1319</v>
      </c>
      <c r="AJ158" s="2" t="s">
        <v>1696</v>
      </c>
    </row>
    <row r="159" spans="1:36">
      <c r="A159" s="2" t="s">
        <v>1024</v>
      </c>
      <c r="B159" s="20">
        <v>45104</v>
      </c>
      <c r="C159" s="2" t="s">
        <v>487</v>
      </c>
      <c r="D159" s="6">
        <v>2</v>
      </c>
      <c r="E159" s="6">
        <v>38</v>
      </c>
      <c r="F159" s="6">
        <v>4</v>
      </c>
      <c r="G159" s="8" t="s">
        <v>256</v>
      </c>
      <c r="H159" s="8" t="s">
        <v>256</v>
      </c>
      <c r="I159" s="2" t="s">
        <v>4</v>
      </c>
      <c r="J159" s="2" t="s">
        <v>255</v>
      </c>
      <c r="K159" s="6">
        <v>300</v>
      </c>
      <c r="L159" s="6">
        <v>3</v>
      </c>
      <c r="M159" s="6">
        <v>2</v>
      </c>
      <c r="N159" s="6" t="s">
        <v>493</v>
      </c>
      <c r="O159" s="6" t="s">
        <v>493</v>
      </c>
      <c r="P159" s="6" t="s">
        <v>493</v>
      </c>
      <c r="Q159" s="6" t="s">
        <v>493</v>
      </c>
      <c r="R159" s="8">
        <v>6.57</v>
      </c>
      <c r="S159" s="20">
        <v>45104</v>
      </c>
      <c r="T159" s="20">
        <v>45137</v>
      </c>
      <c r="U159" s="33">
        <v>33</v>
      </c>
      <c r="V159" s="8">
        <v>0.36</v>
      </c>
      <c r="W159" s="8" t="s">
        <v>256</v>
      </c>
      <c r="X159" s="2" t="s">
        <v>33</v>
      </c>
      <c r="Y159" s="2">
        <v>2</v>
      </c>
      <c r="Z159" s="11" t="s">
        <v>153</v>
      </c>
      <c r="AA159" s="20">
        <v>45268</v>
      </c>
      <c r="AB159" s="8">
        <v>9.5293892444006403</v>
      </c>
      <c r="AC159" s="33">
        <v>2</v>
      </c>
      <c r="AD159" s="31" t="s">
        <v>156</v>
      </c>
      <c r="AE159" s="31" t="s">
        <v>185</v>
      </c>
      <c r="AF159" s="31" t="s">
        <v>179</v>
      </c>
      <c r="AG159" s="31" t="s">
        <v>227</v>
      </c>
      <c r="AH159" s="6">
        <v>212</v>
      </c>
      <c r="AI159" s="2" t="s">
        <v>1320</v>
      </c>
      <c r="AJ159" s="2" t="s">
        <v>1696</v>
      </c>
    </row>
    <row r="160" spans="1:36">
      <c r="A160" s="2" t="s">
        <v>1025</v>
      </c>
      <c r="B160" s="20">
        <v>45104</v>
      </c>
      <c r="C160" s="2" t="s">
        <v>487</v>
      </c>
      <c r="D160" s="6">
        <v>2</v>
      </c>
      <c r="E160" s="6">
        <v>41</v>
      </c>
      <c r="F160" s="6">
        <v>4</v>
      </c>
      <c r="G160" s="8" t="s">
        <v>256</v>
      </c>
      <c r="H160" s="8" t="s">
        <v>256</v>
      </c>
      <c r="I160" s="2" t="s">
        <v>4</v>
      </c>
      <c r="J160" s="2" t="s">
        <v>253</v>
      </c>
      <c r="K160" s="6">
        <v>300</v>
      </c>
      <c r="L160" s="6">
        <v>3</v>
      </c>
      <c r="M160" s="6">
        <v>5</v>
      </c>
      <c r="N160" s="6" t="s">
        <v>493</v>
      </c>
      <c r="O160" s="6" t="s">
        <v>493</v>
      </c>
      <c r="P160" s="6" t="s">
        <v>493</v>
      </c>
      <c r="Q160" s="6" t="s">
        <v>493</v>
      </c>
      <c r="R160" s="8">
        <v>6.5</v>
      </c>
      <c r="S160" s="20">
        <v>45104</v>
      </c>
      <c r="T160" s="20">
        <v>45137</v>
      </c>
      <c r="U160" s="33">
        <v>33</v>
      </c>
      <c r="V160" s="8">
        <v>1.5189999999999999</v>
      </c>
      <c r="W160" s="8" t="s">
        <v>256</v>
      </c>
      <c r="X160" s="2" t="s">
        <v>33</v>
      </c>
      <c r="Y160" s="2">
        <v>2</v>
      </c>
      <c r="Z160" s="11" t="s">
        <v>139</v>
      </c>
      <c r="AA160" s="20">
        <v>45268</v>
      </c>
      <c r="AB160" s="8">
        <v>21.456112436174209</v>
      </c>
      <c r="AC160" s="33">
        <v>2</v>
      </c>
      <c r="AD160" s="31" t="s">
        <v>157</v>
      </c>
      <c r="AE160" s="31" t="s">
        <v>186</v>
      </c>
      <c r="AF160" s="31" t="s">
        <v>179</v>
      </c>
      <c r="AG160" s="31" t="s">
        <v>227</v>
      </c>
      <c r="AH160" s="6">
        <v>224</v>
      </c>
      <c r="AI160" s="2" t="s">
        <v>1321</v>
      </c>
      <c r="AJ160" s="2" t="s">
        <v>1696</v>
      </c>
    </row>
    <row r="161" spans="1:36">
      <c r="A161" s="4" t="s">
        <v>1026</v>
      </c>
      <c r="B161" s="20">
        <v>45104</v>
      </c>
      <c r="C161" s="2" t="s">
        <v>487</v>
      </c>
      <c r="D161" s="6">
        <v>2</v>
      </c>
      <c r="E161" s="6">
        <v>44</v>
      </c>
      <c r="F161" s="6">
        <v>4</v>
      </c>
      <c r="G161" s="8" t="s">
        <v>256</v>
      </c>
      <c r="H161" s="8" t="s">
        <v>256</v>
      </c>
      <c r="I161" s="2" t="s">
        <v>4</v>
      </c>
      <c r="J161" s="2" t="s">
        <v>254</v>
      </c>
      <c r="K161" s="6">
        <v>300</v>
      </c>
      <c r="L161" s="6">
        <v>3</v>
      </c>
      <c r="M161" s="6">
        <v>8</v>
      </c>
      <c r="N161" s="6" t="s">
        <v>493</v>
      </c>
      <c r="O161" s="6" t="s">
        <v>493</v>
      </c>
      <c r="P161" s="6" t="s">
        <v>493</v>
      </c>
      <c r="Q161" s="6" t="s">
        <v>493</v>
      </c>
      <c r="R161" s="8">
        <v>5.28</v>
      </c>
      <c r="S161" s="20">
        <v>45104</v>
      </c>
      <c r="T161" s="20">
        <v>45137</v>
      </c>
      <c r="U161" s="33">
        <v>33</v>
      </c>
      <c r="V161" s="8">
        <v>0.06</v>
      </c>
      <c r="W161" s="8" t="s">
        <v>256</v>
      </c>
      <c r="X161" s="2" t="s">
        <v>34</v>
      </c>
      <c r="Y161" s="2">
        <v>4</v>
      </c>
      <c r="Z161" s="11" t="s">
        <v>79</v>
      </c>
      <c r="AA161" s="20">
        <v>45279</v>
      </c>
      <c r="AB161" s="8">
        <v>1.909</v>
      </c>
      <c r="AC161" s="33">
        <v>4</v>
      </c>
      <c r="AD161" s="31" t="s">
        <v>42</v>
      </c>
      <c r="AE161" s="31" t="s">
        <v>193</v>
      </c>
      <c r="AF161" s="31" t="s">
        <v>174</v>
      </c>
      <c r="AG161" s="31" t="s">
        <v>222</v>
      </c>
      <c r="AH161" s="6">
        <v>290</v>
      </c>
      <c r="AI161" s="4" t="s">
        <v>1322</v>
      </c>
      <c r="AJ161" s="2" t="s">
        <v>1696</v>
      </c>
    </row>
    <row r="162" spans="1:36">
      <c r="A162" s="2" t="s">
        <v>1027</v>
      </c>
      <c r="B162" s="20">
        <v>45104</v>
      </c>
      <c r="C162" s="2" t="s">
        <v>487</v>
      </c>
      <c r="D162" s="6">
        <v>2</v>
      </c>
      <c r="E162" s="6">
        <v>51</v>
      </c>
      <c r="F162" s="6">
        <v>5</v>
      </c>
      <c r="G162" s="8" t="s">
        <v>256</v>
      </c>
      <c r="H162" s="8" t="s">
        <v>256</v>
      </c>
      <c r="I162" s="2" t="s">
        <v>6</v>
      </c>
      <c r="J162" s="2" t="s">
        <v>40</v>
      </c>
      <c r="K162" s="6">
        <v>300</v>
      </c>
      <c r="L162" s="6">
        <v>2</v>
      </c>
      <c r="M162" s="6">
        <v>3</v>
      </c>
      <c r="N162" s="6" t="s">
        <v>493</v>
      </c>
      <c r="O162" s="6" t="s">
        <v>493</v>
      </c>
      <c r="P162" s="6" t="s">
        <v>493</v>
      </c>
      <c r="Q162" s="6" t="s">
        <v>493</v>
      </c>
      <c r="R162" s="8">
        <v>5.41</v>
      </c>
      <c r="S162" s="20">
        <v>45104</v>
      </c>
      <c r="T162" s="20">
        <v>45137</v>
      </c>
      <c r="U162" s="33">
        <v>33</v>
      </c>
      <c r="V162" s="8">
        <v>0.56799999999999995</v>
      </c>
      <c r="W162" s="8" t="s">
        <v>256</v>
      </c>
      <c r="X162" s="2" t="s">
        <v>33</v>
      </c>
      <c r="Y162" s="2">
        <v>2</v>
      </c>
      <c r="Z162" s="11" t="s">
        <v>140</v>
      </c>
      <c r="AA162" s="20">
        <v>45268</v>
      </c>
      <c r="AB162" s="8">
        <v>17.365465372031107</v>
      </c>
      <c r="AC162" s="33">
        <v>2</v>
      </c>
      <c r="AD162" s="31" t="s">
        <v>158</v>
      </c>
      <c r="AE162" s="31" t="s">
        <v>187</v>
      </c>
      <c r="AF162" s="31" t="s">
        <v>179</v>
      </c>
      <c r="AG162" s="31" t="s">
        <v>227</v>
      </c>
      <c r="AH162" s="6">
        <v>236</v>
      </c>
      <c r="AI162" s="2" t="s">
        <v>1323</v>
      </c>
      <c r="AJ162" s="2" t="s">
        <v>1696</v>
      </c>
    </row>
    <row r="163" spans="1:36">
      <c r="A163" s="2" t="s">
        <v>1028</v>
      </c>
      <c r="B163" s="20">
        <v>45104</v>
      </c>
      <c r="C163" s="2" t="s">
        <v>487</v>
      </c>
      <c r="D163" s="6">
        <v>2</v>
      </c>
      <c r="E163" s="6">
        <v>53</v>
      </c>
      <c r="F163" s="6">
        <v>5</v>
      </c>
      <c r="G163" s="8" t="s">
        <v>256</v>
      </c>
      <c r="H163" s="8" t="s">
        <v>256</v>
      </c>
      <c r="I163" s="2" t="s">
        <v>6</v>
      </c>
      <c r="J163" s="2" t="s">
        <v>255</v>
      </c>
      <c r="K163" s="6">
        <v>300</v>
      </c>
      <c r="L163" s="6">
        <v>2</v>
      </c>
      <c r="M163" s="6">
        <v>5</v>
      </c>
      <c r="N163" s="6" t="s">
        <v>493</v>
      </c>
      <c r="O163" s="6" t="s">
        <v>493</v>
      </c>
      <c r="P163" s="6" t="s">
        <v>493</v>
      </c>
      <c r="Q163" s="6" t="s">
        <v>493</v>
      </c>
      <c r="R163" s="8">
        <v>5.8</v>
      </c>
      <c r="S163" s="20">
        <v>45104</v>
      </c>
      <c r="T163" s="20">
        <v>45137</v>
      </c>
      <c r="U163" s="33">
        <v>33</v>
      </c>
      <c r="V163" s="8">
        <v>0.80900000000000005</v>
      </c>
      <c r="W163" s="8" t="s">
        <v>256</v>
      </c>
      <c r="X163" s="2" t="s">
        <v>33</v>
      </c>
      <c r="Y163" s="2">
        <v>2</v>
      </c>
      <c r="Z163" s="11" t="s">
        <v>120</v>
      </c>
      <c r="AA163" s="20">
        <v>45268</v>
      </c>
      <c r="AB163" s="8">
        <v>22.492015426948079</v>
      </c>
      <c r="AC163" s="33">
        <v>2</v>
      </c>
      <c r="AD163" s="31" t="s">
        <v>159</v>
      </c>
      <c r="AE163" s="31" t="s">
        <v>188</v>
      </c>
      <c r="AF163" s="31" t="s">
        <v>179</v>
      </c>
      <c r="AG163" s="31" t="s">
        <v>227</v>
      </c>
      <c r="AH163" s="6">
        <v>248</v>
      </c>
      <c r="AI163" s="2" t="s">
        <v>1324</v>
      </c>
      <c r="AJ163" s="2" t="s">
        <v>1696</v>
      </c>
    </row>
    <row r="164" spans="1:36">
      <c r="A164" s="2" t="s">
        <v>1029</v>
      </c>
      <c r="B164" s="20">
        <v>45104</v>
      </c>
      <c r="C164" s="2" t="s">
        <v>487</v>
      </c>
      <c r="D164" s="6">
        <v>2</v>
      </c>
      <c r="E164" s="6">
        <v>55</v>
      </c>
      <c r="F164" s="6">
        <v>5</v>
      </c>
      <c r="G164" s="8" t="s">
        <v>256</v>
      </c>
      <c r="H164" s="8" t="s">
        <v>256</v>
      </c>
      <c r="I164" s="2" t="s">
        <v>6</v>
      </c>
      <c r="J164" s="2" t="s">
        <v>253</v>
      </c>
      <c r="K164" s="6">
        <v>300</v>
      </c>
      <c r="L164" s="6">
        <v>2</v>
      </c>
      <c r="M164" s="6">
        <v>7</v>
      </c>
      <c r="N164" s="6" t="s">
        <v>493</v>
      </c>
      <c r="O164" s="6" t="s">
        <v>493</v>
      </c>
      <c r="P164" s="6" t="s">
        <v>493</v>
      </c>
      <c r="Q164" s="6" t="s">
        <v>493</v>
      </c>
      <c r="R164" s="8">
        <v>4.5199999999999996</v>
      </c>
      <c r="S164" s="20">
        <v>45104</v>
      </c>
      <c r="T164" s="20">
        <v>45137</v>
      </c>
      <c r="U164" s="33">
        <v>33</v>
      </c>
      <c r="V164" s="8">
        <v>0.04</v>
      </c>
      <c r="W164" s="8" t="s">
        <v>256</v>
      </c>
      <c r="X164" s="2" t="s">
        <v>34</v>
      </c>
      <c r="Y164" s="2">
        <v>4</v>
      </c>
      <c r="Z164" s="11" t="s">
        <v>46</v>
      </c>
      <c r="AA164" s="20">
        <v>45279</v>
      </c>
      <c r="AB164" s="8">
        <v>1.4770000000000001</v>
      </c>
      <c r="AC164" s="33">
        <v>4</v>
      </c>
      <c r="AD164" s="31" t="s">
        <v>196</v>
      </c>
      <c r="AE164" s="31" t="s">
        <v>197</v>
      </c>
      <c r="AF164" s="31" t="s">
        <v>173</v>
      </c>
      <c r="AG164" s="31" t="s">
        <v>221</v>
      </c>
      <c r="AH164" s="6">
        <v>313</v>
      </c>
      <c r="AI164" s="2" t="s">
        <v>1325</v>
      </c>
      <c r="AJ164" s="2" t="s">
        <v>1696</v>
      </c>
    </row>
    <row r="165" spans="1:36">
      <c r="A165" s="2" t="s">
        <v>1030</v>
      </c>
      <c r="B165" s="20">
        <v>45104</v>
      </c>
      <c r="C165" s="2" t="s">
        <v>487</v>
      </c>
      <c r="D165" s="6">
        <v>2</v>
      </c>
      <c r="E165" s="6">
        <v>59</v>
      </c>
      <c r="F165" s="6">
        <v>5</v>
      </c>
      <c r="G165" s="8" t="s">
        <v>256</v>
      </c>
      <c r="H165" s="8" t="s">
        <v>256</v>
      </c>
      <c r="I165" s="2" t="s">
        <v>6</v>
      </c>
      <c r="J165" s="2" t="s">
        <v>254</v>
      </c>
      <c r="K165" s="6">
        <v>300</v>
      </c>
      <c r="L165" s="6">
        <v>2</v>
      </c>
      <c r="M165" s="6">
        <v>11</v>
      </c>
      <c r="N165" s="6" t="s">
        <v>493</v>
      </c>
      <c r="O165" s="6" t="s">
        <v>493</v>
      </c>
      <c r="P165" s="6" t="s">
        <v>493</v>
      </c>
      <c r="Q165" s="6" t="s">
        <v>493</v>
      </c>
      <c r="R165" s="8">
        <v>4.67</v>
      </c>
      <c r="S165" s="20">
        <v>45104</v>
      </c>
      <c r="T165" s="20">
        <v>45137</v>
      </c>
      <c r="U165" s="33">
        <v>33</v>
      </c>
      <c r="V165" s="8">
        <v>0.18</v>
      </c>
      <c r="W165" s="8" t="s">
        <v>256</v>
      </c>
      <c r="X165" s="2" t="s">
        <v>33</v>
      </c>
      <c r="Y165" s="2">
        <v>2</v>
      </c>
      <c r="Z165" s="11" t="s">
        <v>121</v>
      </c>
      <c r="AA165" s="20">
        <v>45268</v>
      </c>
      <c r="AB165" s="8">
        <v>3.1527759463267775</v>
      </c>
      <c r="AC165" s="33">
        <v>2</v>
      </c>
      <c r="AD165" s="31" t="s">
        <v>160</v>
      </c>
      <c r="AE165" s="31" t="s">
        <v>189</v>
      </c>
      <c r="AF165" s="31" t="s">
        <v>179</v>
      </c>
      <c r="AG165" s="31" t="s">
        <v>227</v>
      </c>
      <c r="AH165" s="6">
        <v>260</v>
      </c>
      <c r="AI165" s="2" t="s">
        <v>1326</v>
      </c>
      <c r="AJ165" s="2" t="s">
        <v>1696</v>
      </c>
    </row>
    <row r="166" spans="1:36">
      <c r="A166" s="2" t="s">
        <v>1031</v>
      </c>
      <c r="B166" s="20">
        <v>45104</v>
      </c>
      <c r="C166" s="2" t="s">
        <v>487</v>
      </c>
      <c r="D166" s="6">
        <v>2</v>
      </c>
      <c r="E166" s="6">
        <v>61</v>
      </c>
      <c r="F166" s="6">
        <v>6</v>
      </c>
      <c r="G166" s="8" t="s">
        <v>256</v>
      </c>
      <c r="H166" s="8" t="s">
        <v>256</v>
      </c>
      <c r="I166" s="2" t="s">
        <v>5</v>
      </c>
      <c r="J166" s="2" t="s">
        <v>40</v>
      </c>
      <c r="K166" s="6">
        <v>300</v>
      </c>
      <c r="L166" s="6">
        <v>1</v>
      </c>
      <c r="M166" s="6">
        <v>1</v>
      </c>
      <c r="N166" s="6" t="s">
        <v>493</v>
      </c>
      <c r="O166" s="6" t="s">
        <v>493</v>
      </c>
      <c r="P166" s="6" t="s">
        <v>493</v>
      </c>
      <c r="Q166" s="6" t="s">
        <v>493</v>
      </c>
      <c r="R166" s="8">
        <v>7.08</v>
      </c>
      <c r="S166" s="20">
        <v>45104</v>
      </c>
      <c r="T166" s="20">
        <v>45137</v>
      </c>
      <c r="U166" s="33">
        <v>33</v>
      </c>
      <c r="V166" s="8">
        <v>0.90900000000000003</v>
      </c>
      <c r="W166" s="8" t="s">
        <v>256</v>
      </c>
      <c r="X166" s="2" t="s">
        <v>33</v>
      </c>
      <c r="Y166" s="2">
        <v>2</v>
      </c>
      <c r="Z166" s="11" t="s">
        <v>122</v>
      </c>
      <c r="AA166" s="20">
        <v>45268</v>
      </c>
      <c r="AB166" s="8">
        <v>27.202664538775128</v>
      </c>
      <c r="AC166" s="33">
        <v>2</v>
      </c>
      <c r="AD166" s="31" t="s">
        <v>47</v>
      </c>
      <c r="AE166" s="31" t="s">
        <v>190</v>
      </c>
      <c r="AF166" s="31" t="s">
        <v>179</v>
      </c>
      <c r="AG166" s="31" t="s">
        <v>227</v>
      </c>
      <c r="AH166" s="6">
        <v>272</v>
      </c>
      <c r="AI166" s="2" t="s">
        <v>1327</v>
      </c>
      <c r="AJ166" s="2" t="s">
        <v>1696</v>
      </c>
    </row>
    <row r="167" spans="1:36">
      <c r="A167" s="4" t="s">
        <v>1032</v>
      </c>
      <c r="B167" s="20">
        <v>45104</v>
      </c>
      <c r="C167" s="2" t="s">
        <v>487</v>
      </c>
      <c r="D167" s="6">
        <v>2</v>
      </c>
      <c r="E167" s="6">
        <v>66</v>
      </c>
      <c r="F167" s="6">
        <v>6</v>
      </c>
      <c r="G167" s="8" t="s">
        <v>256</v>
      </c>
      <c r="H167" s="8" t="s">
        <v>256</v>
      </c>
      <c r="I167" s="2" t="s">
        <v>5</v>
      </c>
      <c r="J167" s="2" t="s">
        <v>254</v>
      </c>
      <c r="K167" s="6">
        <v>300</v>
      </c>
      <c r="L167" s="6">
        <v>1</v>
      </c>
      <c r="M167" s="6">
        <v>6</v>
      </c>
      <c r="N167" s="6" t="s">
        <v>493</v>
      </c>
      <c r="O167" s="6" t="s">
        <v>493</v>
      </c>
      <c r="P167" s="6" t="s">
        <v>493</v>
      </c>
      <c r="Q167" s="6" t="s">
        <v>493</v>
      </c>
      <c r="R167" s="8">
        <v>7.59</v>
      </c>
      <c r="S167" s="20">
        <v>45104</v>
      </c>
      <c r="T167" s="20">
        <v>45137</v>
      </c>
      <c r="U167" s="33">
        <v>33</v>
      </c>
      <c r="V167" s="8">
        <v>0.06</v>
      </c>
      <c r="W167" s="8" t="s">
        <v>256</v>
      </c>
      <c r="X167" s="2" t="s">
        <v>34</v>
      </c>
      <c r="Y167" s="2">
        <v>4</v>
      </c>
      <c r="Z167" s="11" t="s">
        <v>78</v>
      </c>
      <c r="AA167" s="20">
        <v>45279</v>
      </c>
      <c r="AB167" s="8">
        <v>1.149</v>
      </c>
      <c r="AC167" s="33">
        <v>4</v>
      </c>
      <c r="AD167" s="31" t="s">
        <v>194</v>
      </c>
      <c r="AE167" s="31" t="s">
        <v>195</v>
      </c>
      <c r="AF167" s="31" t="s">
        <v>174</v>
      </c>
      <c r="AG167" s="31" t="s">
        <v>222</v>
      </c>
      <c r="AH167" s="6">
        <v>302</v>
      </c>
      <c r="AI167" s="4" t="s">
        <v>1328</v>
      </c>
      <c r="AJ167" s="2" t="s">
        <v>1696</v>
      </c>
    </row>
    <row r="168" spans="1:36">
      <c r="A168" s="2" t="s">
        <v>1033</v>
      </c>
      <c r="B168" s="20">
        <v>45104</v>
      </c>
      <c r="C168" s="2" t="s">
        <v>487</v>
      </c>
      <c r="D168" s="6">
        <v>2</v>
      </c>
      <c r="E168" s="6">
        <v>68</v>
      </c>
      <c r="F168" s="6">
        <v>6</v>
      </c>
      <c r="G168" s="8" t="s">
        <v>256</v>
      </c>
      <c r="H168" s="8" t="s">
        <v>256</v>
      </c>
      <c r="I168" s="2" t="s">
        <v>5</v>
      </c>
      <c r="J168" s="2" t="s">
        <v>255</v>
      </c>
      <c r="K168" s="6">
        <v>300</v>
      </c>
      <c r="L168" s="6">
        <v>1</v>
      </c>
      <c r="M168" s="6">
        <v>8</v>
      </c>
      <c r="N168" s="6" t="s">
        <v>493</v>
      </c>
      <c r="O168" s="6" t="s">
        <v>493</v>
      </c>
      <c r="P168" s="6" t="s">
        <v>493</v>
      </c>
      <c r="Q168" s="6" t="s">
        <v>493</v>
      </c>
      <c r="R168" s="8">
        <v>7.3</v>
      </c>
      <c r="S168" s="20">
        <v>45104</v>
      </c>
      <c r="T168" s="20">
        <v>45137</v>
      </c>
      <c r="U168" s="33">
        <v>33</v>
      </c>
      <c r="V168" s="8">
        <v>3.5019999999999998</v>
      </c>
      <c r="W168" s="8" t="s">
        <v>256</v>
      </c>
      <c r="X168" s="2" t="s">
        <v>33</v>
      </c>
      <c r="Y168" s="2">
        <v>2</v>
      </c>
      <c r="Z168" s="11" t="s">
        <v>154</v>
      </c>
      <c r="AA168" s="20">
        <v>45268</v>
      </c>
      <c r="AB168" s="8">
        <v>30.220946691297303</v>
      </c>
      <c r="AC168" s="33">
        <v>2</v>
      </c>
      <c r="AD168" s="31" t="s">
        <v>162</v>
      </c>
      <c r="AE168" s="31" t="s">
        <v>192</v>
      </c>
      <c r="AF168" s="31" t="s">
        <v>179</v>
      </c>
      <c r="AG168" s="31" t="s">
        <v>227</v>
      </c>
      <c r="AH168" s="6">
        <v>284</v>
      </c>
      <c r="AI168" s="2" t="s">
        <v>1329</v>
      </c>
      <c r="AJ168" s="2" t="s">
        <v>1696</v>
      </c>
    </row>
    <row r="169" spans="1:36">
      <c r="A169" s="2" t="s">
        <v>1034</v>
      </c>
      <c r="B169" s="20">
        <v>45104</v>
      </c>
      <c r="C169" s="2" t="s">
        <v>487</v>
      </c>
      <c r="D169" s="6">
        <v>2</v>
      </c>
      <c r="E169" s="6">
        <v>72</v>
      </c>
      <c r="F169" s="6">
        <v>6</v>
      </c>
      <c r="G169" s="8" t="s">
        <v>256</v>
      </c>
      <c r="H169" s="8" t="s">
        <v>256</v>
      </c>
      <c r="I169" s="2" t="s">
        <v>5</v>
      </c>
      <c r="J169" s="2" t="s">
        <v>253</v>
      </c>
      <c r="K169" s="6">
        <v>300</v>
      </c>
      <c r="L169" s="6">
        <v>1</v>
      </c>
      <c r="M169" s="6">
        <v>12</v>
      </c>
      <c r="N169" s="6" t="s">
        <v>493</v>
      </c>
      <c r="O169" s="6" t="s">
        <v>493</v>
      </c>
      <c r="P169" s="6" t="s">
        <v>493</v>
      </c>
      <c r="Q169" s="6" t="s">
        <v>493</v>
      </c>
      <c r="R169" s="8">
        <v>8.99</v>
      </c>
      <c r="S169" s="20">
        <v>45104</v>
      </c>
      <c r="T169" s="20">
        <v>45137</v>
      </c>
      <c r="U169" s="33">
        <v>33</v>
      </c>
      <c r="V169" s="8">
        <v>0.82</v>
      </c>
      <c r="W169" s="8" t="s">
        <v>256</v>
      </c>
      <c r="X169" s="2" t="s">
        <v>33</v>
      </c>
      <c r="Y169" s="2">
        <v>2</v>
      </c>
      <c r="Z169" s="11" t="s">
        <v>113</v>
      </c>
      <c r="AA169" s="20">
        <v>45268</v>
      </c>
      <c r="AB169" s="8">
        <v>25.495208857786757</v>
      </c>
      <c r="AC169" s="33">
        <v>2</v>
      </c>
      <c r="AD169" s="31" t="s">
        <v>155</v>
      </c>
      <c r="AE169" s="31" t="s">
        <v>184</v>
      </c>
      <c r="AF169" s="31" t="s">
        <v>180</v>
      </c>
      <c r="AG169" s="31" t="s">
        <v>228</v>
      </c>
      <c r="AH169" s="6">
        <v>201</v>
      </c>
      <c r="AI169" s="2" t="s">
        <v>1330</v>
      </c>
      <c r="AJ169" s="2" t="s">
        <v>1696</v>
      </c>
    </row>
    <row r="170" spans="1:36">
      <c r="A170" s="2" t="s">
        <v>1035</v>
      </c>
      <c r="B170" s="20">
        <v>45104</v>
      </c>
      <c r="C170" s="2" t="s">
        <v>487</v>
      </c>
      <c r="D170" s="6">
        <v>3</v>
      </c>
      <c r="E170" s="6">
        <v>75</v>
      </c>
      <c r="F170" s="6">
        <v>7</v>
      </c>
      <c r="G170" s="8" t="s">
        <v>256</v>
      </c>
      <c r="H170" s="8" t="s">
        <v>256</v>
      </c>
      <c r="I170" s="2" t="s">
        <v>4</v>
      </c>
      <c r="J170" s="2" t="s">
        <v>255</v>
      </c>
      <c r="K170" s="6">
        <v>300</v>
      </c>
      <c r="L170" s="6">
        <v>6</v>
      </c>
      <c r="M170" s="6">
        <v>15</v>
      </c>
      <c r="N170" s="6" t="s">
        <v>493</v>
      </c>
      <c r="O170" s="6" t="s">
        <v>493</v>
      </c>
      <c r="P170" s="6" t="s">
        <v>493</v>
      </c>
      <c r="Q170" s="6" t="s">
        <v>493</v>
      </c>
      <c r="R170" s="8">
        <v>4.9400000000000004</v>
      </c>
      <c r="S170" s="20">
        <v>45104</v>
      </c>
      <c r="T170" s="20">
        <v>45137</v>
      </c>
      <c r="U170" s="33">
        <v>33</v>
      </c>
      <c r="V170" s="8">
        <v>0.755</v>
      </c>
      <c r="W170" s="8" t="s">
        <v>256</v>
      </c>
      <c r="X170" s="2" t="s">
        <v>33</v>
      </c>
      <c r="Y170" s="2">
        <v>2</v>
      </c>
      <c r="Z170" s="11" t="s">
        <v>114</v>
      </c>
      <c r="AA170" s="20">
        <v>45268</v>
      </c>
      <c r="AB170" s="8">
        <v>29.631122086980355</v>
      </c>
      <c r="AC170" s="33">
        <v>2</v>
      </c>
      <c r="AD170" s="31" t="s">
        <v>156</v>
      </c>
      <c r="AE170" s="31" t="s">
        <v>185</v>
      </c>
      <c r="AF170" s="31" t="s">
        <v>180</v>
      </c>
      <c r="AG170" s="31" t="s">
        <v>228</v>
      </c>
      <c r="AH170" s="6">
        <v>213</v>
      </c>
      <c r="AI170" s="2" t="s">
        <v>1331</v>
      </c>
      <c r="AJ170" s="2" t="s">
        <v>1696</v>
      </c>
    </row>
    <row r="171" spans="1:36">
      <c r="A171" s="2" t="s">
        <v>1036</v>
      </c>
      <c r="B171" s="20">
        <v>45104</v>
      </c>
      <c r="C171" s="2" t="s">
        <v>487</v>
      </c>
      <c r="D171" s="6">
        <v>3</v>
      </c>
      <c r="E171" s="6">
        <v>80</v>
      </c>
      <c r="F171" s="6">
        <v>7</v>
      </c>
      <c r="G171" s="8" t="s">
        <v>256</v>
      </c>
      <c r="H171" s="8" t="s">
        <v>256</v>
      </c>
      <c r="I171" s="2" t="s">
        <v>4</v>
      </c>
      <c r="J171" s="2" t="s">
        <v>40</v>
      </c>
      <c r="K171" s="6">
        <v>300</v>
      </c>
      <c r="L171" s="6">
        <v>6</v>
      </c>
      <c r="M171" s="6">
        <v>20</v>
      </c>
      <c r="N171" s="6" t="s">
        <v>493</v>
      </c>
      <c r="O171" s="6" t="s">
        <v>493</v>
      </c>
      <c r="P171" s="6" t="s">
        <v>493</v>
      </c>
      <c r="Q171" s="6" t="s">
        <v>493</v>
      </c>
      <c r="R171" s="8">
        <v>5.21</v>
      </c>
      <c r="S171" s="20">
        <v>45104</v>
      </c>
      <c r="T171" s="20">
        <v>45137</v>
      </c>
      <c r="U171" s="33">
        <v>33</v>
      </c>
      <c r="V171" s="8">
        <v>0.1</v>
      </c>
      <c r="W171" s="8" t="s">
        <v>256</v>
      </c>
      <c r="X171" s="2" t="s">
        <v>33</v>
      </c>
      <c r="Y171" s="2">
        <v>2</v>
      </c>
      <c r="Z171" s="11" t="s">
        <v>115</v>
      </c>
      <c r="AA171" s="20">
        <v>45268</v>
      </c>
      <c r="AB171" s="8">
        <v>8.7075070722780641</v>
      </c>
      <c r="AC171" s="33">
        <v>2</v>
      </c>
      <c r="AD171" s="31" t="s">
        <v>157</v>
      </c>
      <c r="AE171" s="31" t="s">
        <v>186</v>
      </c>
      <c r="AF171" s="31" t="s">
        <v>180</v>
      </c>
      <c r="AG171" s="31" t="s">
        <v>228</v>
      </c>
      <c r="AH171" s="6">
        <v>225</v>
      </c>
      <c r="AI171" s="2" t="s">
        <v>1332</v>
      </c>
      <c r="AJ171" s="2" t="s">
        <v>1696</v>
      </c>
    </row>
    <row r="172" spans="1:36">
      <c r="A172" s="2" t="s">
        <v>1037</v>
      </c>
      <c r="B172" s="20">
        <v>45104</v>
      </c>
      <c r="C172" s="2" t="s">
        <v>487</v>
      </c>
      <c r="D172" s="6">
        <v>3</v>
      </c>
      <c r="E172" s="6">
        <v>81</v>
      </c>
      <c r="F172" s="6">
        <v>7</v>
      </c>
      <c r="G172" s="8" t="s">
        <v>256</v>
      </c>
      <c r="H172" s="8" t="s">
        <v>256</v>
      </c>
      <c r="I172" s="2" t="s">
        <v>4</v>
      </c>
      <c r="J172" s="2" t="s">
        <v>254</v>
      </c>
      <c r="K172" s="6">
        <v>300</v>
      </c>
      <c r="L172" s="6">
        <v>6</v>
      </c>
      <c r="M172" s="6">
        <v>21</v>
      </c>
      <c r="N172" s="6" t="s">
        <v>493</v>
      </c>
      <c r="O172" s="6" t="s">
        <v>493</v>
      </c>
      <c r="P172" s="6" t="s">
        <v>493</v>
      </c>
      <c r="Q172" s="6" t="s">
        <v>493</v>
      </c>
      <c r="R172" s="8">
        <v>4.24</v>
      </c>
      <c r="S172" s="20">
        <v>45104</v>
      </c>
      <c r="T172" s="20">
        <v>45137</v>
      </c>
      <c r="U172" s="33">
        <v>33</v>
      </c>
      <c r="V172" s="8">
        <v>0.45600000000000002</v>
      </c>
      <c r="W172" s="8" t="s">
        <v>256</v>
      </c>
      <c r="X172" s="2" t="s">
        <v>33</v>
      </c>
      <c r="Y172" s="2">
        <v>2</v>
      </c>
      <c r="Z172" s="11" t="s">
        <v>123</v>
      </c>
      <c r="AA172" s="20">
        <v>45268</v>
      </c>
      <c r="AB172" s="8">
        <v>17.665128380620622</v>
      </c>
      <c r="AC172" s="33">
        <v>2</v>
      </c>
      <c r="AD172" s="31" t="s">
        <v>158</v>
      </c>
      <c r="AE172" s="31" t="s">
        <v>187</v>
      </c>
      <c r="AF172" s="31" t="s">
        <v>180</v>
      </c>
      <c r="AG172" s="31" t="s">
        <v>228</v>
      </c>
      <c r="AH172" s="6">
        <v>237</v>
      </c>
      <c r="AI172" s="2" t="s">
        <v>1333</v>
      </c>
      <c r="AJ172" s="2" t="s">
        <v>1696</v>
      </c>
    </row>
    <row r="173" spans="1:36">
      <c r="A173" s="2" t="s">
        <v>1038</v>
      </c>
      <c r="B173" s="20">
        <v>45104</v>
      </c>
      <c r="C173" s="2" t="s">
        <v>487</v>
      </c>
      <c r="D173" s="6">
        <v>3</v>
      </c>
      <c r="E173" s="6">
        <v>82</v>
      </c>
      <c r="F173" s="6">
        <v>7</v>
      </c>
      <c r="G173" s="8" t="s">
        <v>256</v>
      </c>
      <c r="H173" s="8" t="s">
        <v>256</v>
      </c>
      <c r="I173" s="2" t="s">
        <v>4</v>
      </c>
      <c r="J173" s="2" t="s">
        <v>253</v>
      </c>
      <c r="K173" s="6">
        <v>300</v>
      </c>
      <c r="L173" s="6">
        <v>6</v>
      </c>
      <c r="M173" s="6">
        <v>22</v>
      </c>
      <c r="N173" s="6" t="s">
        <v>493</v>
      </c>
      <c r="O173" s="6" t="s">
        <v>493</v>
      </c>
      <c r="P173" s="6" t="s">
        <v>493</v>
      </c>
      <c r="Q173" s="6" t="s">
        <v>493</v>
      </c>
      <c r="R173" s="8">
        <v>5.59</v>
      </c>
      <c r="S173" s="20">
        <v>45104</v>
      </c>
      <c r="T173" s="20">
        <v>45137</v>
      </c>
      <c r="U173" s="33">
        <v>33</v>
      </c>
      <c r="V173" s="8">
        <v>0.48</v>
      </c>
      <c r="W173" s="8" t="s">
        <v>256</v>
      </c>
      <c r="X173" s="2" t="s">
        <v>33</v>
      </c>
      <c r="Y173" s="2">
        <v>2</v>
      </c>
      <c r="Z173" s="11" t="s">
        <v>124</v>
      </c>
      <c r="AA173" s="20">
        <v>45268</v>
      </c>
      <c r="AB173" s="8">
        <v>22.616908212367932</v>
      </c>
      <c r="AC173" s="33">
        <v>2</v>
      </c>
      <c r="AD173" s="31" t="s">
        <v>159</v>
      </c>
      <c r="AE173" s="31" t="s">
        <v>188</v>
      </c>
      <c r="AF173" s="31" t="s">
        <v>180</v>
      </c>
      <c r="AG173" s="31" t="s">
        <v>228</v>
      </c>
      <c r="AH173" s="6">
        <v>249</v>
      </c>
      <c r="AI173" s="2" t="s">
        <v>1334</v>
      </c>
      <c r="AJ173" s="2" t="s">
        <v>1696</v>
      </c>
    </row>
    <row r="174" spans="1:36">
      <c r="A174" s="2" t="s">
        <v>1039</v>
      </c>
      <c r="B174" s="20">
        <v>45104</v>
      </c>
      <c r="C174" s="2" t="s">
        <v>487</v>
      </c>
      <c r="D174" s="6">
        <v>3</v>
      </c>
      <c r="E174" s="6">
        <v>87</v>
      </c>
      <c r="F174" s="6">
        <v>8</v>
      </c>
      <c r="G174" s="8" t="s">
        <v>256</v>
      </c>
      <c r="H174" s="8" t="s">
        <v>256</v>
      </c>
      <c r="I174" s="2" t="s">
        <v>6</v>
      </c>
      <c r="J174" s="2" t="s">
        <v>254</v>
      </c>
      <c r="K174" s="6">
        <v>300</v>
      </c>
      <c r="L174" s="6">
        <v>5</v>
      </c>
      <c r="M174" s="6">
        <v>15</v>
      </c>
      <c r="N174" s="6" t="s">
        <v>493</v>
      </c>
      <c r="O174" s="6" t="s">
        <v>493</v>
      </c>
      <c r="P174" s="6" t="s">
        <v>493</v>
      </c>
      <c r="Q174" s="6" t="s">
        <v>493</v>
      </c>
      <c r="R174" s="8">
        <v>2.7</v>
      </c>
      <c r="S174" s="20">
        <v>45104</v>
      </c>
      <c r="T174" s="20">
        <v>45137</v>
      </c>
      <c r="U174" s="33">
        <v>33</v>
      </c>
      <c r="V174" s="8">
        <v>0.48699999999999999</v>
      </c>
      <c r="W174" s="8" t="s">
        <v>256</v>
      </c>
      <c r="X174" s="2" t="s">
        <v>33</v>
      </c>
      <c r="Y174" s="2">
        <v>2</v>
      </c>
      <c r="Z174" s="11" t="s">
        <v>125</v>
      </c>
      <c r="AA174" s="20">
        <v>45268</v>
      </c>
      <c r="AB174" s="8">
        <v>18.348283949225404</v>
      </c>
      <c r="AC174" s="33">
        <v>2</v>
      </c>
      <c r="AD174" s="31" t="s">
        <v>160</v>
      </c>
      <c r="AE174" s="31" t="s">
        <v>189</v>
      </c>
      <c r="AF174" s="31" t="s">
        <v>180</v>
      </c>
      <c r="AG174" s="31" t="s">
        <v>228</v>
      </c>
      <c r="AH174" s="6">
        <v>261</v>
      </c>
      <c r="AI174" s="2" t="s">
        <v>1335</v>
      </c>
      <c r="AJ174" s="2" t="s">
        <v>1696</v>
      </c>
    </row>
    <row r="175" spans="1:36">
      <c r="A175" s="2" t="s">
        <v>1040</v>
      </c>
      <c r="B175" s="20">
        <v>45104</v>
      </c>
      <c r="C175" s="2" t="s">
        <v>487</v>
      </c>
      <c r="D175" s="6">
        <v>3</v>
      </c>
      <c r="E175" s="6">
        <v>88</v>
      </c>
      <c r="F175" s="6">
        <v>8</v>
      </c>
      <c r="G175" s="8" t="s">
        <v>256</v>
      </c>
      <c r="H175" s="8" t="s">
        <v>256</v>
      </c>
      <c r="I175" s="2" t="s">
        <v>6</v>
      </c>
      <c r="J175" s="2" t="s">
        <v>253</v>
      </c>
      <c r="K175" s="6">
        <v>300</v>
      </c>
      <c r="L175" s="6">
        <v>5</v>
      </c>
      <c r="M175" s="6">
        <v>16</v>
      </c>
      <c r="N175" s="6" t="s">
        <v>493</v>
      </c>
      <c r="O175" s="6" t="s">
        <v>493</v>
      </c>
      <c r="P175" s="6" t="s">
        <v>493</v>
      </c>
      <c r="Q175" s="6" t="s">
        <v>493</v>
      </c>
      <c r="R175" s="8">
        <v>3.36</v>
      </c>
      <c r="S175" s="20">
        <v>45104</v>
      </c>
      <c r="T175" s="20">
        <v>45137</v>
      </c>
      <c r="U175" s="33">
        <v>33</v>
      </c>
      <c r="V175" s="8">
        <v>0.44700000000000001</v>
      </c>
      <c r="W175" s="8" t="s">
        <v>256</v>
      </c>
      <c r="X175" s="2" t="s">
        <v>33</v>
      </c>
      <c r="Y175" s="2">
        <v>2</v>
      </c>
      <c r="Z175" s="11" t="s">
        <v>126</v>
      </c>
      <c r="AA175" s="20">
        <v>45268</v>
      </c>
      <c r="AB175" s="8">
        <v>24.347270863568873</v>
      </c>
      <c r="AC175" s="33">
        <v>2</v>
      </c>
      <c r="AD175" s="31" t="s">
        <v>208</v>
      </c>
      <c r="AE175" s="31" t="s">
        <v>190</v>
      </c>
      <c r="AF175" s="31" t="s">
        <v>180</v>
      </c>
      <c r="AG175" s="31" t="s">
        <v>228</v>
      </c>
      <c r="AH175" s="6">
        <v>273</v>
      </c>
      <c r="AI175" s="2" t="s">
        <v>1336</v>
      </c>
      <c r="AJ175" s="2" t="s">
        <v>1696</v>
      </c>
    </row>
    <row r="176" spans="1:36">
      <c r="A176" s="2" t="s">
        <v>1041</v>
      </c>
      <c r="B176" s="20">
        <v>45104</v>
      </c>
      <c r="C176" s="2" t="s">
        <v>487</v>
      </c>
      <c r="D176" s="6">
        <v>3</v>
      </c>
      <c r="E176" s="6">
        <v>89</v>
      </c>
      <c r="F176" s="6">
        <v>8</v>
      </c>
      <c r="G176" s="8" t="s">
        <v>256</v>
      </c>
      <c r="H176" s="8" t="s">
        <v>256</v>
      </c>
      <c r="I176" s="2" t="s">
        <v>6</v>
      </c>
      <c r="J176" s="2" t="s">
        <v>255</v>
      </c>
      <c r="K176" s="6">
        <v>300</v>
      </c>
      <c r="L176" s="6">
        <v>5</v>
      </c>
      <c r="M176" s="6">
        <v>17</v>
      </c>
      <c r="N176" s="6" t="s">
        <v>493</v>
      </c>
      <c r="O176" s="6" t="s">
        <v>493</v>
      </c>
      <c r="P176" s="6" t="s">
        <v>493</v>
      </c>
      <c r="Q176" s="6" t="s">
        <v>493</v>
      </c>
      <c r="R176" s="8">
        <v>4.2699999999999996</v>
      </c>
      <c r="S176" s="20">
        <v>45104</v>
      </c>
      <c r="T176" s="20">
        <v>45137</v>
      </c>
      <c r="U176" s="33">
        <v>33</v>
      </c>
      <c r="V176" s="8">
        <v>0.66500000000000004</v>
      </c>
      <c r="W176" s="8" t="s">
        <v>256</v>
      </c>
      <c r="X176" s="2" t="s">
        <v>33</v>
      </c>
      <c r="Y176" s="2">
        <v>2</v>
      </c>
      <c r="Z176" s="11" t="s">
        <v>127</v>
      </c>
      <c r="AA176" s="20">
        <v>45268</v>
      </c>
      <c r="AB176" s="8">
        <v>23.581699999960161</v>
      </c>
      <c r="AC176" s="33">
        <v>2</v>
      </c>
      <c r="AD176" s="31" t="s">
        <v>162</v>
      </c>
      <c r="AE176" s="31" t="s">
        <v>192</v>
      </c>
      <c r="AF176" s="31" t="s">
        <v>180</v>
      </c>
      <c r="AG176" s="31" t="s">
        <v>228</v>
      </c>
      <c r="AH176" s="6">
        <v>285</v>
      </c>
      <c r="AI176" s="2" t="s">
        <v>1337</v>
      </c>
      <c r="AJ176" s="2" t="s">
        <v>1696</v>
      </c>
    </row>
    <row r="177" spans="1:36">
      <c r="A177" s="2" t="s">
        <v>1042</v>
      </c>
      <c r="B177" s="20">
        <v>45104</v>
      </c>
      <c r="C177" s="2" t="s">
        <v>487</v>
      </c>
      <c r="D177" s="6">
        <v>3</v>
      </c>
      <c r="E177" s="6">
        <v>91</v>
      </c>
      <c r="F177" s="6">
        <v>8</v>
      </c>
      <c r="G177" s="8" t="s">
        <v>256</v>
      </c>
      <c r="H177" s="8" t="s">
        <v>256</v>
      </c>
      <c r="I177" s="2" t="s">
        <v>6</v>
      </c>
      <c r="J177" s="2" t="s">
        <v>40</v>
      </c>
      <c r="K177" s="6">
        <v>300</v>
      </c>
      <c r="L177" s="6">
        <v>5</v>
      </c>
      <c r="M177" s="6">
        <v>19</v>
      </c>
      <c r="N177" s="6" t="s">
        <v>493</v>
      </c>
      <c r="O177" s="6" t="s">
        <v>493</v>
      </c>
      <c r="P177" s="6" t="s">
        <v>493</v>
      </c>
      <c r="Q177" s="6" t="s">
        <v>493</v>
      </c>
      <c r="R177" s="8">
        <v>3.45</v>
      </c>
      <c r="S177" s="20">
        <v>45104</v>
      </c>
      <c r="T177" s="20">
        <v>45137</v>
      </c>
      <c r="U177" s="33">
        <v>33</v>
      </c>
      <c r="V177" s="8">
        <v>0.23</v>
      </c>
      <c r="W177" s="8" t="s">
        <v>256</v>
      </c>
      <c r="X177" s="2" t="s">
        <v>33</v>
      </c>
      <c r="Y177" s="2">
        <v>2</v>
      </c>
      <c r="Z177" s="11" t="s">
        <v>118</v>
      </c>
      <c r="AA177" s="20">
        <v>45268</v>
      </c>
      <c r="AB177" s="8">
        <v>6.9248966098879228</v>
      </c>
      <c r="AC177" s="33">
        <v>2</v>
      </c>
      <c r="AD177" s="31" t="s">
        <v>155</v>
      </c>
      <c r="AE177" s="31" t="s">
        <v>184</v>
      </c>
      <c r="AF177" s="31" t="s">
        <v>234</v>
      </c>
      <c r="AG177" s="31" t="s">
        <v>235</v>
      </c>
      <c r="AH177" s="6">
        <v>202</v>
      </c>
      <c r="AI177" s="2" t="s">
        <v>1338</v>
      </c>
      <c r="AJ177" s="2" t="s">
        <v>1696</v>
      </c>
    </row>
    <row r="178" spans="1:36">
      <c r="A178" s="2" t="s">
        <v>1043</v>
      </c>
      <c r="B178" s="20">
        <v>45104</v>
      </c>
      <c r="C178" s="2" t="s">
        <v>487</v>
      </c>
      <c r="D178" s="6">
        <v>3</v>
      </c>
      <c r="E178" s="6">
        <v>98</v>
      </c>
      <c r="F178" s="6">
        <v>9</v>
      </c>
      <c r="G178" s="8" t="s">
        <v>256</v>
      </c>
      <c r="H178" s="8" t="s">
        <v>256</v>
      </c>
      <c r="I178" s="2" t="s">
        <v>5</v>
      </c>
      <c r="J178" s="2" t="s">
        <v>253</v>
      </c>
      <c r="K178" s="6">
        <v>300</v>
      </c>
      <c r="L178" s="6">
        <v>4</v>
      </c>
      <c r="M178" s="6">
        <v>14</v>
      </c>
      <c r="N178" s="6" t="s">
        <v>493</v>
      </c>
      <c r="O178" s="6" t="s">
        <v>493</v>
      </c>
      <c r="P178" s="6" t="s">
        <v>493</v>
      </c>
      <c r="Q178" s="6" t="s">
        <v>493</v>
      </c>
      <c r="R178" s="8">
        <v>6.94</v>
      </c>
      <c r="S178" s="20">
        <v>45104</v>
      </c>
      <c r="T178" s="20">
        <v>45137</v>
      </c>
      <c r="U178" s="33">
        <v>33</v>
      </c>
      <c r="V178" s="8">
        <v>2.8940000000000001</v>
      </c>
      <c r="W178" s="8" t="s">
        <v>256</v>
      </c>
      <c r="X178" s="2" t="s">
        <v>33</v>
      </c>
      <c r="Y178" s="2">
        <v>2</v>
      </c>
      <c r="Z178" s="11" t="s">
        <v>119</v>
      </c>
      <c r="AA178" s="20">
        <v>45268</v>
      </c>
      <c r="AB178" s="8">
        <v>26.823086082800529</v>
      </c>
      <c r="AC178" s="33">
        <v>2</v>
      </c>
      <c r="AD178" s="31" t="s">
        <v>156</v>
      </c>
      <c r="AE178" s="31" t="s">
        <v>185</v>
      </c>
      <c r="AF178" s="31" t="s">
        <v>234</v>
      </c>
      <c r="AG178" s="31" t="s">
        <v>235</v>
      </c>
      <c r="AH178" s="6">
        <v>214</v>
      </c>
      <c r="AI178" s="2" t="s">
        <v>1339</v>
      </c>
      <c r="AJ178" s="2" t="s">
        <v>1696</v>
      </c>
    </row>
    <row r="179" spans="1:36">
      <c r="A179" s="2" t="s">
        <v>1044</v>
      </c>
      <c r="B179" s="20">
        <v>45104</v>
      </c>
      <c r="C179" s="2" t="s">
        <v>487</v>
      </c>
      <c r="D179" s="6">
        <v>3</v>
      </c>
      <c r="E179" s="6">
        <v>100</v>
      </c>
      <c r="F179" s="6">
        <v>9</v>
      </c>
      <c r="G179" s="8" t="s">
        <v>256</v>
      </c>
      <c r="H179" s="8" t="s">
        <v>256</v>
      </c>
      <c r="I179" s="2" t="s">
        <v>5</v>
      </c>
      <c r="J179" s="2" t="s">
        <v>40</v>
      </c>
      <c r="K179" s="6">
        <v>300</v>
      </c>
      <c r="L179" s="6">
        <v>4</v>
      </c>
      <c r="M179" s="6">
        <v>16</v>
      </c>
      <c r="N179" s="6" t="s">
        <v>493</v>
      </c>
      <c r="O179" s="6" t="s">
        <v>493</v>
      </c>
      <c r="P179" s="6" t="s">
        <v>493</v>
      </c>
      <c r="Q179" s="6" t="s">
        <v>493</v>
      </c>
      <c r="R179" s="8">
        <v>6.32</v>
      </c>
      <c r="S179" s="20">
        <v>45104</v>
      </c>
      <c r="T179" s="20">
        <v>45137</v>
      </c>
      <c r="U179" s="33">
        <v>33</v>
      </c>
      <c r="V179" s="8">
        <v>1.37</v>
      </c>
      <c r="W179" s="8" t="s">
        <v>256</v>
      </c>
      <c r="X179" s="2" t="s">
        <v>33</v>
      </c>
      <c r="Y179" s="2">
        <v>2</v>
      </c>
      <c r="Z179" s="11" t="s">
        <v>244</v>
      </c>
      <c r="AA179" s="20">
        <v>45268</v>
      </c>
      <c r="AB179" s="8">
        <v>22.472454866296996</v>
      </c>
      <c r="AC179" s="33">
        <v>2</v>
      </c>
      <c r="AD179" s="31" t="s">
        <v>157</v>
      </c>
      <c r="AE179" s="31" t="s">
        <v>186</v>
      </c>
      <c r="AF179" s="31" t="s">
        <v>234</v>
      </c>
      <c r="AG179" s="31" t="s">
        <v>235</v>
      </c>
      <c r="AH179" s="6">
        <v>226</v>
      </c>
      <c r="AI179" s="2" t="s">
        <v>1340</v>
      </c>
      <c r="AJ179" s="2" t="s">
        <v>1696</v>
      </c>
    </row>
    <row r="180" spans="1:36">
      <c r="A180" s="2" t="s">
        <v>1045</v>
      </c>
      <c r="B180" s="20">
        <v>45104</v>
      </c>
      <c r="C180" s="2" t="s">
        <v>487</v>
      </c>
      <c r="D180" s="6">
        <v>3</v>
      </c>
      <c r="E180" s="6">
        <v>104</v>
      </c>
      <c r="F180" s="6">
        <v>9</v>
      </c>
      <c r="G180" s="8" t="s">
        <v>256</v>
      </c>
      <c r="H180" s="8" t="s">
        <v>256</v>
      </c>
      <c r="I180" s="2" t="s">
        <v>5</v>
      </c>
      <c r="J180" s="2" t="s">
        <v>254</v>
      </c>
      <c r="K180" s="6">
        <v>300</v>
      </c>
      <c r="L180" s="6">
        <v>4</v>
      </c>
      <c r="M180" s="6">
        <v>20</v>
      </c>
      <c r="N180" s="6" t="s">
        <v>493</v>
      </c>
      <c r="O180" s="6" t="s">
        <v>493</v>
      </c>
      <c r="P180" s="6" t="s">
        <v>493</v>
      </c>
      <c r="Q180" s="6" t="s">
        <v>493</v>
      </c>
      <c r="R180" s="8">
        <v>5.96</v>
      </c>
      <c r="S180" s="20">
        <v>45104</v>
      </c>
      <c r="T180" s="20">
        <v>45137</v>
      </c>
      <c r="U180" s="33">
        <v>33</v>
      </c>
      <c r="V180" s="8">
        <v>1.698</v>
      </c>
      <c r="W180" s="8" t="s">
        <v>256</v>
      </c>
      <c r="X180" s="2" t="s">
        <v>33</v>
      </c>
      <c r="Y180" s="2">
        <v>2</v>
      </c>
      <c r="Z180" s="11" t="s">
        <v>130</v>
      </c>
      <c r="AA180" s="20">
        <v>45268</v>
      </c>
      <c r="AB180" s="8">
        <v>23.003050013286042</v>
      </c>
      <c r="AC180" s="33">
        <v>2</v>
      </c>
      <c r="AD180" s="31" t="s">
        <v>158</v>
      </c>
      <c r="AE180" s="31" t="s">
        <v>187</v>
      </c>
      <c r="AF180" s="31" t="s">
        <v>234</v>
      </c>
      <c r="AG180" s="31" t="s">
        <v>235</v>
      </c>
      <c r="AH180" s="6">
        <v>238</v>
      </c>
      <c r="AI180" s="2" t="s">
        <v>1341</v>
      </c>
      <c r="AJ180" s="2" t="s">
        <v>1696</v>
      </c>
    </row>
    <row r="181" spans="1:36">
      <c r="A181" s="2" t="s">
        <v>1046</v>
      </c>
      <c r="B181" s="20">
        <v>45104</v>
      </c>
      <c r="C181" s="2" t="s">
        <v>487</v>
      </c>
      <c r="D181" s="6">
        <v>3</v>
      </c>
      <c r="E181" s="6">
        <v>107</v>
      </c>
      <c r="F181" s="6">
        <v>9</v>
      </c>
      <c r="G181" s="8" t="s">
        <v>256</v>
      </c>
      <c r="H181" s="8" t="s">
        <v>256</v>
      </c>
      <c r="I181" s="2" t="s">
        <v>5</v>
      </c>
      <c r="J181" s="2" t="s">
        <v>255</v>
      </c>
      <c r="K181" s="6">
        <v>300</v>
      </c>
      <c r="L181" s="6">
        <v>4</v>
      </c>
      <c r="M181" s="6">
        <v>23</v>
      </c>
      <c r="N181" s="6" t="s">
        <v>493</v>
      </c>
      <c r="O181" s="6" t="s">
        <v>493</v>
      </c>
      <c r="P181" s="6" t="s">
        <v>493</v>
      </c>
      <c r="Q181" s="6" t="s">
        <v>493</v>
      </c>
      <c r="R181" s="8">
        <v>5.4</v>
      </c>
      <c r="S181" s="20">
        <v>45104</v>
      </c>
      <c r="T181" s="20">
        <v>45137</v>
      </c>
      <c r="U181" s="33">
        <v>33</v>
      </c>
      <c r="V181" s="8">
        <v>123.428</v>
      </c>
      <c r="W181" s="8" t="s">
        <v>256</v>
      </c>
      <c r="X181" s="2" t="s">
        <v>33</v>
      </c>
      <c r="Y181" s="2">
        <v>2</v>
      </c>
      <c r="Z181" s="11" t="s">
        <v>131</v>
      </c>
      <c r="AA181" s="20">
        <v>45268</v>
      </c>
      <c r="AB181" s="8">
        <v>24.848106868386111</v>
      </c>
      <c r="AC181" s="33">
        <v>2</v>
      </c>
      <c r="AD181" s="31" t="s">
        <v>159</v>
      </c>
      <c r="AE181" s="31" t="s">
        <v>188</v>
      </c>
      <c r="AF181" s="31" t="s">
        <v>234</v>
      </c>
      <c r="AG181" s="31" t="s">
        <v>235</v>
      </c>
      <c r="AH181" s="6">
        <v>250</v>
      </c>
      <c r="AI181" s="2" t="s">
        <v>1342</v>
      </c>
      <c r="AJ181" s="2" t="s">
        <v>1696</v>
      </c>
    </row>
    <row r="182" spans="1:36">
      <c r="A182" s="2" t="s">
        <v>1047</v>
      </c>
      <c r="B182" s="20">
        <v>45111</v>
      </c>
      <c r="C182" s="2" t="s">
        <v>487</v>
      </c>
      <c r="D182" s="6">
        <v>1</v>
      </c>
      <c r="E182" s="6">
        <v>3</v>
      </c>
      <c r="F182" s="6">
        <v>1</v>
      </c>
      <c r="G182" s="8" t="s">
        <v>256</v>
      </c>
      <c r="H182" s="8" t="s">
        <v>256</v>
      </c>
      <c r="I182" s="2" t="s">
        <v>5</v>
      </c>
      <c r="J182" s="2" t="s">
        <v>40</v>
      </c>
      <c r="K182" s="6">
        <v>300</v>
      </c>
      <c r="L182" s="6">
        <v>6</v>
      </c>
      <c r="M182" s="6">
        <v>3</v>
      </c>
      <c r="N182" s="6" t="s">
        <v>493</v>
      </c>
      <c r="O182" s="6" t="s">
        <v>493</v>
      </c>
      <c r="P182" s="6" t="s">
        <v>493</v>
      </c>
      <c r="Q182" s="6" t="s">
        <v>493</v>
      </c>
      <c r="R182" s="8">
        <v>0.52</v>
      </c>
      <c r="S182" s="20">
        <v>45111</v>
      </c>
      <c r="T182" s="20">
        <v>45112</v>
      </c>
      <c r="U182" s="33">
        <v>1</v>
      </c>
      <c r="V182" s="8">
        <v>0.1</v>
      </c>
      <c r="W182" s="8" t="s">
        <v>256</v>
      </c>
      <c r="X182" s="2" t="s">
        <v>33</v>
      </c>
      <c r="Y182" s="2">
        <v>2</v>
      </c>
      <c r="Z182" s="11" t="s">
        <v>132</v>
      </c>
      <c r="AA182" s="20">
        <v>45268</v>
      </c>
      <c r="AB182" s="8">
        <v>2.0963761969887891</v>
      </c>
      <c r="AC182" s="33">
        <v>2</v>
      </c>
      <c r="AD182" s="31" t="s">
        <v>160</v>
      </c>
      <c r="AE182" s="31" t="s">
        <v>189</v>
      </c>
      <c r="AF182" s="31" t="s">
        <v>234</v>
      </c>
      <c r="AG182" s="31" t="s">
        <v>235</v>
      </c>
      <c r="AH182" s="6">
        <v>262</v>
      </c>
      <c r="AI182" s="2" t="s">
        <v>1343</v>
      </c>
      <c r="AJ182" s="2" t="s">
        <v>1696</v>
      </c>
    </row>
    <row r="183" spans="1:36">
      <c r="A183" s="4" t="s">
        <v>1048</v>
      </c>
      <c r="B183" s="20">
        <v>45111</v>
      </c>
      <c r="C183" s="2" t="s">
        <v>487</v>
      </c>
      <c r="D183" s="6">
        <v>1</v>
      </c>
      <c r="E183" s="6">
        <v>5</v>
      </c>
      <c r="F183" s="6">
        <v>1</v>
      </c>
      <c r="G183" s="8" t="s">
        <v>256</v>
      </c>
      <c r="H183" s="8" t="s">
        <v>256</v>
      </c>
      <c r="I183" s="2" t="s">
        <v>5</v>
      </c>
      <c r="J183" s="2" t="s">
        <v>255</v>
      </c>
      <c r="K183" s="6">
        <v>300</v>
      </c>
      <c r="L183" s="6">
        <v>6</v>
      </c>
      <c r="M183" s="6">
        <v>5</v>
      </c>
      <c r="N183" s="6" t="s">
        <v>493</v>
      </c>
      <c r="O183" s="6" t="s">
        <v>493</v>
      </c>
      <c r="P183" s="6" t="s">
        <v>493</v>
      </c>
      <c r="Q183" s="6" t="s">
        <v>493</v>
      </c>
      <c r="R183" s="8">
        <v>1.51</v>
      </c>
      <c r="S183" s="20">
        <v>45111</v>
      </c>
      <c r="T183" s="20">
        <v>45112</v>
      </c>
      <c r="U183" s="33">
        <v>1</v>
      </c>
      <c r="V183" s="8">
        <v>0.08</v>
      </c>
      <c r="W183" s="8" t="s">
        <v>256</v>
      </c>
      <c r="X183" s="2" t="s">
        <v>34</v>
      </c>
      <c r="Y183" s="2">
        <v>4</v>
      </c>
      <c r="Z183" s="11" t="s">
        <v>81</v>
      </c>
      <c r="AA183" s="20">
        <v>45279</v>
      </c>
      <c r="AB183" s="8">
        <v>1.355</v>
      </c>
      <c r="AC183" s="33">
        <v>4</v>
      </c>
      <c r="AD183" s="31" t="s">
        <v>42</v>
      </c>
      <c r="AE183" s="31" t="s">
        <v>193</v>
      </c>
      <c r="AF183" s="31" t="s">
        <v>175</v>
      </c>
      <c r="AG183" s="31" t="s">
        <v>223</v>
      </c>
      <c r="AH183" s="6">
        <v>291</v>
      </c>
      <c r="AI183" s="4" t="s">
        <v>1344</v>
      </c>
      <c r="AJ183" s="2" t="s">
        <v>1696</v>
      </c>
    </row>
    <row r="184" spans="1:36">
      <c r="A184" s="2" t="s">
        <v>1049</v>
      </c>
      <c r="B184" s="20">
        <v>45111</v>
      </c>
      <c r="C184" s="2" t="s">
        <v>487</v>
      </c>
      <c r="D184" s="6">
        <v>1</v>
      </c>
      <c r="E184" s="6">
        <v>9</v>
      </c>
      <c r="F184" s="6">
        <v>1</v>
      </c>
      <c r="G184" s="8" t="s">
        <v>256</v>
      </c>
      <c r="H184" s="8" t="s">
        <v>256</v>
      </c>
      <c r="I184" s="2" t="s">
        <v>5</v>
      </c>
      <c r="J184" s="2" t="s">
        <v>254</v>
      </c>
      <c r="K184" s="6">
        <v>300</v>
      </c>
      <c r="L184" s="6">
        <v>6</v>
      </c>
      <c r="M184" s="6">
        <v>9</v>
      </c>
      <c r="N184" s="6" t="s">
        <v>493</v>
      </c>
      <c r="O184" s="6" t="s">
        <v>493</v>
      </c>
      <c r="P184" s="6" t="s">
        <v>493</v>
      </c>
      <c r="Q184" s="6" t="s">
        <v>493</v>
      </c>
      <c r="R184" s="8">
        <v>1.91</v>
      </c>
      <c r="S184" s="20">
        <v>45111</v>
      </c>
      <c r="T184" s="20">
        <v>45112</v>
      </c>
      <c r="U184" s="33">
        <v>1</v>
      </c>
      <c r="V184" s="8">
        <v>0.05</v>
      </c>
      <c r="W184" s="8" t="s">
        <v>256</v>
      </c>
      <c r="X184" s="2" t="s">
        <v>34</v>
      </c>
      <c r="Y184" s="2">
        <v>4</v>
      </c>
      <c r="Z184" s="11" t="s">
        <v>52</v>
      </c>
      <c r="AA184" s="20">
        <v>45279</v>
      </c>
      <c r="AB184" s="8">
        <v>0.67500000000000004</v>
      </c>
      <c r="AC184" s="33">
        <v>4</v>
      </c>
      <c r="AD184" s="31" t="s">
        <v>202</v>
      </c>
      <c r="AE184" s="31" t="s">
        <v>203</v>
      </c>
      <c r="AF184" s="31" t="s">
        <v>173</v>
      </c>
      <c r="AG184" s="31" t="s">
        <v>221</v>
      </c>
      <c r="AH184" s="6">
        <v>349</v>
      </c>
      <c r="AI184" s="2" t="s">
        <v>1345</v>
      </c>
      <c r="AJ184" s="2" t="s">
        <v>1696</v>
      </c>
    </row>
    <row r="185" spans="1:36">
      <c r="A185" s="2" t="s">
        <v>1050</v>
      </c>
      <c r="B185" s="20">
        <v>45111</v>
      </c>
      <c r="C185" s="2" t="s">
        <v>487</v>
      </c>
      <c r="D185" s="6">
        <v>1</v>
      </c>
      <c r="E185" s="6">
        <v>10</v>
      </c>
      <c r="F185" s="6">
        <v>1</v>
      </c>
      <c r="G185" s="8" t="s">
        <v>256</v>
      </c>
      <c r="H185" s="8" t="s">
        <v>256</v>
      </c>
      <c r="I185" s="2" t="s">
        <v>5</v>
      </c>
      <c r="J185" s="2" t="s">
        <v>253</v>
      </c>
      <c r="K185" s="6">
        <v>300</v>
      </c>
      <c r="L185" s="6">
        <v>6</v>
      </c>
      <c r="M185" s="6">
        <v>10</v>
      </c>
      <c r="N185" s="6" t="s">
        <v>493</v>
      </c>
      <c r="O185" s="6" t="s">
        <v>493</v>
      </c>
      <c r="P185" s="6" t="s">
        <v>493</v>
      </c>
      <c r="Q185" s="6" t="s">
        <v>493</v>
      </c>
      <c r="R185" s="8">
        <v>0.42</v>
      </c>
      <c r="S185" s="20">
        <v>45111</v>
      </c>
      <c r="T185" s="20">
        <v>45112</v>
      </c>
      <c r="U185" s="33">
        <v>1</v>
      </c>
      <c r="V185" s="8">
        <v>0.16</v>
      </c>
      <c r="W185" s="8" t="s">
        <v>256</v>
      </c>
      <c r="X185" s="2" t="s">
        <v>33</v>
      </c>
      <c r="Y185" s="2">
        <v>2</v>
      </c>
      <c r="Z185" s="11" t="s">
        <v>133</v>
      </c>
      <c r="AA185" s="20">
        <v>45268</v>
      </c>
      <c r="AB185" s="8">
        <v>7.8237462019247435</v>
      </c>
      <c r="AC185" s="33">
        <v>2</v>
      </c>
      <c r="AD185" s="31" t="s">
        <v>49</v>
      </c>
      <c r="AE185" s="31" t="s">
        <v>190</v>
      </c>
      <c r="AF185" s="31" t="s">
        <v>234</v>
      </c>
      <c r="AG185" s="31" t="s">
        <v>235</v>
      </c>
      <c r="AH185" s="6">
        <v>274</v>
      </c>
      <c r="AI185" s="2" t="s">
        <v>1346</v>
      </c>
      <c r="AJ185" s="2" t="s">
        <v>1696</v>
      </c>
    </row>
    <row r="186" spans="1:36">
      <c r="A186" s="2" t="s">
        <v>1051</v>
      </c>
      <c r="B186" s="20">
        <v>45111</v>
      </c>
      <c r="C186" s="2" t="s">
        <v>487</v>
      </c>
      <c r="D186" s="6">
        <v>1</v>
      </c>
      <c r="E186" s="6">
        <v>17</v>
      </c>
      <c r="F186" s="6">
        <v>2</v>
      </c>
      <c r="G186" s="8" t="s">
        <v>256</v>
      </c>
      <c r="H186" s="8" t="s">
        <v>256</v>
      </c>
      <c r="I186" s="2" t="s">
        <v>4</v>
      </c>
      <c r="J186" s="2" t="s">
        <v>253</v>
      </c>
      <c r="K186" s="6">
        <v>300</v>
      </c>
      <c r="L186" s="6">
        <v>5</v>
      </c>
      <c r="M186" s="6">
        <v>5</v>
      </c>
      <c r="N186" s="6" t="s">
        <v>493</v>
      </c>
      <c r="O186" s="6" t="s">
        <v>493</v>
      </c>
      <c r="P186" s="6" t="s">
        <v>493</v>
      </c>
      <c r="Q186" s="6" t="s">
        <v>493</v>
      </c>
      <c r="R186" s="8">
        <v>1.83</v>
      </c>
      <c r="S186" s="20">
        <v>45111</v>
      </c>
      <c r="T186" s="20">
        <v>45112</v>
      </c>
      <c r="U186" s="33">
        <v>1</v>
      </c>
      <c r="V186" s="8">
        <v>0.33</v>
      </c>
      <c r="W186" s="8" t="s">
        <v>256</v>
      </c>
      <c r="X186" s="2" t="s">
        <v>33</v>
      </c>
      <c r="Y186" s="2">
        <v>2</v>
      </c>
      <c r="Z186" s="11" t="s">
        <v>134</v>
      </c>
      <c r="AA186" s="20">
        <v>45268</v>
      </c>
      <c r="AB186" s="8">
        <v>12.999466566380615</v>
      </c>
      <c r="AC186" s="33">
        <v>2</v>
      </c>
      <c r="AD186" s="31" t="s">
        <v>162</v>
      </c>
      <c r="AE186" s="31" t="s">
        <v>192</v>
      </c>
      <c r="AF186" s="31" t="s">
        <v>234</v>
      </c>
      <c r="AG186" s="31" t="s">
        <v>235</v>
      </c>
      <c r="AH186" s="6">
        <v>286</v>
      </c>
      <c r="AI186" s="2" t="s">
        <v>1347</v>
      </c>
      <c r="AJ186" s="2" t="s">
        <v>1696</v>
      </c>
    </row>
    <row r="187" spans="1:36">
      <c r="A187" s="2" t="s">
        <v>1052</v>
      </c>
      <c r="B187" s="20">
        <v>45111</v>
      </c>
      <c r="C187" s="2" t="s">
        <v>487</v>
      </c>
      <c r="D187" s="6">
        <v>1</v>
      </c>
      <c r="E187" s="6">
        <v>18</v>
      </c>
      <c r="F187" s="6">
        <v>2</v>
      </c>
      <c r="G187" s="8" t="s">
        <v>256</v>
      </c>
      <c r="H187" s="8" t="s">
        <v>256</v>
      </c>
      <c r="I187" s="2" t="s">
        <v>4</v>
      </c>
      <c r="J187" s="2" t="s">
        <v>40</v>
      </c>
      <c r="K187" s="6">
        <v>300</v>
      </c>
      <c r="L187" s="6">
        <v>5</v>
      </c>
      <c r="M187" s="6">
        <v>6</v>
      </c>
      <c r="N187" s="6" t="s">
        <v>493</v>
      </c>
      <c r="O187" s="6" t="s">
        <v>493</v>
      </c>
      <c r="P187" s="6" t="s">
        <v>493</v>
      </c>
      <c r="Q187" s="6" t="s">
        <v>493</v>
      </c>
      <c r="R187" s="8">
        <v>1.87</v>
      </c>
      <c r="S187" s="20">
        <v>45111</v>
      </c>
      <c r="T187" s="20">
        <v>45112</v>
      </c>
      <c r="U187" s="33">
        <v>1</v>
      </c>
      <c r="V187" s="8">
        <v>0.14000000000000001</v>
      </c>
      <c r="W187" s="8" t="s">
        <v>256</v>
      </c>
      <c r="X187" s="2" t="s">
        <v>33</v>
      </c>
      <c r="Y187" s="2">
        <v>2</v>
      </c>
      <c r="Z187" s="11" t="s">
        <v>67</v>
      </c>
      <c r="AA187" s="20">
        <v>45268</v>
      </c>
      <c r="AB187" s="8">
        <v>2.8100876719466901</v>
      </c>
      <c r="AC187" s="33">
        <v>2</v>
      </c>
      <c r="AD187" s="31" t="s">
        <v>155</v>
      </c>
      <c r="AE187" s="31" t="s">
        <v>184</v>
      </c>
      <c r="AF187" s="31" t="s">
        <v>236</v>
      </c>
      <c r="AG187" s="31" t="s">
        <v>237</v>
      </c>
      <c r="AH187" s="6">
        <v>203</v>
      </c>
      <c r="AI187" s="2" t="s">
        <v>1348</v>
      </c>
      <c r="AJ187" s="2" t="s">
        <v>1696</v>
      </c>
    </row>
    <row r="188" spans="1:36">
      <c r="A188" s="4" t="s">
        <v>1053</v>
      </c>
      <c r="B188" s="20">
        <v>45111</v>
      </c>
      <c r="C188" s="2" t="s">
        <v>487</v>
      </c>
      <c r="D188" s="6">
        <v>1</v>
      </c>
      <c r="E188" s="6">
        <v>22</v>
      </c>
      <c r="F188" s="6">
        <v>2</v>
      </c>
      <c r="G188" s="8" t="s">
        <v>256</v>
      </c>
      <c r="H188" s="8" t="s">
        <v>256</v>
      </c>
      <c r="I188" s="2" t="s">
        <v>4</v>
      </c>
      <c r="J188" s="2" t="s">
        <v>254</v>
      </c>
      <c r="K188" s="6">
        <v>300</v>
      </c>
      <c r="L188" s="6">
        <v>5</v>
      </c>
      <c r="M188" s="6">
        <v>10</v>
      </c>
      <c r="N188" s="6" t="s">
        <v>493</v>
      </c>
      <c r="O188" s="6" t="s">
        <v>493</v>
      </c>
      <c r="P188" s="6" t="s">
        <v>493</v>
      </c>
      <c r="Q188" s="6" t="s">
        <v>493</v>
      </c>
      <c r="R188" s="8">
        <v>0.96</v>
      </c>
      <c r="S188" s="20">
        <v>45111</v>
      </c>
      <c r="T188" s="20">
        <v>45112</v>
      </c>
      <c r="U188" s="33">
        <v>1</v>
      </c>
      <c r="V188" s="8">
        <v>7.0000000000000007E-2</v>
      </c>
      <c r="W188" s="8" t="s">
        <v>256</v>
      </c>
      <c r="X188" s="2" t="s">
        <v>34</v>
      </c>
      <c r="Y188" s="2">
        <v>4</v>
      </c>
      <c r="Z188" s="11" t="s">
        <v>80</v>
      </c>
      <c r="AA188" s="20">
        <v>45279</v>
      </c>
      <c r="AB188" s="8">
        <v>1.7809999999999999</v>
      </c>
      <c r="AC188" s="33">
        <v>4</v>
      </c>
      <c r="AD188" s="31" t="s">
        <v>196</v>
      </c>
      <c r="AE188" s="31" t="s">
        <v>197</v>
      </c>
      <c r="AF188" s="31" t="s">
        <v>174</v>
      </c>
      <c r="AG188" s="31" t="s">
        <v>222</v>
      </c>
      <c r="AH188" s="6">
        <v>314</v>
      </c>
      <c r="AI188" s="4" t="s">
        <v>1349</v>
      </c>
      <c r="AJ188" s="2" t="s">
        <v>1696</v>
      </c>
    </row>
    <row r="189" spans="1:36">
      <c r="A189" s="2" t="s">
        <v>1054</v>
      </c>
      <c r="B189" s="20">
        <v>45111</v>
      </c>
      <c r="C189" s="2" t="s">
        <v>487</v>
      </c>
      <c r="D189" s="6">
        <v>1</v>
      </c>
      <c r="E189" s="6">
        <v>24</v>
      </c>
      <c r="F189" s="6">
        <v>2</v>
      </c>
      <c r="G189" s="8" t="s">
        <v>256</v>
      </c>
      <c r="H189" s="8" t="s">
        <v>256</v>
      </c>
      <c r="I189" s="2" t="s">
        <v>4</v>
      </c>
      <c r="J189" s="2" t="s">
        <v>255</v>
      </c>
      <c r="K189" s="6">
        <v>300</v>
      </c>
      <c r="L189" s="6">
        <v>5</v>
      </c>
      <c r="M189" s="6">
        <v>12</v>
      </c>
      <c r="N189" s="6" t="s">
        <v>493</v>
      </c>
      <c r="O189" s="6" t="s">
        <v>493</v>
      </c>
      <c r="P189" s="6" t="s">
        <v>493</v>
      </c>
      <c r="Q189" s="6" t="s">
        <v>493</v>
      </c>
      <c r="R189" s="8">
        <v>1.28</v>
      </c>
      <c r="S189" s="20">
        <v>45111</v>
      </c>
      <c r="T189" s="20">
        <v>45112</v>
      </c>
      <c r="U189" s="33">
        <v>1</v>
      </c>
      <c r="V189" s="8">
        <v>0.33</v>
      </c>
      <c r="W189" s="8" t="s">
        <v>256</v>
      </c>
      <c r="X189" s="2" t="s">
        <v>33</v>
      </c>
      <c r="Y189" s="2">
        <v>2</v>
      </c>
      <c r="Z189" s="11" t="s">
        <v>70</v>
      </c>
      <c r="AA189" s="20">
        <v>45268</v>
      </c>
      <c r="AB189" s="8">
        <v>8.3529470115965037</v>
      </c>
      <c r="AC189" s="33">
        <v>2</v>
      </c>
      <c r="AD189" s="31" t="s">
        <v>156</v>
      </c>
      <c r="AE189" s="31" t="s">
        <v>185</v>
      </c>
      <c r="AF189" s="31" t="s">
        <v>236</v>
      </c>
      <c r="AG189" s="31" t="s">
        <v>237</v>
      </c>
      <c r="AH189" s="6">
        <v>215</v>
      </c>
      <c r="AI189" s="2" t="s">
        <v>1350</v>
      </c>
      <c r="AJ189" s="2" t="s">
        <v>1696</v>
      </c>
    </row>
    <row r="190" spans="1:36">
      <c r="A190" s="2" t="s">
        <v>1055</v>
      </c>
      <c r="B190" s="20">
        <v>45111</v>
      </c>
      <c r="C190" s="2" t="s">
        <v>487</v>
      </c>
      <c r="D190" s="6">
        <v>1</v>
      </c>
      <c r="E190" s="6">
        <v>25</v>
      </c>
      <c r="F190" s="6">
        <v>3</v>
      </c>
      <c r="G190" s="8" t="s">
        <v>256</v>
      </c>
      <c r="H190" s="8" t="s">
        <v>256</v>
      </c>
      <c r="I190" s="2" t="s">
        <v>6</v>
      </c>
      <c r="J190" s="2" t="s">
        <v>253</v>
      </c>
      <c r="K190" s="6">
        <v>300</v>
      </c>
      <c r="L190" s="6">
        <v>4</v>
      </c>
      <c r="M190" s="6">
        <v>1</v>
      </c>
      <c r="N190" s="6" t="s">
        <v>493</v>
      </c>
      <c r="O190" s="6" t="s">
        <v>493</v>
      </c>
      <c r="P190" s="6" t="s">
        <v>493</v>
      </c>
      <c r="Q190" s="6" t="s">
        <v>493</v>
      </c>
      <c r="R190" s="8">
        <v>0.54</v>
      </c>
      <c r="S190" s="20">
        <v>45111</v>
      </c>
      <c r="T190" s="20">
        <v>45112</v>
      </c>
      <c r="U190" s="33">
        <v>1</v>
      </c>
      <c r="V190" s="8">
        <v>0.03</v>
      </c>
      <c r="W190" s="8" t="s">
        <v>256</v>
      </c>
      <c r="X190" s="2" t="s">
        <v>34</v>
      </c>
      <c r="Y190" s="2">
        <v>4</v>
      </c>
      <c r="Z190" s="11" t="s">
        <v>44</v>
      </c>
      <c r="AA190" s="20">
        <v>45279</v>
      </c>
      <c r="AB190" s="8">
        <v>1.86</v>
      </c>
      <c r="AC190" s="33">
        <v>4</v>
      </c>
      <c r="AD190" s="31" t="s">
        <v>194</v>
      </c>
      <c r="AE190" s="31" t="s">
        <v>195</v>
      </c>
      <c r="AF190" s="31" t="s">
        <v>173</v>
      </c>
      <c r="AG190" s="31" t="s">
        <v>221</v>
      </c>
      <c r="AH190" s="6">
        <v>301</v>
      </c>
      <c r="AI190" s="2" t="s">
        <v>1351</v>
      </c>
      <c r="AJ190" s="2" t="s">
        <v>1696</v>
      </c>
    </row>
    <row r="191" spans="1:36">
      <c r="A191" s="2" t="s">
        <v>1056</v>
      </c>
      <c r="B191" s="20">
        <v>45111</v>
      </c>
      <c r="C191" s="2" t="s">
        <v>487</v>
      </c>
      <c r="D191" s="6">
        <v>1</v>
      </c>
      <c r="E191" s="6">
        <v>26</v>
      </c>
      <c r="F191" s="6">
        <v>3</v>
      </c>
      <c r="G191" s="8" t="s">
        <v>256</v>
      </c>
      <c r="H191" s="8" t="s">
        <v>256</v>
      </c>
      <c r="I191" s="2" t="s">
        <v>6</v>
      </c>
      <c r="J191" s="2" t="s">
        <v>255</v>
      </c>
      <c r="K191" s="6">
        <v>300</v>
      </c>
      <c r="L191" s="6">
        <v>4</v>
      </c>
      <c r="M191" s="6">
        <v>2</v>
      </c>
      <c r="N191" s="6" t="s">
        <v>493</v>
      </c>
      <c r="O191" s="6" t="s">
        <v>493</v>
      </c>
      <c r="P191" s="6" t="s">
        <v>493</v>
      </c>
      <c r="Q191" s="6" t="s">
        <v>493</v>
      </c>
      <c r="R191" s="8">
        <v>1.22</v>
      </c>
      <c r="S191" s="20">
        <v>45111</v>
      </c>
      <c r="T191" s="20">
        <v>45112</v>
      </c>
      <c r="U191" s="33">
        <v>1</v>
      </c>
      <c r="V191" s="8">
        <v>0.16</v>
      </c>
      <c r="W191" s="8" t="s">
        <v>256</v>
      </c>
      <c r="X191" s="2" t="s">
        <v>33</v>
      </c>
      <c r="Y191" s="2">
        <v>2</v>
      </c>
      <c r="Z191" s="11" t="s">
        <v>71</v>
      </c>
      <c r="AA191" s="20">
        <v>45268</v>
      </c>
      <c r="AB191" s="8">
        <v>3.0785972010471077</v>
      </c>
      <c r="AC191" s="33">
        <v>2</v>
      </c>
      <c r="AD191" s="31" t="s">
        <v>157</v>
      </c>
      <c r="AE191" s="31" t="s">
        <v>186</v>
      </c>
      <c r="AF191" s="31" t="s">
        <v>236</v>
      </c>
      <c r="AG191" s="31" t="s">
        <v>237</v>
      </c>
      <c r="AH191" s="6">
        <v>227</v>
      </c>
      <c r="AI191" s="2" t="s">
        <v>1352</v>
      </c>
      <c r="AJ191" s="2" t="s">
        <v>1696</v>
      </c>
    </row>
    <row r="192" spans="1:36">
      <c r="A192" s="2" t="s">
        <v>1057</v>
      </c>
      <c r="B192" s="20">
        <v>45111</v>
      </c>
      <c r="C192" s="2" t="s">
        <v>487</v>
      </c>
      <c r="D192" s="6">
        <v>1</v>
      </c>
      <c r="E192" s="6">
        <v>28</v>
      </c>
      <c r="F192" s="6">
        <v>3</v>
      </c>
      <c r="G192" s="8" t="s">
        <v>256</v>
      </c>
      <c r="H192" s="8" t="s">
        <v>256</v>
      </c>
      <c r="I192" s="2" t="s">
        <v>6</v>
      </c>
      <c r="J192" s="2" t="s">
        <v>254</v>
      </c>
      <c r="K192" s="6">
        <v>300</v>
      </c>
      <c r="L192" s="6">
        <v>4</v>
      </c>
      <c r="M192" s="6">
        <v>4</v>
      </c>
      <c r="N192" s="6" t="s">
        <v>493</v>
      </c>
      <c r="O192" s="6" t="s">
        <v>493</v>
      </c>
      <c r="P192" s="6" t="s">
        <v>493</v>
      </c>
      <c r="Q192" s="6" t="s">
        <v>493</v>
      </c>
      <c r="R192" s="8">
        <v>1.1399999999999999</v>
      </c>
      <c r="S192" s="20">
        <v>45111</v>
      </c>
      <c r="T192" s="20">
        <v>45112</v>
      </c>
      <c r="U192" s="33">
        <v>1</v>
      </c>
      <c r="V192" s="8">
        <v>0.19</v>
      </c>
      <c r="W192" s="8" t="s">
        <v>256</v>
      </c>
      <c r="X192" s="2" t="s">
        <v>33</v>
      </c>
      <c r="Y192" s="2">
        <v>2</v>
      </c>
      <c r="Z192" s="11" t="s">
        <v>72</v>
      </c>
      <c r="AA192" s="20">
        <v>45268</v>
      </c>
      <c r="AB192" s="8">
        <v>4.2750083361452473</v>
      </c>
      <c r="AC192" s="33">
        <v>2</v>
      </c>
      <c r="AD192" s="31" t="s">
        <v>158</v>
      </c>
      <c r="AE192" s="31" t="s">
        <v>187</v>
      </c>
      <c r="AF192" s="31" t="s">
        <v>236</v>
      </c>
      <c r="AG192" s="31" t="s">
        <v>237</v>
      </c>
      <c r="AH192" s="6">
        <v>239</v>
      </c>
      <c r="AI192" s="2" t="s">
        <v>1353</v>
      </c>
      <c r="AJ192" s="2" t="s">
        <v>1696</v>
      </c>
    </row>
    <row r="193" spans="1:36">
      <c r="A193" s="4" t="s">
        <v>1058</v>
      </c>
      <c r="B193" s="20">
        <v>45111</v>
      </c>
      <c r="C193" s="2" t="s">
        <v>487</v>
      </c>
      <c r="D193" s="6">
        <v>1</v>
      </c>
      <c r="E193" s="6">
        <v>35</v>
      </c>
      <c r="F193" s="6">
        <v>3</v>
      </c>
      <c r="G193" s="8" t="s">
        <v>256</v>
      </c>
      <c r="H193" s="8" t="s">
        <v>256</v>
      </c>
      <c r="I193" s="2" t="s">
        <v>6</v>
      </c>
      <c r="J193" s="2" t="s">
        <v>40</v>
      </c>
      <c r="K193" s="6">
        <v>300</v>
      </c>
      <c r="L193" s="6">
        <v>4</v>
      </c>
      <c r="M193" s="6">
        <v>11</v>
      </c>
      <c r="N193" s="6" t="s">
        <v>493</v>
      </c>
      <c r="O193" s="6" t="s">
        <v>493</v>
      </c>
      <c r="P193" s="6" t="s">
        <v>493</v>
      </c>
      <c r="Q193" s="6" t="s">
        <v>493</v>
      </c>
      <c r="R193" s="8">
        <v>0.44</v>
      </c>
      <c r="S193" s="20">
        <v>45111</v>
      </c>
      <c r="T193" s="20">
        <v>45112</v>
      </c>
      <c r="U193" s="33">
        <v>1</v>
      </c>
      <c r="V193" s="8">
        <v>0.09</v>
      </c>
      <c r="W193" s="8" t="s">
        <v>256</v>
      </c>
      <c r="X193" s="2" t="s">
        <v>34</v>
      </c>
      <c r="Y193" s="2">
        <v>4</v>
      </c>
      <c r="Z193" s="11" t="s">
        <v>90</v>
      </c>
      <c r="AA193" s="20">
        <v>45279</v>
      </c>
      <c r="AB193" s="8">
        <v>0.255</v>
      </c>
      <c r="AC193" s="33">
        <v>4</v>
      </c>
      <c r="AD193" s="31" t="s">
        <v>202</v>
      </c>
      <c r="AE193" s="31" t="s">
        <v>203</v>
      </c>
      <c r="AF193" s="31" t="s">
        <v>175</v>
      </c>
      <c r="AG193" s="31" t="s">
        <v>223</v>
      </c>
      <c r="AH193" s="6">
        <v>351</v>
      </c>
      <c r="AI193" s="4" t="s">
        <v>1354</v>
      </c>
      <c r="AJ193" s="2" t="s">
        <v>1696</v>
      </c>
    </row>
    <row r="194" spans="1:36">
      <c r="A194" s="2" t="s">
        <v>1059</v>
      </c>
      <c r="B194" s="20">
        <v>45111</v>
      </c>
      <c r="C194" s="2" t="s">
        <v>487</v>
      </c>
      <c r="D194" s="6">
        <v>2</v>
      </c>
      <c r="E194" s="6">
        <v>37</v>
      </c>
      <c r="F194" s="6">
        <v>4</v>
      </c>
      <c r="G194" s="8" t="s">
        <v>256</v>
      </c>
      <c r="H194" s="8" t="s">
        <v>256</v>
      </c>
      <c r="I194" s="2" t="s">
        <v>4</v>
      </c>
      <c r="J194" s="2" t="s">
        <v>40</v>
      </c>
      <c r="K194" s="6">
        <v>300</v>
      </c>
      <c r="L194" s="6">
        <v>3</v>
      </c>
      <c r="M194" s="6">
        <v>1</v>
      </c>
      <c r="N194" s="6" t="s">
        <v>493</v>
      </c>
      <c r="O194" s="6" t="s">
        <v>493</v>
      </c>
      <c r="P194" s="6" t="s">
        <v>493</v>
      </c>
      <c r="Q194" s="6" t="s">
        <v>493</v>
      </c>
      <c r="R194" s="8">
        <v>1.52</v>
      </c>
      <c r="S194" s="20">
        <v>45111</v>
      </c>
      <c r="T194" s="20">
        <v>45112</v>
      </c>
      <c r="U194" s="33">
        <v>1</v>
      </c>
      <c r="V194" s="8">
        <v>0.1</v>
      </c>
      <c r="W194" s="8" t="s">
        <v>256</v>
      </c>
      <c r="X194" s="2" t="s">
        <v>33</v>
      </c>
      <c r="Y194" s="2">
        <v>2</v>
      </c>
      <c r="Z194" s="11" t="s">
        <v>73</v>
      </c>
      <c r="AA194" s="20">
        <v>45268</v>
      </c>
      <c r="AB194" s="8">
        <v>7.0471401544049304</v>
      </c>
      <c r="AC194" s="33">
        <v>2</v>
      </c>
      <c r="AD194" s="31" t="s">
        <v>159</v>
      </c>
      <c r="AE194" s="31" t="s">
        <v>188</v>
      </c>
      <c r="AF194" s="31" t="s">
        <v>236</v>
      </c>
      <c r="AG194" s="31" t="s">
        <v>237</v>
      </c>
      <c r="AH194" s="6">
        <v>251</v>
      </c>
      <c r="AI194" s="2" t="s">
        <v>1355</v>
      </c>
      <c r="AJ194" s="2" t="s">
        <v>1696</v>
      </c>
    </row>
    <row r="195" spans="1:36">
      <c r="A195" s="2" t="s">
        <v>1060</v>
      </c>
      <c r="B195" s="20">
        <v>45111</v>
      </c>
      <c r="C195" s="2" t="s">
        <v>487</v>
      </c>
      <c r="D195" s="6">
        <v>2</v>
      </c>
      <c r="E195" s="6">
        <v>38</v>
      </c>
      <c r="F195" s="6">
        <v>4</v>
      </c>
      <c r="G195" s="8" t="s">
        <v>256</v>
      </c>
      <c r="H195" s="8" t="s">
        <v>256</v>
      </c>
      <c r="I195" s="2" t="s">
        <v>4</v>
      </c>
      <c r="J195" s="2" t="s">
        <v>255</v>
      </c>
      <c r="K195" s="6">
        <v>300</v>
      </c>
      <c r="L195" s="6">
        <v>3</v>
      </c>
      <c r="M195" s="6">
        <v>2</v>
      </c>
      <c r="N195" s="6" t="s">
        <v>493</v>
      </c>
      <c r="O195" s="6" t="s">
        <v>493</v>
      </c>
      <c r="P195" s="6" t="s">
        <v>493</v>
      </c>
      <c r="Q195" s="6" t="s">
        <v>493</v>
      </c>
      <c r="R195" s="8">
        <v>1.95</v>
      </c>
      <c r="S195" s="20">
        <v>45111</v>
      </c>
      <c r="T195" s="20">
        <v>45112</v>
      </c>
      <c r="U195" s="33">
        <v>1</v>
      </c>
      <c r="V195" s="8">
        <v>0.12</v>
      </c>
      <c r="W195" s="8" t="s">
        <v>256</v>
      </c>
      <c r="X195" s="2" t="s">
        <v>33</v>
      </c>
      <c r="Y195" s="2">
        <v>2</v>
      </c>
      <c r="Z195" s="11" t="s">
        <v>74</v>
      </c>
      <c r="AA195" s="20">
        <v>45268</v>
      </c>
      <c r="AB195" s="8">
        <v>9.1460361181171024</v>
      </c>
      <c r="AC195" s="33">
        <v>2</v>
      </c>
      <c r="AD195" s="31" t="s">
        <v>160</v>
      </c>
      <c r="AE195" s="31" t="s">
        <v>189</v>
      </c>
      <c r="AF195" s="31" t="s">
        <v>236</v>
      </c>
      <c r="AG195" s="31" t="s">
        <v>237</v>
      </c>
      <c r="AH195" s="6">
        <v>263</v>
      </c>
      <c r="AI195" s="2" t="s">
        <v>1356</v>
      </c>
      <c r="AJ195" s="2" t="s">
        <v>1696</v>
      </c>
    </row>
    <row r="196" spans="1:36">
      <c r="A196" s="2" t="s">
        <v>1061</v>
      </c>
      <c r="B196" s="20">
        <v>45111</v>
      </c>
      <c r="C196" s="2" t="s">
        <v>487</v>
      </c>
      <c r="D196" s="6">
        <v>2</v>
      </c>
      <c r="E196" s="6">
        <v>41</v>
      </c>
      <c r="F196" s="6">
        <v>4</v>
      </c>
      <c r="G196" s="8" t="s">
        <v>256</v>
      </c>
      <c r="H196" s="8" t="s">
        <v>256</v>
      </c>
      <c r="I196" s="2" t="s">
        <v>4</v>
      </c>
      <c r="J196" s="2" t="s">
        <v>253</v>
      </c>
      <c r="K196" s="6">
        <v>300</v>
      </c>
      <c r="L196" s="6">
        <v>3</v>
      </c>
      <c r="M196" s="6">
        <v>5</v>
      </c>
      <c r="N196" s="6" t="s">
        <v>493</v>
      </c>
      <c r="O196" s="6" t="s">
        <v>493</v>
      </c>
      <c r="P196" s="6" t="s">
        <v>493</v>
      </c>
      <c r="Q196" s="6" t="s">
        <v>493</v>
      </c>
      <c r="R196" s="8">
        <v>1.72</v>
      </c>
      <c r="S196" s="20">
        <v>45111</v>
      </c>
      <c r="T196" s="20">
        <v>45112</v>
      </c>
      <c r="U196" s="33">
        <v>1</v>
      </c>
      <c r="V196" s="8">
        <v>0.42</v>
      </c>
      <c r="W196" s="8" t="s">
        <v>256</v>
      </c>
      <c r="X196" s="2" t="s">
        <v>33</v>
      </c>
      <c r="Y196" s="2">
        <v>2</v>
      </c>
      <c r="Z196" s="11" t="s">
        <v>75</v>
      </c>
      <c r="AA196" s="20">
        <v>45268</v>
      </c>
      <c r="AB196" s="8">
        <v>27.686170922648937</v>
      </c>
      <c r="AC196" s="33">
        <v>2</v>
      </c>
      <c r="AD196" s="31" t="s">
        <v>51</v>
      </c>
      <c r="AE196" s="31" t="s">
        <v>190</v>
      </c>
      <c r="AF196" s="31" t="s">
        <v>236</v>
      </c>
      <c r="AG196" s="31" t="s">
        <v>237</v>
      </c>
      <c r="AH196" s="6">
        <v>275</v>
      </c>
      <c r="AI196" s="2" t="s">
        <v>1357</v>
      </c>
      <c r="AJ196" s="2" t="s">
        <v>1696</v>
      </c>
    </row>
    <row r="197" spans="1:36">
      <c r="A197" s="4" t="s">
        <v>1062</v>
      </c>
      <c r="B197" s="20">
        <v>45111</v>
      </c>
      <c r="C197" s="2" t="s">
        <v>487</v>
      </c>
      <c r="D197" s="6">
        <v>2</v>
      </c>
      <c r="E197" s="6">
        <v>44</v>
      </c>
      <c r="F197" s="6">
        <v>4</v>
      </c>
      <c r="G197" s="8" t="s">
        <v>256</v>
      </c>
      <c r="H197" s="8" t="s">
        <v>256</v>
      </c>
      <c r="I197" s="2" t="s">
        <v>4</v>
      </c>
      <c r="J197" s="2" t="s">
        <v>254</v>
      </c>
      <c r="K197" s="6">
        <v>300</v>
      </c>
      <c r="L197" s="6">
        <v>3</v>
      </c>
      <c r="M197" s="6">
        <v>8</v>
      </c>
      <c r="N197" s="6" t="s">
        <v>493</v>
      </c>
      <c r="O197" s="6" t="s">
        <v>493</v>
      </c>
      <c r="P197" s="6" t="s">
        <v>493</v>
      </c>
      <c r="Q197" s="6" t="s">
        <v>493</v>
      </c>
      <c r="R197" s="8">
        <v>1.86</v>
      </c>
      <c r="S197" s="20">
        <v>45111</v>
      </c>
      <c r="T197" s="20">
        <v>45112</v>
      </c>
      <c r="U197" s="33">
        <v>1</v>
      </c>
      <c r="V197" s="8">
        <v>0.08</v>
      </c>
      <c r="W197" s="8" t="s">
        <v>256</v>
      </c>
      <c r="X197" s="2" t="s">
        <v>34</v>
      </c>
      <c r="Y197" s="2">
        <v>4</v>
      </c>
      <c r="Z197" s="11" t="s">
        <v>82</v>
      </c>
      <c r="AA197" s="20">
        <v>45279</v>
      </c>
      <c r="AB197" s="8">
        <v>2.3860000000000001</v>
      </c>
      <c r="AC197" s="33">
        <v>4</v>
      </c>
      <c r="AD197" s="31" t="s">
        <v>194</v>
      </c>
      <c r="AE197" s="31" t="s">
        <v>195</v>
      </c>
      <c r="AF197" s="31" t="s">
        <v>175</v>
      </c>
      <c r="AG197" s="31" t="s">
        <v>223</v>
      </c>
      <c r="AH197" s="6">
        <v>303</v>
      </c>
      <c r="AI197" s="4" t="s">
        <v>1358</v>
      </c>
      <c r="AJ197" s="2" t="s">
        <v>1696</v>
      </c>
    </row>
    <row r="198" spans="1:36">
      <c r="A198" s="2" t="s">
        <v>1063</v>
      </c>
      <c r="B198" s="20">
        <v>45111</v>
      </c>
      <c r="C198" s="2" t="s">
        <v>487</v>
      </c>
      <c r="D198" s="6">
        <v>2</v>
      </c>
      <c r="E198" s="6">
        <v>51</v>
      </c>
      <c r="F198" s="6">
        <v>5</v>
      </c>
      <c r="G198" s="8" t="s">
        <v>256</v>
      </c>
      <c r="H198" s="8" t="s">
        <v>256</v>
      </c>
      <c r="I198" s="2" t="s">
        <v>6</v>
      </c>
      <c r="J198" s="2" t="s">
        <v>40</v>
      </c>
      <c r="K198" s="6">
        <v>300</v>
      </c>
      <c r="L198" s="6">
        <v>2</v>
      </c>
      <c r="M198" s="6">
        <v>3</v>
      </c>
      <c r="N198" s="6" t="s">
        <v>493</v>
      </c>
      <c r="O198" s="6" t="s">
        <v>493</v>
      </c>
      <c r="P198" s="6" t="s">
        <v>493</v>
      </c>
      <c r="Q198" s="6" t="s">
        <v>493</v>
      </c>
      <c r="R198" s="8">
        <v>1.53</v>
      </c>
      <c r="S198" s="20">
        <v>45111</v>
      </c>
      <c r="T198" s="20">
        <v>45112</v>
      </c>
      <c r="U198" s="33">
        <v>1</v>
      </c>
      <c r="V198" s="8">
        <v>0.04</v>
      </c>
      <c r="W198" s="8" t="s">
        <v>256</v>
      </c>
      <c r="X198" s="2" t="s">
        <v>34</v>
      </c>
      <c r="Y198" s="2">
        <v>4</v>
      </c>
      <c r="Z198" s="11" t="s">
        <v>48</v>
      </c>
      <c r="AA198" s="20">
        <v>45279</v>
      </c>
      <c r="AB198" s="8">
        <v>3.4289999999999998</v>
      </c>
      <c r="AC198" s="33">
        <v>4</v>
      </c>
      <c r="AD198" s="31" t="s">
        <v>198</v>
      </c>
      <c r="AE198" s="31" t="s">
        <v>199</v>
      </c>
      <c r="AF198" s="31" t="s">
        <v>173</v>
      </c>
      <c r="AG198" s="31" t="s">
        <v>221</v>
      </c>
      <c r="AH198" s="6">
        <v>325</v>
      </c>
      <c r="AI198" s="2" t="s">
        <v>1359</v>
      </c>
      <c r="AJ198" s="2" t="s">
        <v>1696</v>
      </c>
    </row>
    <row r="199" spans="1:36">
      <c r="A199" s="2" t="s">
        <v>1064</v>
      </c>
      <c r="B199" s="20">
        <v>45111</v>
      </c>
      <c r="C199" s="2" t="s">
        <v>487</v>
      </c>
      <c r="D199" s="6">
        <v>2</v>
      </c>
      <c r="E199" s="6">
        <v>53</v>
      </c>
      <c r="F199" s="6">
        <v>5</v>
      </c>
      <c r="G199" s="8" t="s">
        <v>256</v>
      </c>
      <c r="H199" s="8" t="s">
        <v>256</v>
      </c>
      <c r="I199" s="2" t="s">
        <v>6</v>
      </c>
      <c r="J199" s="2" t="s">
        <v>255</v>
      </c>
      <c r="K199" s="6">
        <v>300</v>
      </c>
      <c r="L199" s="6">
        <v>2</v>
      </c>
      <c r="M199" s="6">
        <v>5</v>
      </c>
      <c r="N199" s="6" t="s">
        <v>493</v>
      </c>
      <c r="O199" s="6" t="s">
        <v>493</v>
      </c>
      <c r="P199" s="6" t="s">
        <v>493</v>
      </c>
      <c r="Q199" s="6" t="s">
        <v>493</v>
      </c>
      <c r="R199" s="8">
        <v>2.14</v>
      </c>
      <c r="S199" s="20">
        <v>45111</v>
      </c>
      <c r="T199" s="20">
        <v>45112</v>
      </c>
      <c r="U199" s="33">
        <v>1</v>
      </c>
      <c r="V199" s="8">
        <v>0.12</v>
      </c>
      <c r="W199" s="8" t="s">
        <v>256</v>
      </c>
      <c r="X199" s="2" t="s">
        <v>33</v>
      </c>
      <c r="Y199" s="2">
        <v>2</v>
      </c>
      <c r="Z199" s="11" t="s">
        <v>76</v>
      </c>
      <c r="AA199" s="20">
        <v>45268</v>
      </c>
      <c r="AB199" s="8">
        <v>10.33030655900258</v>
      </c>
      <c r="AC199" s="33">
        <v>2</v>
      </c>
      <c r="AD199" s="31" t="s">
        <v>162</v>
      </c>
      <c r="AE199" s="31" t="s">
        <v>192</v>
      </c>
      <c r="AF199" s="31" t="s">
        <v>236</v>
      </c>
      <c r="AG199" s="31" t="s">
        <v>237</v>
      </c>
      <c r="AH199" s="6">
        <v>287</v>
      </c>
      <c r="AI199" s="2" t="s">
        <v>1360</v>
      </c>
      <c r="AJ199" s="2" t="s">
        <v>1696</v>
      </c>
    </row>
    <row r="200" spans="1:36">
      <c r="A200" s="2" t="s">
        <v>1065</v>
      </c>
      <c r="B200" s="20">
        <v>45111</v>
      </c>
      <c r="C200" s="2" t="s">
        <v>487</v>
      </c>
      <c r="D200" s="6">
        <v>2</v>
      </c>
      <c r="E200" s="6">
        <v>55</v>
      </c>
      <c r="F200" s="6">
        <v>5</v>
      </c>
      <c r="G200" s="8" t="s">
        <v>256</v>
      </c>
      <c r="H200" s="8" t="s">
        <v>256</v>
      </c>
      <c r="I200" s="2" t="s">
        <v>6</v>
      </c>
      <c r="J200" s="2" t="s">
        <v>253</v>
      </c>
      <c r="K200" s="6">
        <v>300</v>
      </c>
      <c r="L200" s="6">
        <v>2</v>
      </c>
      <c r="M200" s="6">
        <v>7</v>
      </c>
      <c r="N200" s="6" t="s">
        <v>493</v>
      </c>
      <c r="O200" s="6" t="s">
        <v>493</v>
      </c>
      <c r="P200" s="6" t="s">
        <v>493</v>
      </c>
      <c r="Q200" s="6" t="s">
        <v>493</v>
      </c>
      <c r="R200" s="8">
        <v>1.1200000000000001</v>
      </c>
      <c r="S200" s="20">
        <v>45111</v>
      </c>
      <c r="T200" s="20">
        <v>45112</v>
      </c>
      <c r="U200" s="33">
        <v>1</v>
      </c>
      <c r="V200" s="8">
        <v>0.12</v>
      </c>
      <c r="W200" s="8" t="s">
        <v>256</v>
      </c>
      <c r="X200" s="2" t="s">
        <v>33</v>
      </c>
      <c r="Y200" s="2">
        <v>2</v>
      </c>
      <c r="Z200" s="11" t="s">
        <v>135</v>
      </c>
      <c r="AA200" s="20">
        <v>45268</v>
      </c>
      <c r="AB200" s="8">
        <v>9.1310868301653318</v>
      </c>
      <c r="AC200" s="33">
        <v>2</v>
      </c>
      <c r="AD200" s="31" t="s">
        <v>155</v>
      </c>
      <c r="AE200" s="31" t="s">
        <v>184</v>
      </c>
      <c r="AF200" s="31" t="s">
        <v>238</v>
      </c>
      <c r="AG200" s="31" t="s">
        <v>239</v>
      </c>
      <c r="AH200" s="6">
        <v>204</v>
      </c>
      <c r="AI200" s="2" t="s">
        <v>1361</v>
      </c>
      <c r="AJ200" s="2" t="s">
        <v>1696</v>
      </c>
    </row>
    <row r="201" spans="1:36">
      <c r="A201" s="4" t="s">
        <v>1066</v>
      </c>
      <c r="B201" s="20">
        <v>45111</v>
      </c>
      <c r="C201" s="2" t="s">
        <v>487</v>
      </c>
      <c r="D201" s="6">
        <v>2</v>
      </c>
      <c r="E201" s="6">
        <v>59</v>
      </c>
      <c r="F201" s="6">
        <v>5</v>
      </c>
      <c r="G201" s="8" t="s">
        <v>256</v>
      </c>
      <c r="H201" s="8" t="s">
        <v>256</v>
      </c>
      <c r="I201" s="2" t="s">
        <v>6</v>
      </c>
      <c r="J201" s="2" t="s">
        <v>254</v>
      </c>
      <c r="K201" s="6">
        <v>300</v>
      </c>
      <c r="L201" s="6">
        <v>2</v>
      </c>
      <c r="M201" s="6">
        <v>11</v>
      </c>
      <c r="N201" s="6" t="s">
        <v>493</v>
      </c>
      <c r="O201" s="6" t="s">
        <v>493</v>
      </c>
      <c r="P201" s="6" t="s">
        <v>493</v>
      </c>
      <c r="Q201" s="6" t="s">
        <v>493</v>
      </c>
      <c r="R201" s="8">
        <v>1.49</v>
      </c>
      <c r="S201" s="20">
        <v>45111</v>
      </c>
      <c r="T201" s="20">
        <v>45112</v>
      </c>
      <c r="U201" s="33">
        <v>1</v>
      </c>
      <c r="V201" s="8">
        <v>0.05</v>
      </c>
      <c r="W201" s="8" t="s">
        <v>256</v>
      </c>
      <c r="X201" s="2" t="s">
        <v>34</v>
      </c>
      <c r="Y201" s="2">
        <v>4</v>
      </c>
      <c r="Z201" s="11" t="s">
        <v>54</v>
      </c>
      <c r="AA201" s="20">
        <v>45279</v>
      </c>
      <c r="AB201" s="8">
        <v>21.716000000000001</v>
      </c>
      <c r="AC201" s="33">
        <v>4</v>
      </c>
      <c r="AD201" s="31" t="s">
        <v>204</v>
      </c>
      <c r="AE201" s="31" t="s">
        <v>205</v>
      </c>
      <c r="AF201" s="31" t="s">
        <v>173</v>
      </c>
      <c r="AG201" s="31" t="s">
        <v>221</v>
      </c>
      <c r="AH201" s="6">
        <v>361</v>
      </c>
      <c r="AI201" s="4" t="s">
        <v>1362</v>
      </c>
      <c r="AJ201" s="2" t="s">
        <v>1696</v>
      </c>
    </row>
    <row r="202" spans="1:36">
      <c r="A202" s="4" t="s">
        <v>1067</v>
      </c>
      <c r="B202" s="20">
        <v>45111</v>
      </c>
      <c r="C202" s="2" t="s">
        <v>487</v>
      </c>
      <c r="D202" s="6">
        <v>2</v>
      </c>
      <c r="E202" s="6">
        <v>61</v>
      </c>
      <c r="F202" s="6">
        <v>6</v>
      </c>
      <c r="G202" s="8" t="s">
        <v>256</v>
      </c>
      <c r="H202" s="8" t="s">
        <v>256</v>
      </c>
      <c r="I202" s="2" t="s">
        <v>5</v>
      </c>
      <c r="J202" s="2" t="s">
        <v>40</v>
      </c>
      <c r="K202" s="6">
        <v>300</v>
      </c>
      <c r="L202" s="6">
        <v>1</v>
      </c>
      <c r="M202" s="6">
        <v>1</v>
      </c>
      <c r="N202" s="6" t="s">
        <v>493</v>
      </c>
      <c r="O202" s="6" t="s">
        <v>493</v>
      </c>
      <c r="P202" s="6" t="s">
        <v>493</v>
      </c>
      <c r="Q202" s="6" t="s">
        <v>493</v>
      </c>
      <c r="R202" s="8">
        <v>1.81</v>
      </c>
      <c r="S202" s="20">
        <v>45111</v>
      </c>
      <c r="T202" s="20">
        <v>45112</v>
      </c>
      <c r="U202" s="33">
        <v>1</v>
      </c>
      <c r="V202" s="8">
        <v>0.05</v>
      </c>
      <c r="W202" s="8" t="s">
        <v>256</v>
      </c>
      <c r="X202" s="2" t="s">
        <v>34</v>
      </c>
      <c r="Y202" s="2">
        <v>4</v>
      </c>
      <c r="Z202" s="11" t="s">
        <v>56</v>
      </c>
      <c r="AA202" s="20">
        <v>45279</v>
      </c>
      <c r="AB202" s="8">
        <v>27.443999999999999</v>
      </c>
      <c r="AC202" s="33">
        <v>4</v>
      </c>
      <c r="AD202" s="31" t="s">
        <v>206</v>
      </c>
      <c r="AE202" s="31" t="s">
        <v>207</v>
      </c>
      <c r="AF202" s="31" t="s">
        <v>173</v>
      </c>
      <c r="AG202" s="31" t="s">
        <v>221</v>
      </c>
      <c r="AH202" s="6">
        <v>373</v>
      </c>
      <c r="AI202" s="4" t="s">
        <v>1363</v>
      </c>
      <c r="AJ202" s="2" t="s">
        <v>1696</v>
      </c>
    </row>
    <row r="203" spans="1:36">
      <c r="A203" s="2" t="s">
        <v>1068</v>
      </c>
      <c r="B203" s="20">
        <v>45111</v>
      </c>
      <c r="C203" s="2" t="s">
        <v>487</v>
      </c>
      <c r="D203" s="6">
        <v>2</v>
      </c>
      <c r="E203" s="6">
        <v>66</v>
      </c>
      <c r="F203" s="6">
        <v>6</v>
      </c>
      <c r="G203" s="8" t="s">
        <v>256</v>
      </c>
      <c r="H203" s="8" t="s">
        <v>256</v>
      </c>
      <c r="I203" s="2" t="s">
        <v>5</v>
      </c>
      <c r="J203" s="2" t="s">
        <v>254</v>
      </c>
      <c r="K203" s="6">
        <v>300</v>
      </c>
      <c r="L203" s="6">
        <v>1</v>
      </c>
      <c r="M203" s="6">
        <v>6</v>
      </c>
      <c r="N203" s="6" t="s">
        <v>493</v>
      </c>
      <c r="O203" s="6" t="s">
        <v>493</v>
      </c>
      <c r="P203" s="6" t="s">
        <v>493</v>
      </c>
      <c r="Q203" s="6" t="s">
        <v>493</v>
      </c>
      <c r="R203" s="8">
        <v>2.57</v>
      </c>
      <c r="S203" s="20">
        <v>45111</v>
      </c>
      <c r="T203" s="20">
        <v>45112</v>
      </c>
      <c r="U203" s="33">
        <v>1</v>
      </c>
      <c r="V203" s="8">
        <v>0.27</v>
      </c>
      <c r="W203" s="8" t="s">
        <v>256</v>
      </c>
      <c r="X203" s="2" t="s">
        <v>33</v>
      </c>
      <c r="Y203" s="2">
        <v>2</v>
      </c>
      <c r="Z203" s="11" t="s">
        <v>128</v>
      </c>
      <c r="AA203" s="20">
        <v>45268</v>
      </c>
      <c r="AB203" s="8">
        <v>17.596397510430638</v>
      </c>
      <c r="AC203" s="33">
        <v>2</v>
      </c>
      <c r="AD203" s="31" t="s">
        <v>156</v>
      </c>
      <c r="AE203" s="31" t="s">
        <v>185</v>
      </c>
      <c r="AF203" s="31" t="s">
        <v>238</v>
      </c>
      <c r="AG203" s="31" t="s">
        <v>239</v>
      </c>
      <c r="AH203" s="6">
        <v>216</v>
      </c>
      <c r="AI203" s="2" t="s">
        <v>1364</v>
      </c>
      <c r="AJ203" s="2" t="s">
        <v>1696</v>
      </c>
    </row>
    <row r="204" spans="1:36">
      <c r="A204" s="2" t="s">
        <v>1069</v>
      </c>
      <c r="B204" s="20">
        <v>45111</v>
      </c>
      <c r="C204" s="2" t="s">
        <v>487</v>
      </c>
      <c r="D204" s="6">
        <v>2</v>
      </c>
      <c r="E204" s="6">
        <v>68</v>
      </c>
      <c r="F204" s="6">
        <v>6</v>
      </c>
      <c r="G204" s="8" t="s">
        <v>256</v>
      </c>
      <c r="H204" s="8" t="s">
        <v>256</v>
      </c>
      <c r="I204" s="2" t="s">
        <v>5</v>
      </c>
      <c r="J204" s="2" t="s">
        <v>255</v>
      </c>
      <c r="K204" s="6">
        <v>300</v>
      </c>
      <c r="L204" s="6">
        <v>1</v>
      </c>
      <c r="M204" s="6">
        <v>8</v>
      </c>
      <c r="N204" s="6" t="s">
        <v>493</v>
      </c>
      <c r="O204" s="6" t="s">
        <v>493</v>
      </c>
      <c r="P204" s="6" t="s">
        <v>493</v>
      </c>
      <c r="Q204" s="6" t="s">
        <v>493</v>
      </c>
      <c r="R204" s="8">
        <v>2.65</v>
      </c>
      <c r="S204" s="20">
        <v>45111</v>
      </c>
      <c r="T204" s="20">
        <v>45112</v>
      </c>
      <c r="U204" s="33">
        <v>1</v>
      </c>
      <c r="V204" s="8">
        <v>0.28000000000000003</v>
      </c>
      <c r="W204" s="8" t="s">
        <v>256</v>
      </c>
      <c r="X204" s="2" t="s">
        <v>33</v>
      </c>
      <c r="Y204" s="2">
        <v>2</v>
      </c>
      <c r="Z204" s="11" t="s">
        <v>136</v>
      </c>
      <c r="AA204" s="20">
        <v>45268</v>
      </c>
      <c r="AB204" s="8">
        <v>17.981563275226648</v>
      </c>
      <c r="AC204" s="33">
        <v>2</v>
      </c>
      <c r="AD204" s="31" t="s">
        <v>157</v>
      </c>
      <c r="AE204" s="31" t="s">
        <v>186</v>
      </c>
      <c r="AF204" s="31" t="s">
        <v>238</v>
      </c>
      <c r="AG204" s="31" t="s">
        <v>239</v>
      </c>
      <c r="AH204" s="6">
        <v>228</v>
      </c>
      <c r="AI204" s="2" t="s">
        <v>1365</v>
      </c>
      <c r="AJ204" s="2" t="s">
        <v>1696</v>
      </c>
    </row>
    <row r="205" spans="1:36">
      <c r="A205" s="2" t="s">
        <v>1070</v>
      </c>
      <c r="B205" s="20">
        <v>45111</v>
      </c>
      <c r="C205" s="2" t="s">
        <v>487</v>
      </c>
      <c r="D205" s="6">
        <v>2</v>
      </c>
      <c r="E205" s="6">
        <v>72</v>
      </c>
      <c r="F205" s="6">
        <v>6</v>
      </c>
      <c r="G205" s="8" t="s">
        <v>256</v>
      </c>
      <c r="H205" s="8" t="s">
        <v>256</v>
      </c>
      <c r="I205" s="2" t="s">
        <v>5</v>
      </c>
      <c r="J205" s="2" t="s">
        <v>253</v>
      </c>
      <c r="K205" s="6">
        <v>300</v>
      </c>
      <c r="L205" s="6">
        <v>1</v>
      </c>
      <c r="M205" s="6">
        <v>12</v>
      </c>
      <c r="N205" s="6" t="s">
        <v>493</v>
      </c>
      <c r="O205" s="6" t="s">
        <v>493</v>
      </c>
      <c r="P205" s="6" t="s">
        <v>493</v>
      </c>
      <c r="Q205" s="6" t="s">
        <v>493</v>
      </c>
      <c r="R205" s="8">
        <v>2.82</v>
      </c>
      <c r="S205" s="20">
        <v>45111</v>
      </c>
      <c r="T205" s="20">
        <v>45112</v>
      </c>
      <c r="U205" s="33">
        <v>1</v>
      </c>
      <c r="V205" s="8">
        <v>2.1</v>
      </c>
      <c r="W205" s="8" t="s">
        <v>256</v>
      </c>
      <c r="X205" s="2" t="s">
        <v>33</v>
      </c>
      <c r="Y205" s="2">
        <v>2</v>
      </c>
      <c r="Z205" s="11" t="s">
        <v>129</v>
      </c>
      <c r="AA205" s="20">
        <v>45268</v>
      </c>
      <c r="AB205" s="8">
        <v>25.968526619692106</v>
      </c>
      <c r="AC205" s="33">
        <v>2</v>
      </c>
      <c r="AD205" s="31" t="s">
        <v>158</v>
      </c>
      <c r="AE205" s="31" t="s">
        <v>187</v>
      </c>
      <c r="AF205" s="31" t="s">
        <v>238</v>
      </c>
      <c r="AG205" s="31" t="s">
        <v>239</v>
      </c>
      <c r="AH205" s="6">
        <v>240</v>
      </c>
      <c r="AI205" s="2" t="s">
        <v>1366</v>
      </c>
      <c r="AJ205" s="2" t="s">
        <v>1696</v>
      </c>
    </row>
    <row r="206" spans="1:36">
      <c r="A206" s="2" t="s">
        <v>1071</v>
      </c>
      <c r="B206" s="20">
        <v>45111</v>
      </c>
      <c r="C206" s="2" t="s">
        <v>487</v>
      </c>
      <c r="D206" s="6">
        <v>3</v>
      </c>
      <c r="E206" s="6">
        <v>75</v>
      </c>
      <c r="F206" s="6">
        <v>7</v>
      </c>
      <c r="G206" s="8" t="s">
        <v>256</v>
      </c>
      <c r="H206" s="8" t="s">
        <v>256</v>
      </c>
      <c r="I206" s="2" t="s">
        <v>4</v>
      </c>
      <c r="J206" s="2" t="s">
        <v>255</v>
      </c>
      <c r="K206" s="6">
        <v>300</v>
      </c>
      <c r="L206" s="6">
        <v>6</v>
      </c>
      <c r="M206" s="6">
        <v>15</v>
      </c>
      <c r="N206" s="6" t="s">
        <v>493</v>
      </c>
      <c r="O206" s="6" t="s">
        <v>493</v>
      </c>
      <c r="P206" s="6" t="s">
        <v>493</v>
      </c>
      <c r="Q206" s="6" t="s">
        <v>493</v>
      </c>
      <c r="R206" s="8">
        <v>1.72</v>
      </c>
      <c r="S206" s="20">
        <v>45111</v>
      </c>
      <c r="T206" s="20">
        <v>45112</v>
      </c>
      <c r="U206" s="33">
        <v>1</v>
      </c>
      <c r="V206" s="8">
        <v>0.93</v>
      </c>
      <c r="W206" s="8" t="s">
        <v>256</v>
      </c>
      <c r="X206" s="2" t="s">
        <v>33</v>
      </c>
      <c r="Y206" s="2">
        <v>2</v>
      </c>
      <c r="Z206" s="11" t="s">
        <v>137</v>
      </c>
      <c r="AA206" s="20">
        <v>45268</v>
      </c>
      <c r="AB206" s="8">
        <v>18.86252551139313</v>
      </c>
      <c r="AC206" s="33">
        <v>2</v>
      </c>
      <c r="AD206" s="31" t="s">
        <v>159</v>
      </c>
      <c r="AE206" s="31" t="s">
        <v>188</v>
      </c>
      <c r="AF206" s="31" t="s">
        <v>238</v>
      </c>
      <c r="AG206" s="31" t="s">
        <v>239</v>
      </c>
      <c r="AH206" s="6">
        <v>252</v>
      </c>
      <c r="AI206" s="2" t="s">
        <v>1367</v>
      </c>
      <c r="AJ206" s="2" t="s">
        <v>1696</v>
      </c>
    </row>
    <row r="207" spans="1:36">
      <c r="A207" s="2" t="s">
        <v>1072</v>
      </c>
      <c r="B207" s="20">
        <v>45111</v>
      </c>
      <c r="C207" s="2" t="s">
        <v>487</v>
      </c>
      <c r="D207" s="6">
        <v>3</v>
      </c>
      <c r="E207" s="6">
        <v>80</v>
      </c>
      <c r="F207" s="6">
        <v>7</v>
      </c>
      <c r="G207" s="8" t="s">
        <v>256</v>
      </c>
      <c r="H207" s="8" t="s">
        <v>256</v>
      </c>
      <c r="I207" s="2" t="s">
        <v>4</v>
      </c>
      <c r="J207" s="2" t="s">
        <v>40</v>
      </c>
      <c r="K207" s="6">
        <v>300</v>
      </c>
      <c r="L207" s="6">
        <v>6</v>
      </c>
      <c r="M207" s="6">
        <v>20</v>
      </c>
      <c r="N207" s="6" t="s">
        <v>493</v>
      </c>
      <c r="O207" s="6" t="s">
        <v>493</v>
      </c>
      <c r="P207" s="6" t="s">
        <v>493</v>
      </c>
      <c r="Q207" s="6" t="s">
        <v>493</v>
      </c>
      <c r="R207" s="8">
        <v>1.82</v>
      </c>
      <c r="S207" s="20">
        <v>45111</v>
      </c>
      <c r="T207" s="20">
        <v>45112</v>
      </c>
      <c r="U207" s="33">
        <v>1</v>
      </c>
      <c r="V207" s="8">
        <v>0.15</v>
      </c>
      <c r="W207" s="8" t="s">
        <v>256</v>
      </c>
      <c r="X207" s="2" t="s">
        <v>33</v>
      </c>
      <c r="Y207" s="2">
        <v>3</v>
      </c>
      <c r="Z207" s="11" t="s">
        <v>41</v>
      </c>
      <c r="AA207" s="20">
        <v>45272</v>
      </c>
      <c r="AB207" s="8">
        <v>9.4070649084476941</v>
      </c>
      <c r="AC207" s="33">
        <v>3</v>
      </c>
      <c r="AD207" s="31" t="s">
        <v>42</v>
      </c>
      <c r="AE207" s="31" t="s">
        <v>193</v>
      </c>
      <c r="AF207" s="31" t="s">
        <v>163</v>
      </c>
      <c r="AG207" s="31" t="s">
        <v>209</v>
      </c>
      <c r="AH207" s="6">
        <v>97</v>
      </c>
      <c r="AI207" s="2" t="s">
        <v>1368</v>
      </c>
      <c r="AJ207" s="2" t="s">
        <v>1696</v>
      </c>
    </row>
    <row r="208" spans="1:36">
      <c r="A208" s="2" t="s">
        <v>1073</v>
      </c>
      <c r="B208" s="20">
        <v>45111</v>
      </c>
      <c r="C208" s="2" t="s">
        <v>487</v>
      </c>
      <c r="D208" s="6">
        <v>3</v>
      </c>
      <c r="E208" s="6">
        <v>81</v>
      </c>
      <c r="F208" s="6">
        <v>7</v>
      </c>
      <c r="G208" s="8" t="s">
        <v>256</v>
      </c>
      <c r="H208" s="8" t="s">
        <v>256</v>
      </c>
      <c r="I208" s="2" t="s">
        <v>4</v>
      </c>
      <c r="J208" s="2" t="s">
        <v>254</v>
      </c>
      <c r="K208" s="6">
        <v>300</v>
      </c>
      <c r="L208" s="6">
        <v>6</v>
      </c>
      <c r="M208" s="6">
        <v>21</v>
      </c>
      <c r="N208" s="6" t="s">
        <v>493</v>
      </c>
      <c r="O208" s="6" t="s">
        <v>493</v>
      </c>
      <c r="P208" s="6" t="s">
        <v>493</v>
      </c>
      <c r="Q208" s="6" t="s">
        <v>493</v>
      </c>
      <c r="R208" s="8">
        <v>1.32</v>
      </c>
      <c r="S208" s="20">
        <v>45111</v>
      </c>
      <c r="T208" s="20">
        <v>45112</v>
      </c>
      <c r="U208" s="33">
        <v>1</v>
      </c>
      <c r="V208" s="8">
        <v>0.41</v>
      </c>
      <c r="W208" s="8" t="s">
        <v>256</v>
      </c>
      <c r="X208" s="2" t="s">
        <v>33</v>
      </c>
      <c r="Y208" s="2">
        <v>3</v>
      </c>
      <c r="Z208" s="11" t="s">
        <v>44</v>
      </c>
      <c r="AA208" s="20">
        <v>45272</v>
      </c>
      <c r="AB208" s="8">
        <v>22.306602409779199</v>
      </c>
      <c r="AC208" s="33">
        <v>3</v>
      </c>
      <c r="AD208" s="31" t="s">
        <v>194</v>
      </c>
      <c r="AE208" s="31" t="s">
        <v>195</v>
      </c>
      <c r="AF208" s="31" t="s">
        <v>163</v>
      </c>
      <c r="AG208" s="31" t="s">
        <v>209</v>
      </c>
      <c r="AH208" s="6">
        <v>109</v>
      </c>
      <c r="AI208" s="2" t="s">
        <v>1369</v>
      </c>
      <c r="AJ208" s="2" t="s">
        <v>1696</v>
      </c>
    </row>
    <row r="209" spans="1:36">
      <c r="A209" s="2" t="s">
        <v>1074</v>
      </c>
      <c r="B209" s="20">
        <v>45111</v>
      </c>
      <c r="C209" s="2" t="s">
        <v>487</v>
      </c>
      <c r="D209" s="6">
        <v>3</v>
      </c>
      <c r="E209" s="6">
        <v>82</v>
      </c>
      <c r="F209" s="6">
        <v>7</v>
      </c>
      <c r="G209" s="8" t="s">
        <v>256</v>
      </c>
      <c r="H209" s="8" t="s">
        <v>256</v>
      </c>
      <c r="I209" s="2" t="s">
        <v>4</v>
      </c>
      <c r="J209" s="2" t="s">
        <v>253</v>
      </c>
      <c r="K209" s="6">
        <v>300</v>
      </c>
      <c r="L209" s="6">
        <v>6</v>
      </c>
      <c r="M209" s="6">
        <v>22</v>
      </c>
      <c r="N209" s="6" t="s">
        <v>493</v>
      </c>
      <c r="O209" s="6" t="s">
        <v>493</v>
      </c>
      <c r="P209" s="6" t="s">
        <v>493</v>
      </c>
      <c r="Q209" s="6" t="s">
        <v>493</v>
      </c>
      <c r="R209" s="8">
        <v>2.1</v>
      </c>
      <c r="S209" s="20">
        <v>45111</v>
      </c>
      <c r="T209" s="20">
        <v>45112</v>
      </c>
      <c r="U209" s="33">
        <v>1</v>
      </c>
      <c r="V209" s="8">
        <v>0.5</v>
      </c>
      <c r="W209" s="8" t="s">
        <v>256</v>
      </c>
      <c r="X209" s="2" t="s">
        <v>33</v>
      </c>
      <c r="Y209" s="2">
        <v>3</v>
      </c>
      <c r="Z209" s="11" t="s">
        <v>46</v>
      </c>
      <c r="AA209" s="20">
        <v>45272</v>
      </c>
      <c r="AB209" s="8">
        <v>19.145166464708705</v>
      </c>
      <c r="AC209" s="33">
        <v>3</v>
      </c>
      <c r="AD209" s="31" t="s">
        <v>196</v>
      </c>
      <c r="AE209" s="31" t="s">
        <v>197</v>
      </c>
      <c r="AF209" s="31" t="s">
        <v>163</v>
      </c>
      <c r="AG209" s="31" t="s">
        <v>209</v>
      </c>
      <c r="AH209" s="6">
        <v>121</v>
      </c>
      <c r="AI209" s="2" t="s">
        <v>1370</v>
      </c>
      <c r="AJ209" s="2" t="s">
        <v>1696</v>
      </c>
    </row>
    <row r="210" spans="1:36">
      <c r="A210" s="2" t="s">
        <v>1075</v>
      </c>
      <c r="B210" s="20">
        <v>45111</v>
      </c>
      <c r="C210" s="2" t="s">
        <v>487</v>
      </c>
      <c r="D210" s="6">
        <v>3</v>
      </c>
      <c r="E210" s="6">
        <v>87</v>
      </c>
      <c r="F210" s="6">
        <v>8</v>
      </c>
      <c r="G210" s="8" t="s">
        <v>256</v>
      </c>
      <c r="H210" s="8" t="s">
        <v>256</v>
      </c>
      <c r="I210" s="2" t="s">
        <v>6</v>
      </c>
      <c r="J210" s="2" t="s">
        <v>254</v>
      </c>
      <c r="K210" s="6">
        <v>300</v>
      </c>
      <c r="L210" s="6">
        <v>5</v>
      </c>
      <c r="M210" s="6">
        <v>15</v>
      </c>
      <c r="N210" s="6" t="s">
        <v>493</v>
      </c>
      <c r="O210" s="6" t="s">
        <v>493</v>
      </c>
      <c r="P210" s="6" t="s">
        <v>493</v>
      </c>
      <c r="Q210" s="6" t="s">
        <v>493</v>
      </c>
      <c r="R210" s="8">
        <v>1.26</v>
      </c>
      <c r="S210" s="20">
        <v>45111</v>
      </c>
      <c r="T210" s="20">
        <v>45112</v>
      </c>
      <c r="U210" s="33">
        <v>1</v>
      </c>
      <c r="V210" s="8">
        <v>0.2</v>
      </c>
      <c r="W210" s="8" t="s">
        <v>256</v>
      </c>
      <c r="X210" s="2" t="s">
        <v>33</v>
      </c>
      <c r="Y210" s="2">
        <v>3</v>
      </c>
      <c r="Z210" s="11" t="s">
        <v>48</v>
      </c>
      <c r="AA210" s="20">
        <v>45272</v>
      </c>
      <c r="AB210" s="8">
        <v>12.142033597494207</v>
      </c>
      <c r="AC210" s="33">
        <v>3</v>
      </c>
      <c r="AD210" s="31" t="s">
        <v>198</v>
      </c>
      <c r="AE210" s="31" t="s">
        <v>199</v>
      </c>
      <c r="AF210" s="31" t="s">
        <v>163</v>
      </c>
      <c r="AG210" s="31" t="s">
        <v>209</v>
      </c>
      <c r="AH210" s="6">
        <v>133</v>
      </c>
      <c r="AI210" s="2" t="s">
        <v>1371</v>
      </c>
      <c r="AJ210" s="2" t="s">
        <v>1696</v>
      </c>
    </row>
    <row r="211" spans="1:36">
      <c r="A211" s="4" t="s">
        <v>1076</v>
      </c>
      <c r="B211" s="20">
        <v>45111</v>
      </c>
      <c r="C211" s="2" t="s">
        <v>487</v>
      </c>
      <c r="D211" s="6">
        <v>3</v>
      </c>
      <c r="E211" s="6">
        <v>88</v>
      </c>
      <c r="F211" s="6">
        <v>8</v>
      </c>
      <c r="G211" s="8" t="s">
        <v>256</v>
      </c>
      <c r="H211" s="8" t="s">
        <v>256</v>
      </c>
      <c r="I211" s="2" t="s">
        <v>6</v>
      </c>
      <c r="J211" s="2" t="s">
        <v>253</v>
      </c>
      <c r="K211" s="6">
        <v>300</v>
      </c>
      <c r="L211" s="6">
        <v>5</v>
      </c>
      <c r="M211" s="6">
        <v>16</v>
      </c>
      <c r="N211" s="6" t="s">
        <v>493</v>
      </c>
      <c r="O211" s="6" t="s">
        <v>493</v>
      </c>
      <c r="P211" s="6" t="s">
        <v>493</v>
      </c>
      <c r="Q211" s="6" t="s">
        <v>493</v>
      </c>
      <c r="R211" s="8">
        <v>1.78</v>
      </c>
      <c r="S211" s="20">
        <v>45111</v>
      </c>
      <c r="T211" s="20">
        <v>45112</v>
      </c>
      <c r="U211" s="33">
        <v>1</v>
      </c>
      <c r="V211" s="8">
        <v>7.0000000000000007E-2</v>
      </c>
      <c r="W211" s="8" t="s">
        <v>256</v>
      </c>
      <c r="X211" s="2" t="s">
        <v>34</v>
      </c>
      <c r="Y211" s="2">
        <v>4</v>
      </c>
      <c r="Z211" s="11" t="s">
        <v>143</v>
      </c>
      <c r="AA211" s="20">
        <v>45279</v>
      </c>
      <c r="AB211" s="8">
        <v>3.7269999999999999</v>
      </c>
      <c r="AC211" s="33">
        <v>4</v>
      </c>
      <c r="AD211" s="31" t="s">
        <v>198</v>
      </c>
      <c r="AE211" s="31" t="s">
        <v>199</v>
      </c>
      <c r="AF211" s="31" t="s">
        <v>174</v>
      </c>
      <c r="AG211" s="31" t="s">
        <v>222</v>
      </c>
      <c r="AH211" s="6">
        <v>326</v>
      </c>
      <c r="AI211" s="4" t="s">
        <v>1372</v>
      </c>
      <c r="AJ211" s="2" t="s">
        <v>1696</v>
      </c>
    </row>
    <row r="212" spans="1:36">
      <c r="A212" s="2" t="s">
        <v>1077</v>
      </c>
      <c r="B212" s="20">
        <v>45111</v>
      </c>
      <c r="C212" s="2" t="s">
        <v>487</v>
      </c>
      <c r="D212" s="6">
        <v>3</v>
      </c>
      <c r="E212" s="6">
        <v>89</v>
      </c>
      <c r="F212" s="6">
        <v>8</v>
      </c>
      <c r="G212" s="8" t="s">
        <v>256</v>
      </c>
      <c r="H212" s="8" t="s">
        <v>256</v>
      </c>
      <c r="I212" s="2" t="s">
        <v>6</v>
      </c>
      <c r="J212" s="2" t="s">
        <v>255</v>
      </c>
      <c r="K212" s="6">
        <v>300</v>
      </c>
      <c r="L212" s="6">
        <v>5</v>
      </c>
      <c r="M212" s="6">
        <v>17</v>
      </c>
      <c r="N212" s="6" t="s">
        <v>493</v>
      </c>
      <c r="O212" s="6" t="s">
        <v>493</v>
      </c>
      <c r="P212" s="6" t="s">
        <v>493</v>
      </c>
      <c r="Q212" s="6" t="s">
        <v>493</v>
      </c>
      <c r="R212" s="8">
        <v>2.2799999999999998</v>
      </c>
      <c r="S212" s="20">
        <v>45111</v>
      </c>
      <c r="T212" s="20">
        <v>45112</v>
      </c>
      <c r="U212" s="33">
        <v>1</v>
      </c>
      <c r="V212" s="8">
        <v>0.2</v>
      </c>
      <c r="W212" s="8" t="s">
        <v>256</v>
      </c>
      <c r="X212" s="2" t="s">
        <v>33</v>
      </c>
      <c r="Y212" s="2">
        <v>3</v>
      </c>
      <c r="Z212" s="11" t="s">
        <v>50</v>
      </c>
      <c r="AA212" s="20">
        <v>45272</v>
      </c>
      <c r="AB212" s="8">
        <v>12.156062605647499</v>
      </c>
      <c r="AC212" s="33">
        <v>3</v>
      </c>
      <c r="AD212" s="31" t="s">
        <v>200</v>
      </c>
      <c r="AE212" s="31" t="s">
        <v>201</v>
      </c>
      <c r="AF212" s="31" t="s">
        <v>163</v>
      </c>
      <c r="AG212" s="31" t="s">
        <v>209</v>
      </c>
      <c r="AH212" s="6">
        <v>145</v>
      </c>
      <c r="AI212" s="2" t="s">
        <v>1373</v>
      </c>
      <c r="AJ212" s="2" t="s">
        <v>1696</v>
      </c>
    </row>
    <row r="213" spans="1:36">
      <c r="A213" s="2" t="s">
        <v>1078</v>
      </c>
      <c r="B213" s="20">
        <v>45111</v>
      </c>
      <c r="C213" s="2" t="s">
        <v>487</v>
      </c>
      <c r="D213" s="6">
        <v>3</v>
      </c>
      <c r="E213" s="6">
        <v>91</v>
      </c>
      <c r="F213" s="6">
        <v>8</v>
      </c>
      <c r="G213" s="8" t="s">
        <v>256</v>
      </c>
      <c r="H213" s="8" t="s">
        <v>256</v>
      </c>
      <c r="I213" s="2" t="s">
        <v>6</v>
      </c>
      <c r="J213" s="2" t="s">
        <v>40</v>
      </c>
      <c r="K213" s="6">
        <v>300</v>
      </c>
      <c r="L213" s="6">
        <v>5</v>
      </c>
      <c r="M213" s="6">
        <v>19</v>
      </c>
      <c r="N213" s="6" t="s">
        <v>493</v>
      </c>
      <c r="O213" s="6" t="s">
        <v>493</v>
      </c>
      <c r="P213" s="6" t="s">
        <v>493</v>
      </c>
      <c r="Q213" s="6" t="s">
        <v>493</v>
      </c>
      <c r="R213" s="8">
        <v>0.45</v>
      </c>
      <c r="S213" s="20">
        <v>45111</v>
      </c>
      <c r="T213" s="20">
        <v>45112</v>
      </c>
      <c r="U213" s="33">
        <v>1</v>
      </c>
      <c r="V213" s="8">
        <v>0.04</v>
      </c>
      <c r="W213" s="8" t="s">
        <v>256</v>
      </c>
      <c r="X213" s="2" t="s">
        <v>34</v>
      </c>
      <c r="Y213" s="2">
        <v>4</v>
      </c>
      <c r="Z213" s="11" t="s">
        <v>50</v>
      </c>
      <c r="AA213" s="20">
        <v>45279</v>
      </c>
      <c r="AB213" s="8">
        <v>2.335</v>
      </c>
      <c r="AC213" s="33">
        <v>4</v>
      </c>
      <c r="AD213" s="31" t="s">
        <v>200</v>
      </c>
      <c r="AE213" s="31" t="s">
        <v>201</v>
      </c>
      <c r="AF213" s="31" t="s">
        <v>173</v>
      </c>
      <c r="AG213" s="31" t="s">
        <v>221</v>
      </c>
      <c r="AH213" s="6">
        <v>337</v>
      </c>
      <c r="AI213" s="2" t="s">
        <v>1374</v>
      </c>
      <c r="AJ213" s="2" t="s">
        <v>1696</v>
      </c>
    </row>
    <row r="214" spans="1:36">
      <c r="A214" s="2" t="s">
        <v>1079</v>
      </c>
      <c r="B214" s="20">
        <v>45111</v>
      </c>
      <c r="C214" s="2" t="s">
        <v>487</v>
      </c>
      <c r="D214" s="6">
        <v>3</v>
      </c>
      <c r="E214" s="6">
        <v>98</v>
      </c>
      <c r="F214" s="6">
        <v>9</v>
      </c>
      <c r="G214" s="8" t="s">
        <v>256</v>
      </c>
      <c r="H214" s="8" t="s">
        <v>256</v>
      </c>
      <c r="I214" s="2" t="s">
        <v>5</v>
      </c>
      <c r="J214" s="2" t="s">
        <v>253</v>
      </c>
      <c r="K214" s="6">
        <v>300</v>
      </c>
      <c r="L214" s="6">
        <v>4</v>
      </c>
      <c r="M214" s="6">
        <v>14</v>
      </c>
      <c r="N214" s="6" t="s">
        <v>493</v>
      </c>
      <c r="O214" s="6" t="s">
        <v>493</v>
      </c>
      <c r="P214" s="6" t="s">
        <v>493</v>
      </c>
      <c r="Q214" s="6" t="s">
        <v>493</v>
      </c>
      <c r="R214" s="8">
        <v>4.5599999999999996</v>
      </c>
      <c r="S214" s="20">
        <v>45111</v>
      </c>
      <c r="T214" s="20">
        <v>45112</v>
      </c>
      <c r="U214" s="33">
        <v>1</v>
      </c>
      <c r="V214" s="8">
        <v>1.42</v>
      </c>
      <c r="W214" s="8" t="s">
        <v>256</v>
      </c>
      <c r="X214" s="2" t="s">
        <v>33</v>
      </c>
      <c r="Y214" s="2">
        <v>3</v>
      </c>
      <c r="Z214" s="11" t="s">
        <v>52</v>
      </c>
      <c r="AA214" s="20">
        <v>45272</v>
      </c>
      <c r="AB214" s="8">
        <v>18.787124497337302</v>
      </c>
      <c r="AC214" s="33">
        <v>3</v>
      </c>
      <c r="AD214" s="31" t="s">
        <v>202</v>
      </c>
      <c r="AE214" s="31" t="s">
        <v>203</v>
      </c>
      <c r="AF214" s="31" t="s">
        <v>163</v>
      </c>
      <c r="AG214" s="31" t="s">
        <v>209</v>
      </c>
      <c r="AH214" s="6">
        <v>157</v>
      </c>
      <c r="AI214" s="2" t="s">
        <v>1375</v>
      </c>
      <c r="AJ214" s="2" t="s">
        <v>1696</v>
      </c>
    </row>
    <row r="215" spans="1:36">
      <c r="A215" s="2" t="s">
        <v>1080</v>
      </c>
      <c r="B215" s="20">
        <v>45111</v>
      </c>
      <c r="C215" s="2" t="s">
        <v>487</v>
      </c>
      <c r="D215" s="6">
        <v>3</v>
      </c>
      <c r="E215" s="6">
        <v>100</v>
      </c>
      <c r="F215" s="6">
        <v>9</v>
      </c>
      <c r="G215" s="8" t="s">
        <v>256</v>
      </c>
      <c r="H215" s="8" t="s">
        <v>256</v>
      </c>
      <c r="I215" s="2" t="s">
        <v>5</v>
      </c>
      <c r="J215" s="2" t="s">
        <v>40</v>
      </c>
      <c r="K215" s="6">
        <v>300</v>
      </c>
      <c r="L215" s="6">
        <v>4</v>
      </c>
      <c r="M215" s="6">
        <v>16</v>
      </c>
      <c r="N215" s="6" t="s">
        <v>493</v>
      </c>
      <c r="O215" s="6" t="s">
        <v>493</v>
      </c>
      <c r="P215" s="6" t="s">
        <v>493</v>
      </c>
      <c r="Q215" s="6" t="s">
        <v>493</v>
      </c>
      <c r="R215" s="8">
        <v>1.62</v>
      </c>
      <c r="S215" s="20">
        <v>45111</v>
      </c>
      <c r="T215" s="20">
        <v>45112</v>
      </c>
      <c r="U215" s="33">
        <v>1</v>
      </c>
      <c r="V215" s="8">
        <v>0.25</v>
      </c>
      <c r="W215" s="8" t="s">
        <v>256</v>
      </c>
      <c r="X215" s="2" t="s">
        <v>33</v>
      </c>
      <c r="Y215" s="2">
        <v>3</v>
      </c>
      <c r="Z215" s="11" t="s">
        <v>54</v>
      </c>
      <c r="AA215" s="20">
        <v>45272</v>
      </c>
      <c r="AB215" s="8">
        <v>20.10117145344902</v>
      </c>
      <c r="AC215" s="33">
        <v>3</v>
      </c>
      <c r="AD215" s="31" t="s">
        <v>204</v>
      </c>
      <c r="AE215" s="31" t="s">
        <v>205</v>
      </c>
      <c r="AF215" s="31" t="s">
        <v>163</v>
      </c>
      <c r="AG215" s="31" t="s">
        <v>209</v>
      </c>
      <c r="AH215" s="6">
        <v>169</v>
      </c>
      <c r="AI215" s="2" t="s">
        <v>1376</v>
      </c>
      <c r="AJ215" s="2" t="s">
        <v>1696</v>
      </c>
    </row>
    <row r="216" spans="1:36">
      <c r="A216" s="2" t="s">
        <v>1081</v>
      </c>
      <c r="B216" s="20">
        <v>45111</v>
      </c>
      <c r="C216" s="2" t="s">
        <v>487</v>
      </c>
      <c r="D216" s="6">
        <v>3</v>
      </c>
      <c r="E216" s="6">
        <v>104</v>
      </c>
      <c r="F216" s="6">
        <v>9</v>
      </c>
      <c r="G216" s="8" t="s">
        <v>256</v>
      </c>
      <c r="H216" s="8" t="s">
        <v>256</v>
      </c>
      <c r="I216" s="2" t="s">
        <v>5</v>
      </c>
      <c r="J216" s="2" t="s">
        <v>254</v>
      </c>
      <c r="K216" s="6">
        <v>300</v>
      </c>
      <c r="L216" s="6">
        <v>4</v>
      </c>
      <c r="M216" s="6">
        <v>20</v>
      </c>
      <c r="N216" s="6" t="s">
        <v>493</v>
      </c>
      <c r="O216" s="6" t="s">
        <v>493</v>
      </c>
      <c r="P216" s="6" t="s">
        <v>493</v>
      </c>
      <c r="Q216" s="6" t="s">
        <v>493</v>
      </c>
      <c r="R216" s="8">
        <v>2.35</v>
      </c>
      <c r="S216" s="20">
        <v>45111</v>
      </c>
      <c r="T216" s="20">
        <v>45112</v>
      </c>
      <c r="U216" s="33">
        <v>1</v>
      </c>
      <c r="V216" s="8">
        <v>0.57999999999999996</v>
      </c>
      <c r="W216" s="8" t="s">
        <v>256</v>
      </c>
      <c r="X216" s="2" t="s">
        <v>33</v>
      </c>
      <c r="Y216" s="2">
        <v>3</v>
      </c>
      <c r="Z216" s="11" t="s">
        <v>56</v>
      </c>
      <c r="AA216" s="20">
        <v>45272</v>
      </c>
      <c r="AB216" s="8">
        <v>17.771907922178819</v>
      </c>
      <c r="AC216" s="33">
        <v>3</v>
      </c>
      <c r="AD216" s="31" t="s">
        <v>206</v>
      </c>
      <c r="AE216" s="31" t="s">
        <v>207</v>
      </c>
      <c r="AF216" s="31" t="s">
        <v>163</v>
      </c>
      <c r="AG216" s="31" t="s">
        <v>209</v>
      </c>
      <c r="AH216" s="6">
        <v>181</v>
      </c>
      <c r="AI216" s="2" t="s">
        <v>1377</v>
      </c>
      <c r="AJ216" s="2" t="s">
        <v>1696</v>
      </c>
    </row>
    <row r="217" spans="1:36">
      <c r="A217" s="2" t="s">
        <v>1082</v>
      </c>
      <c r="B217" s="20">
        <v>45111</v>
      </c>
      <c r="C217" s="2" t="s">
        <v>487</v>
      </c>
      <c r="D217" s="6">
        <v>3</v>
      </c>
      <c r="E217" s="6">
        <v>107</v>
      </c>
      <c r="F217" s="6">
        <v>9</v>
      </c>
      <c r="G217" s="8" t="s">
        <v>256</v>
      </c>
      <c r="H217" s="8" t="s">
        <v>256</v>
      </c>
      <c r="I217" s="2" t="s">
        <v>5</v>
      </c>
      <c r="J217" s="2" t="s">
        <v>255</v>
      </c>
      <c r="K217" s="6">
        <v>300</v>
      </c>
      <c r="L217" s="6">
        <v>4</v>
      </c>
      <c r="M217" s="6">
        <v>23</v>
      </c>
      <c r="N217" s="6" t="s">
        <v>493</v>
      </c>
      <c r="O217" s="6" t="s">
        <v>493</v>
      </c>
      <c r="P217" s="6" t="s">
        <v>493</v>
      </c>
      <c r="Q217" s="6" t="s">
        <v>493</v>
      </c>
      <c r="R217" s="8">
        <v>2.25</v>
      </c>
      <c r="S217" s="20">
        <v>45111</v>
      </c>
      <c r="T217" s="20">
        <v>45112</v>
      </c>
      <c r="U217" s="33">
        <v>1</v>
      </c>
      <c r="V217" s="8">
        <v>0.82</v>
      </c>
      <c r="W217" s="8" t="s">
        <v>256</v>
      </c>
      <c r="X217" s="2" t="s">
        <v>33</v>
      </c>
      <c r="Y217" s="2">
        <v>3</v>
      </c>
      <c r="Z217" s="11" t="s">
        <v>79</v>
      </c>
      <c r="AA217" s="20">
        <v>45272</v>
      </c>
      <c r="AB217" s="8">
        <v>33.330546987484162</v>
      </c>
      <c r="AC217" s="33">
        <v>3</v>
      </c>
      <c r="AD217" s="31" t="s">
        <v>42</v>
      </c>
      <c r="AE217" s="31" t="s">
        <v>193</v>
      </c>
      <c r="AF217" s="31" t="s">
        <v>164</v>
      </c>
      <c r="AG217" s="31" t="s">
        <v>210</v>
      </c>
      <c r="AH217" s="6">
        <v>98</v>
      </c>
      <c r="AI217" s="2" t="s">
        <v>1378</v>
      </c>
      <c r="AJ217" s="2" t="s">
        <v>1696</v>
      </c>
    </row>
    <row r="218" spans="1:36">
      <c r="A218" s="2" t="s">
        <v>1083</v>
      </c>
      <c r="B218" s="20">
        <v>45118</v>
      </c>
      <c r="C218" s="2" t="s">
        <v>487</v>
      </c>
      <c r="D218" s="6">
        <v>1</v>
      </c>
      <c r="E218" s="6">
        <v>3</v>
      </c>
      <c r="F218" s="6">
        <v>1</v>
      </c>
      <c r="G218" s="8" t="s">
        <v>256</v>
      </c>
      <c r="H218" s="8" t="s">
        <v>256</v>
      </c>
      <c r="I218" s="2" t="s">
        <v>5</v>
      </c>
      <c r="J218" s="2" t="s">
        <v>40</v>
      </c>
      <c r="K218" s="6">
        <v>300</v>
      </c>
      <c r="L218" s="6">
        <v>6</v>
      </c>
      <c r="M218" s="6">
        <v>3</v>
      </c>
      <c r="N218" s="6" t="s">
        <v>493</v>
      </c>
      <c r="O218" s="6" t="s">
        <v>493</v>
      </c>
      <c r="P218" s="6" t="s">
        <v>493</v>
      </c>
      <c r="Q218" s="6" t="s">
        <v>493</v>
      </c>
      <c r="R218" s="8">
        <v>2.0499999999999998</v>
      </c>
      <c r="S218" s="20">
        <v>45118</v>
      </c>
      <c r="T218" s="20">
        <v>45119</v>
      </c>
      <c r="U218" s="33">
        <v>1</v>
      </c>
      <c r="V218" s="8">
        <v>0.4</v>
      </c>
      <c r="W218" s="8" t="s">
        <v>256</v>
      </c>
      <c r="X218" s="2" t="s">
        <v>33</v>
      </c>
      <c r="Y218" s="2">
        <v>3</v>
      </c>
      <c r="Z218" s="11" t="s">
        <v>78</v>
      </c>
      <c r="AA218" s="20">
        <v>45272</v>
      </c>
      <c r="AB218" s="8">
        <v>33.092053848878187</v>
      </c>
      <c r="AC218" s="33">
        <v>3</v>
      </c>
      <c r="AD218" s="31" t="s">
        <v>194</v>
      </c>
      <c r="AE218" s="31" t="s">
        <v>195</v>
      </c>
      <c r="AF218" s="31" t="s">
        <v>164</v>
      </c>
      <c r="AG218" s="31" t="s">
        <v>210</v>
      </c>
      <c r="AH218" s="6">
        <v>110</v>
      </c>
      <c r="AI218" s="2" t="s">
        <v>1379</v>
      </c>
      <c r="AJ218" s="2" t="s">
        <v>1696</v>
      </c>
    </row>
    <row r="219" spans="1:36">
      <c r="A219" s="2" t="s">
        <v>1084</v>
      </c>
      <c r="B219" s="20">
        <v>45118</v>
      </c>
      <c r="C219" s="2" t="s">
        <v>487</v>
      </c>
      <c r="D219" s="6">
        <v>1</v>
      </c>
      <c r="E219" s="6">
        <v>5</v>
      </c>
      <c r="F219" s="6">
        <v>1</v>
      </c>
      <c r="G219" s="8" t="s">
        <v>256</v>
      </c>
      <c r="H219" s="8" t="s">
        <v>256</v>
      </c>
      <c r="I219" s="2" t="s">
        <v>5</v>
      </c>
      <c r="J219" s="2" t="s">
        <v>255</v>
      </c>
      <c r="K219" s="6">
        <v>300</v>
      </c>
      <c r="L219" s="6">
        <v>6</v>
      </c>
      <c r="M219" s="6">
        <v>5</v>
      </c>
      <c r="N219" s="6" t="s">
        <v>493</v>
      </c>
      <c r="O219" s="6" t="s">
        <v>493</v>
      </c>
      <c r="P219" s="6" t="s">
        <v>493</v>
      </c>
      <c r="Q219" s="6" t="s">
        <v>493</v>
      </c>
      <c r="R219" s="8">
        <v>4.09</v>
      </c>
      <c r="S219" s="20">
        <v>45118</v>
      </c>
      <c r="T219" s="20">
        <v>45119</v>
      </c>
      <c r="U219" s="33">
        <v>1</v>
      </c>
      <c r="V219" s="8">
        <v>1.98</v>
      </c>
      <c r="W219" s="8" t="s">
        <v>256</v>
      </c>
      <c r="X219" s="2" t="s">
        <v>33</v>
      </c>
      <c r="Y219" s="2">
        <v>3</v>
      </c>
      <c r="Z219" s="11" t="s">
        <v>80</v>
      </c>
      <c r="AA219" s="20">
        <v>45272</v>
      </c>
      <c r="AB219" s="8">
        <v>31.776214181471996</v>
      </c>
      <c r="AC219" s="33">
        <v>3</v>
      </c>
      <c r="AD219" s="31" t="s">
        <v>196</v>
      </c>
      <c r="AE219" s="31" t="s">
        <v>197</v>
      </c>
      <c r="AF219" s="31" t="s">
        <v>164</v>
      </c>
      <c r="AG219" s="31" t="s">
        <v>210</v>
      </c>
      <c r="AH219" s="6">
        <v>122</v>
      </c>
      <c r="AI219" s="2" t="s">
        <v>1380</v>
      </c>
      <c r="AJ219" s="2" t="s">
        <v>1696</v>
      </c>
    </row>
    <row r="220" spans="1:36">
      <c r="A220" s="2" t="s">
        <v>1085</v>
      </c>
      <c r="B220" s="20">
        <v>45118</v>
      </c>
      <c r="C220" s="2" t="s">
        <v>487</v>
      </c>
      <c r="D220" s="6">
        <v>1</v>
      </c>
      <c r="E220" s="6">
        <v>9</v>
      </c>
      <c r="F220" s="6">
        <v>1</v>
      </c>
      <c r="G220" s="8" t="s">
        <v>256</v>
      </c>
      <c r="H220" s="8" t="s">
        <v>256</v>
      </c>
      <c r="I220" s="2" t="s">
        <v>5</v>
      </c>
      <c r="J220" s="2" t="s">
        <v>254</v>
      </c>
      <c r="K220" s="6">
        <v>300</v>
      </c>
      <c r="L220" s="6">
        <v>6</v>
      </c>
      <c r="M220" s="6">
        <v>9</v>
      </c>
      <c r="N220" s="6" t="s">
        <v>493</v>
      </c>
      <c r="O220" s="6" t="s">
        <v>493</v>
      </c>
      <c r="P220" s="6" t="s">
        <v>493</v>
      </c>
      <c r="Q220" s="6" t="s">
        <v>493</v>
      </c>
      <c r="R220" s="8">
        <v>3.79</v>
      </c>
      <c r="S220" s="20">
        <v>45118</v>
      </c>
      <c r="T220" s="20">
        <v>45119</v>
      </c>
      <c r="U220" s="33">
        <v>1</v>
      </c>
      <c r="V220" s="8">
        <v>1.85</v>
      </c>
      <c r="W220" s="8" t="s">
        <v>256</v>
      </c>
      <c r="X220" s="2" t="s">
        <v>33</v>
      </c>
      <c r="Y220" s="2">
        <v>3</v>
      </c>
      <c r="Z220" s="11" t="s">
        <v>143</v>
      </c>
      <c r="AA220" s="20">
        <v>45272</v>
      </c>
      <c r="AB220" s="8">
        <v>30.165296319542868</v>
      </c>
      <c r="AC220" s="33">
        <v>3</v>
      </c>
      <c r="AD220" s="31" t="s">
        <v>198</v>
      </c>
      <c r="AE220" s="31" t="s">
        <v>199</v>
      </c>
      <c r="AF220" s="31" t="s">
        <v>164</v>
      </c>
      <c r="AG220" s="31" t="s">
        <v>210</v>
      </c>
      <c r="AH220" s="6">
        <v>134</v>
      </c>
      <c r="AI220" s="2" t="s">
        <v>1381</v>
      </c>
      <c r="AJ220" s="2" t="s">
        <v>1696</v>
      </c>
    </row>
    <row r="221" spans="1:36">
      <c r="A221" s="2" t="s">
        <v>1086</v>
      </c>
      <c r="B221" s="20">
        <v>45118</v>
      </c>
      <c r="C221" s="2" t="s">
        <v>487</v>
      </c>
      <c r="D221" s="6">
        <v>1</v>
      </c>
      <c r="E221" s="6">
        <v>10</v>
      </c>
      <c r="F221" s="6">
        <v>1</v>
      </c>
      <c r="G221" s="8" t="s">
        <v>256</v>
      </c>
      <c r="H221" s="8" t="s">
        <v>256</v>
      </c>
      <c r="I221" s="2" t="s">
        <v>5</v>
      </c>
      <c r="J221" s="2" t="s">
        <v>253</v>
      </c>
      <c r="K221" s="6">
        <v>300</v>
      </c>
      <c r="L221" s="6">
        <v>6</v>
      </c>
      <c r="M221" s="6">
        <v>10</v>
      </c>
      <c r="N221" s="6" t="s">
        <v>493</v>
      </c>
      <c r="O221" s="6" t="s">
        <v>493</v>
      </c>
      <c r="P221" s="6" t="s">
        <v>493</v>
      </c>
      <c r="Q221" s="6" t="s">
        <v>493</v>
      </c>
      <c r="R221" s="8">
        <v>3.64</v>
      </c>
      <c r="S221" s="20">
        <v>45118</v>
      </c>
      <c r="T221" s="20">
        <v>45119</v>
      </c>
      <c r="U221" s="33">
        <v>1</v>
      </c>
      <c r="V221" s="8">
        <v>3.03</v>
      </c>
      <c r="W221" s="8" t="s">
        <v>256</v>
      </c>
      <c r="X221" s="2" t="s">
        <v>33</v>
      </c>
      <c r="Y221" s="2">
        <v>3</v>
      </c>
      <c r="Z221" s="11" t="s">
        <v>144</v>
      </c>
      <c r="AA221" s="20">
        <v>45272</v>
      </c>
      <c r="AB221" s="8">
        <v>31.348496196637917</v>
      </c>
      <c r="AC221" s="33">
        <v>3</v>
      </c>
      <c r="AD221" s="31" t="s">
        <v>200</v>
      </c>
      <c r="AE221" s="31" t="s">
        <v>201</v>
      </c>
      <c r="AF221" s="31" t="s">
        <v>164</v>
      </c>
      <c r="AG221" s="31" t="s">
        <v>210</v>
      </c>
      <c r="AH221" s="6">
        <v>146</v>
      </c>
      <c r="AI221" s="2" t="s">
        <v>1382</v>
      </c>
      <c r="AJ221" s="2" t="s">
        <v>1696</v>
      </c>
    </row>
    <row r="222" spans="1:36">
      <c r="A222" s="2" t="s">
        <v>1087</v>
      </c>
      <c r="B222" s="20">
        <v>45118</v>
      </c>
      <c r="C222" s="2" t="s">
        <v>487</v>
      </c>
      <c r="D222" s="6">
        <v>1</v>
      </c>
      <c r="E222" s="6">
        <v>17</v>
      </c>
      <c r="F222" s="6">
        <v>2</v>
      </c>
      <c r="G222" s="8" t="s">
        <v>256</v>
      </c>
      <c r="H222" s="8" t="s">
        <v>256</v>
      </c>
      <c r="I222" s="2" t="s">
        <v>4</v>
      </c>
      <c r="J222" s="2" t="s">
        <v>253</v>
      </c>
      <c r="K222" s="6">
        <v>300</v>
      </c>
      <c r="L222" s="6">
        <v>5</v>
      </c>
      <c r="M222" s="6">
        <v>5</v>
      </c>
      <c r="N222" s="6" t="s">
        <v>493</v>
      </c>
      <c r="O222" s="6" t="s">
        <v>493</v>
      </c>
      <c r="P222" s="6" t="s">
        <v>493</v>
      </c>
      <c r="Q222" s="6" t="s">
        <v>493</v>
      </c>
      <c r="R222" s="8">
        <v>2.63</v>
      </c>
      <c r="S222" s="20">
        <v>45118</v>
      </c>
      <c r="T222" s="20">
        <v>45119</v>
      </c>
      <c r="U222" s="33">
        <v>1</v>
      </c>
      <c r="V222" s="8">
        <v>0.84</v>
      </c>
      <c r="W222" s="8" t="s">
        <v>256</v>
      </c>
      <c r="X222" s="2" t="s">
        <v>33</v>
      </c>
      <c r="Y222" s="2">
        <v>3</v>
      </c>
      <c r="Z222" s="11" t="s">
        <v>145</v>
      </c>
      <c r="AA222" s="20">
        <v>45272</v>
      </c>
      <c r="AB222" s="8">
        <v>25.830311954695269</v>
      </c>
      <c r="AC222" s="33">
        <v>3</v>
      </c>
      <c r="AD222" s="31" t="s">
        <v>202</v>
      </c>
      <c r="AE222" s="31" t="s">
        <v>203</v>
      </c>
      <c r="AF222" s="31" t="s">
        <v>164</v>
      </c>
      <c r="AG222" s="31" t="s">
        <v>210</v>
      </c>
      <c r="AH222" s="6">
        <v>158</v>
      </c>
      <c r="AI222" s="2" t="s">
        <v>1383</v>
      </c>
      <c r="AJ222" s="2" t="s">
        <v>1696</v>
      </c>
    </row>
    <row r="223" spans="1:36">
      <c r="A223" s="2" t="s">
        <v>1088</v>
      </c>
      <c r="B223" s="20">
        <v>45118</v>
      </c>
      <c r="C223" s="2" t="s">
        <v>487</v>
      </c>
      <c r="D223" s="6">
        <v>1</v>
      </c>
      <c r="E223" s="6">
        <v>18</v>
      </c>
      <c r="F223" s="6">
        <v>2</v>
      </c>
      <c r="G223" s="8" t="s">
        <v>256</v>
      </c>
      <c r="H223" s="8" t="s">
        <v>256</v>
      </c>
      <c r="I223" s="2" t="s">
        <v>4</v>
      </c>
      <c r="J223" s="2" t="s">
        <v>40</v>
      </c>
      <c r="K223" s="6">
        <v>300</v>
      </c>
      <c r="L223" s="6">
        <v>5</v>
      </c>
      <c r="M223" s="6">
        <v>6</v>
      </c>
      <c r="N223" s="6" t="s">
        <v>493</v>
      </c>
      <c r="O223" s="6" t="s">
        <v>493</v>
      </c>
      <c r="P223" s="6" t="s">
        <v>493</v>
      </c>
      <c r="Q223" s="6" t="s">
        <v>493</v>
      </c>
      <c r="R223" s="8">
        <v>2.09</v>
      </c>
      <c r="S223" s="20">
        <v>45118</v>
      </c>
      <c r="T223" s="20">
        <v>45119</v>
      </c>
      <c r="U223" s="33">
        <v>1</v>
      </c>
      <c r="V223" s="8">
        <v>1.87</v>
      </c>
      <c r="W223" s="8" t="s">
        <v>256</v>
      </c>
      <c r="X223" s="2" t="s">
        <v>33</v>
      </c>
      <c r="Y223" s="2">
        <v>3</v>
      </c>
      <c r="Z223" s="11" t="s">
        <v>84</v>
      </c>
      <c r="AA223" s="20">
        <v>45272</v>
      </c>
      <c r="AB223" s="8">
        <v>28.273902521948727</v>
      </c>
      <c r="AC223" s="33">
        <v>3</v>
      </c>
      <c r="AD223" s="31" t="s">
        <v>204</v>
      </c>
      <c r="AE223" s="31" t="s">
        <v>205</v>
      </c>
      <c r="AF223" s="31" t="s">
        <v>164</v>
      </c>
      <c r="AG223" s="31" t="s">
        <v>210</v>
      </c>
      <c r="AH223" s="6">
        <v>170</v>
      </c>
      <c r="AI223" s="2" t="s">
        <v>1384</v>
      </c>
      <c r="AJ223" s="2" t="s">
        <v>1696</v>
      </c>
    </row>
    <row r="224" spans="1:36">
      <c r="A224" s="2" t="s">
        <v>1089</v>
      </c>
      <c r="B224" s="20">
        <v>45118</v>
      </c>
      <c r="C224" s="2" t="s">
        <v>487</v>
      </c>
      <c r="D224" s="6">
        <v>1</v>
      </c>
      <c r="E224" s="6">
        <v>22</v>
      </c>
      <c r="F224" s="6">
        <v>2</v>
      </c>
      <c r="G224" s="8" t="s">
        <v>256</v>
      </c>
      <c r="H224" s="8" t="s">
        <v>256</v>
      </c>
      <c r="I224" s="2" t="s">
        <v>4</v>
      </c>
      <c r="J224" s="2" t="s">
        <v>254</v>
      </c>
      <c r="K224" s="6">
        <v>300</v>
      </c>
      <c r="L224" s="6">
        <v>5</v>
      </c>
      <c r="M224" s="6">
        <v>10</v>
      </c>
      <c r="N224" s="6" t="s">
        <v>493</v>
      </c>
      <c r="O224" s="6" t="s">
        <v>493</v>
      </c>
      <c r="P224" s="6" t="s">
        <v>493</v>
      </c>
      <c r="Q224" s="6" t="s">
        <v>493</v>
      </c>
      <c r="R224" s="8">
        <v>1.97</v>
      </c>
      <c r="S224" s="20">
        <v>45118</v>
      </c>
      <c r="T224" s="20">
        <v>45119</v>
      </c>
      <c r="U224" s="33">
        <v>1</v>
      </c>
      <c r="V224" s="8">
        <v>2.12</v>
      </c>
      <c r="W224" s="8" t="s">
        <v>256</v>
      </c>
      <c r="X224" s="2" t="s">
        <v>33</v>
      </c>
      <c r="Y224" s="2">
        <v>3</v>
      </c>
      <c r="Z224" s="11" t="s">
        <v>85</v>
      </c>
      <c r="AA224" s="20">
        <v>45272</v>
      </c>
      <c r="AB224" s="8">
        <v>26.981639092612923</v>
      </c>
      <c r="AC224" s="33">
        <v>3</v>
      </c>
      <c r="AD224" s="31" t="s">
        <v>206</v>
      </c>
      <c r="AE224" s="31" t="s">
        <v>207</v>
      </c>
      <c r="AF224" s="31" t="s">
        <v>164</v>
      </c>
      <c r="AG224" s="31" t="s">
        <v>210</v>
      </c>
      <c r="AH224" s="6">
        <v>182</v>
      </c>
      <c r="AI224" s="2" t="s">
        <v>1385</v>
      </c>
      <c r="AJ224" s="2" t="s">
        <v>1696</v>
      </c>
    </row>
    <row r="225" spans="1:36">
      <c r="A225" s="2" t="s">
        <v>1090</v>
      </c>
      <c r="B225" s="20">
        <v>45118</v>
      </c>
      <c r="C225" s="2" t="s">
        <v>487</v>
      </c>
      <c r="D225" s="6">
        <v>1</v>
      </c>
      <c r="E225" s="6">
        <v>24</v>
      </c>
      <c r="F225" s="6">
        <v>2</v>
      </c>
      <c r="G225" s="8" t="s">
        <v>256</v>
      </c>
      <c r="H225" s="8" t="s">
        <v>256</v>
      </c>
      <c r="I225" s="2" t="s">
        <v>4</v>
      </c>
      <c r="J225" s="2" t="s">
        <v>255</v>
      </c>
      <c r="K225" s="6">
        <v>300</v>
      </c>
      <c r="L225" s="6">
        <v>5</v>
      </c>
      <c r="M225" s="6">
        <v>12</v>
      </c>
      <c r="N225" s="6" t="s">
        <v>493</v>
      </c>
      <c r="O225" s="6" t="s">
        <v>493</v>
      </c>
      <c r="P225" s="6" t="s">
        <v>493</v>
      </c>
      <c r="Q225" s="6" t="s">
        <v>493</v>
      </c>
      <c r="R225" s="8">
        <v>2.86</v>
      </c>
      <c r="S225" s="20">
        <v>45118</v>
      </c>
      <c r="T225" s="20">
        <v>45119</v>
      </c>
      <c r="U225" s="33">
        <v>1</v>
      </c>
      <c r="V225" s="8">
        <v>0.76</v>
      </c>
      <c r="W225" s="8" t="s">
        <v>256</v>
      </c>
      <c r="X225" s="2" t="s">
        <v>33</v>
      </c>
      <c r="Y225" s="2">
        <v>3</v>
      </c>
      <c r="Z225" s="11" t="s">
        <v>81</v>
      </c>
      <c r="AA225" s="20">
        <v>45272</v>
      </c>
      <c r="AB225" s="8">
        <v>42.167269135786</v>
      </c>
      <c r="AC225" s="33">
        <v>3</v>
      </c>
      <c r="AD225" s="31" t="s">
        <v>42</v>
      </c>
      <c r="AE225" s="31" t="s">
        <v>193</v>
      </c>
      <c r="AF225" s="31" t="s">
        <v>165</v>
      </c>
      <c r="AG225" s="31" t="s">
        <v>211</v>
      </c>
      <c r="AH225" s="6">
        <v>99</v>
      </c>
      <c r="AI225" s="2" t="s">
        <v>1386</v>
      </c>
      <c r="AJ225" s="2" t="s">
        <v>1696</v>
      </c>
    </row>
    <row r="226" spans="1:36">
      <c r="A226" s="2" t="s">
        <v>1091</v>
      </c>
      <c r="B226" s="20">
        <v>45118</v>
      </c>
      <c r="C226" s="2" t="s">
        <v>487</v>
      </c>
      <c r="D226" s="6">
        <v>1</v>
      </c>
      <c r="E226" s="6">
        <v>25</v>
      </c>
      <c r="F226" s="6">
        <v>3</v>
      </c>
      <c r="G226" s="8" t="s">
        <v>256</v>
      </c>
      <c r="H226" s="8" t="s">
        <v>256</v>
      </c>
      <c r="I226" s="2" t="s">
        <v>6</v>
      </c>
      <c r="J226" s="2" t="s">
        <v>253</v>
      </c>
      <c r="K226" s="6">
        <v>300</v>
      </c>
      <c r="L226" s="6">
        <v>4</v>
      </c>
      <c r="M226" s="6">
        <v>1</v>
      </c>
      <c r="N226" s="6" t="s">
        <v>493</v>
      </c>
      <c r="O226" s="6" t="s">
        <v>493</v>
      </c>
      <c r="P226" s="6" t="s">
        <v>493</v>
      </c>
      <c r="Q226" s="6" t="s">
        <v>493</v>
      </c>
      <c r="R226" s="8">
        <v>1.37</v>
      </c>
      <c r="S226" s="20">
        <v>45118</v>
      </c>
      <c r="T226" s="20">
        <v>45119</v>
      </c>
      <c r="U226" s="33">
        <v>1</v>
      </c>
      <c r="V226" s="8">
        <v>0.24</v>
      </c>
      <c r="W226" s="8" t="s">
        <v>256</v>
      </c>
      <c r="X226" s="2" t="s">
        <v>33</v>
      </c>
      <c r="Y226" s="2">
        <v>3</v>
      </c>
      <c r="Z226" s="11" t="s">
        <v>82</v>
      </c>
      <c r="AA226" s="20">
        <v>45272</v>
      </c>
      <c r="AB226" s="8">
        <v>17.811962512322285</v>
      </c>
      <c r="AC226" s="33">
        <v>3</v>
      </c>
      <c r="AD226" s="31" t="s">
        <v>194</v>
      </c>
      <c r="AE226" s="31" t="s">
        <v>195</v>
      </c>
      <c r="AF226" s="31" t="s">
        <v>165</v>
      </c>
      <c r="AG226" s="31" t="s">
        <v>211</v>
      </c>
      <c r="AH226" s="6">
        <v>111</v>
      </c>
      <c r="AI226" s="2" t="s">
        <v>1387</v>
      </c>
      <c r="AJ226" s="2" t="s">
        <v>1696</v>
      </c>
    </row>
    <row r="227" spans="1:36">
      <c r="A227" s="2" t="s">
        <v>1092</v>
      </c>
      <c r="B227" s="20">
        <v>45118</v>
      </c>
      <c r="C227" s="2" t="s">
        <v>487</v>
      </c>
      <c r="D227" s="6">
        <v>1</v>
      </c>
      <c r="E227" s="6">
        <v>26</v>
      </c>
      <c r="F227" s="6">
        <v>3</v>
      </c>
      <c r="G227" s="8" t="s">
        <v>256</v>
      </c>
      <c r="H227" s="8" t="s">
        <v>256</v>
      </c>
      <c r="I227" s="2" t="s">
        <v>6</v>
      </c>
      <c r="J227" s="2" t="s">
        <v>255</v>
      </c>
      <c r="K227" s="6">
        <v>300</v>
      </c>
      <c r="L227" s="6">
        <v>4</v>
      </c>
      <c r="M227" s="6">
        <v>2</v>
      </c>
      <c r="N227" s="6" t="s">
        <v>493</v>
      </c>
      <c r="O227" s="6" t="s">
        <v>493</v>
      </c>
      <c r="P227" s="6" t="s">
        <v>493</v>
      </c>
      <c r="Q227" s="6" t="s">
        <v>493</v>
      </c>
      <c r="R227" s="8">
        <v>2.6</v>
      </c>
      <c r="S227" s="20">
        <v>45118</v>
      </c>
      <c r="T227" s="20">
        <v>45119</v>
      </c>
      <c r="U227" s="33">
        <v>1</v>
      </c>
      <c r="V227" s="8">
        <v>0.35</v>
      </c>
      <c r="W227" s="8" t="s">
        <v>256</v>
      </c>
      <c r="X227" s="2" t="s">
        <v>34</v>
      </c>
      <c r="Y227" s="2">
        <v>4</v>
      </c>
      <c r="Z227" s="11" t="s">
        <v>102</v>
      </c>
      <c r="AA227" s="20">
        <v>45279</v>
      </c>
      <c r="AB227" s="8">
        <v>39.634999999999998</v>
      </c>
      <c r="AC227" s="33">
        <v>4</v>
      </c>
      <c r="AD227" s="31" t="s">
        <v>198</v>
      </c>
      <c r="AE227" s="31" t="s">
        <v>199</v>
      </c>
      <c r="AF227" s="31" t="s">
        <v>176</v>
      </c>
      <c r="AG227" s="31" t="s">
        <v>224</v>
      </c>
      <c r="AH227" s="6">
        <v>328</v>
      </c>
      <c r="AI227" s="2" t="s">
        <v>1388</v>
      </c>
      <c r="AJ227" s="2" t="s">
        <v>1696</v>
      </c>
    </row>
    <row r="228" spans="1:36">
      <c r="A228" s="2" t="s">
        <v>1093</v>
      </c>
      <c r="B228" s="20">
        <v>45118</v>
      </c>
      <c r="C228" s="2" t="s">
        <v>487</v>
      </c>
      <c r="D228" s="6">
        <v>1</v>
      </c>
      <c r="E228" s="6">
        <v>28</v>
      </c>
      <c r="F228" s="6">
        <v>3</v>
      </c>
      <c r="G228" s="8" t="s">
        <v>256</v>
      </c>
      <c r="H228" s="8" t="s">
        <v>256</v>
      </c>
      <c r="I228" s="2" t="s">
        <v>6</v>
      </c>
      <c r="J228" s="2" t="s">
        <v>254</v>
      </c>
      <c r="K228" s="6">
        <v>300</v>
      </c>
      <c r="L228" s="6">
        <v>4</v>
      </c>
      <c r="M228" s="6">
        <v>4</v>
      </c>
      <c r="N228" s="6" t="s">
        <v>493</v>
      </c>
      <c r="O228" s="6" t="s">
        <v>493</v>
      </c>
      <c r="P228" s="6" t="s">
        <v>493</v>
      </c>
      <c r="Q228" s="6" t="s">
        <v>493</v>
      </c>
      <c r="R228" s="8">
        <v>1.77</v>
      </c>
      <c r="S228" s="20">
        <v>45118</v>
      </c>
      <c r="T228" s="20">
        <v>45119</v>
      </c>
      <c r="U228" s="33">
        <v>1</v>
      </c>
      <c r="V228" s="8">
        <v>0.21</v>
      </c>
      <c r="W228" s="8" t="s">
        <v>256</v>
      </c>
      <c r="X228" s="2" t="s">
        <v>33</v>
      </c>
      <c r="Y228" s="2">
        <v>3</v>
      </c>
      <c r="Z228" s="11" t="s">
        <v>146</v>
      </c>
      <c r="AA228" s="20">
        <v>45272</v>
      </c>
      <c r="AB228" s="8">
        <v>17.345294747793663</v>
      </c>
      <c r="AC228" s="33">
        <v>3</v>
      </c>
      <c r="AD228" s="31" t="s">
        <v>198</v>
      </c>
      <c r="AE228" s="31" t="s">
        <v>199</v>
      </c>
      <c r="AF228" s="31" t="s">
        <v>165</v>
      </c>
      <c r="AG228" s="31" t="s">
        <v>211</v>
      </c>
      <c r="AH228" s="6">
        <v>135</v>
      </c>
      <c r="AI228" s="2" t="s">
        <v>1389</v>
      </c>
      <c r="AJ228" s="2" t="s">
        <v>1696</v>
      </c>
    </row>
    <row r="229" spans="1:36">
      <c r="A229" s="2" t="s">
        <v>1094</v>
      </c>
      <c r="B229" s="20">
        <v>45118</v>
      </c>
      <c r="C229" s="2" t="s">
        <v>487</v>
      </c>
      <c r="D229" s="6">
        <v>1</v>
      </c>
      <c r="E229" s="6">
        <v>35</v>
      </c>
      <c r="F229" s="6">
        <v>3</v>
      </c>
      <c r="G229" s="8" t="s">
        <v>256</v>
      </c>
      <c r="H229" s="8" t="s">
        <v>256</v>
      </c>
      <c r="I229" s="2" t="s">
        <v>6</v>
      </c>
      <c r="J229" s="2" t="s">
        <v>40</v>
      </c>
      <c r="K229" s="6">
        <v>300</v>
      </c>
      <c r="L229" s="6">
        <v>4</v>
      </c>
      <c r="M229" s="6">
        <v>11</v>
      </c>
      <c r="N229" s="6" t="s">
        <v>493</v>
      </c>
      <c r="O229" s="6" t="s">
        <v>493</v>
      </c>
      <c r="P229" s="6" t="s">
        <v>493</v>
      </c>
      <c r="Q229" s="6" t="s">
        <v>493</v>
      </c>
      <c r="R229" s="8">
        <v>0.97</v>
      </c>
      <c r="S229" s="20">
        <v>45118</v>
      </c>
      <c r="T229" s="20">
        <v>45119</v>
      </c>
      <c r="U229" s="33">
        <v>1</v>
      </c>
      <c r="V229" s="8">
        <v>0.13</v>
      </c>
      <c r="W229" s="8" t="s">
        <v>256</v>
      </c>
      <c r="X229" s="2" t="s">
        <v>33</v>
      </c>
      <c r="Y229" s="2">
        <v>3</v>
      </c>
      <c r="Z229" s="11" t="s">
        <v>89</v>
      </c>
      <c r="AA229" s="20">
        <v>45272</v>
      </c>
      <c r="AB229" s="8">
        <v>15.986805227963044</v>
      </c>
      <c r="AC229" s="33">
        <v>3</v>
      </c>
      <c r="AD229" s="31" t="s">
        <v>200</v>
      </c>
      <c r="AE229" s="31" t="s">
        <v>201</v>
      </c>
      <c r="AF229" s="31" t="s">
        <v>165</v>
      </c>
      <c r="AG229" s="31" t="s">
        <v>211</v>
      </c>
      <c r="AH229" s="6">
        <v>147</v>
      </c>
      <c r="AI229" s="2" t="s">
        <v>1390</v>
      </c>
      <c r="AJ229" s="2" t="s">
        <v>1696</v>
      </c>
    </row>
    <row r="230" spans="1:36">
      <c r="A230" s="2" t="s">
        <v>1095</v>
      </c>
      <c r="B230" s="20">
        <v>45118</v>
      </c>
      <c r="C230" s="2" t="s">
        <v>487</v>
      </c>
      <c r="D230" s="6">
        <v>2</v>
      </c>
      <c r="E230" s="6">
        <v>37</v>
      </c>
      <c r="F230" s="6">
        <v>4</v>
      </c>
      <c r="G230" s="8" t="s">
        <v>256</v>
      </c>
      <c r="H230" s="8" t="s">
        <v>256</v>
      </c>
      <c r="I230" s="2" t="s">
        <v>4</v>
      </c>
      <c r="J230" s="2" t="s">
        <v>40</v>
      </c>
      <c r="K230" s="6">
        <v>300</v>
      </c>
      <c r="L230" s="6">
        <v>3</v>
      </c>
      <c r="M230" s="6">
        <v>1</v>
      </c>
      <c r="N230" s="6" t="s">
        <v>493</v>
      </c>
      <c r="O230" s="6" t="s">
        <v>493</v>
      </c>
      <c r="P230" s="6" t="s">
        <v>493</v>
      </c>
      <c r="Q230" s="6" t="s">
        <v>493</v>
      </c>
      <c r="R230" s="8">
        <v>1.25</v>
      </c>
      <c r="S230" s="20">
        <v>45118</v>
      </c>
      <c r="T230" s="20">
        <v>45119</v>
      </c>
      <c r="U230" s="33">
        <v>1</v>
      </c>
      <c r="V230" s="8">
        <v>3.33</v>
      </c>
      <c r="W230" s="8" t="s">
        <v>256</v>
      </c>
      <c r="X230" s="2" t="s">
        <v>33</v>
      </c>
      <c r="Y230" s="2">
        <v>3</v>
      </c>
      <c r="Z230" s="11" t="s">
        <v>90</v>
      </c>
      <c r="AA230" s="20">
        <v>45272</v>
      </c>
      <c r="AB230" s="8">
        <v>30.17640696047259</v>
      </c>
      <c r="AC230" s="33">
        <v>3</v>
      </c>
      <c r="AD230" s="31" t="s">
        <v>202</v>
      </c>
      <c r="AE230" s="31" t="s">
        <v>203</v>
      </c>
      <c r="AF230" s="31" t="s">
        <v>165</v>
      </c>
      <c r="AG230" s="31" t="s">
        <v>211</v>
      </c>
      <c r="AH230" s="6">
        <v>159</v>
      </c>
      <c r="AI230" s="2" t="s">
        <v>1391</v>
      </c>
      <c r="AJ230" s="2" t="s">
        <v>1696</v>
      </c>
    </row>
    <row r="231" spans="1:36">
      <c r="A231" s="2" t="s">
        <v>1096</v>
      </c>
      <c r="B231" s="20">
        <v>45118</v>
      </c>
      <c r="C231" s="2" t="s">
        <v>487</v>
      </c>
      <c r="D231" s="6">
        <v>2</v>
      </c>
      <c r="E231" s="6">
        <v>38</v>
      </c>
      <c r="F231" s="6">
        <v>4</v>
      </c>
      <c r="G231" s="8" t="s">
        <v>256</v>
      </c>
      <c r="H231" s="8" t="s">
        <v>256</v>
      </c>
      <c r="I231" s="2" t="s">
        <v>4</v>
      </c>
      <c r="J231" s="2" t="s">
        <v>255</v>
      </c>
      <c r="K231" s="6">
        <v>300</v>
      </c>
      <c r="L231" s="6">
        <v>3</v>
      </c>
      <c r="M231" s="6">
        <v>2</v>
      </c>
      <c r="N231" s="6" t="s">
        <v>493</v>
      </c>
      <c r="O231" s="6" t="s">
        <v>493</v>
      </c>
      <c r="P231" s="6" t="s">
        <v>493</v>
      </c>
      <c r="Q231" s="6" t="s">
        <v>493</v>
      </c>
      <c r="R231" s="8">
        <v>3.07</v>
      </c>
      <c r="S231" s="20">
        <v>45118</v>
      </c>
      <c r="T231" s="20">
        <v>45119</v>
      </c>
      <c r="U231" s="33">
        <v>1</v>
      </c>
      <c r="V231" s="8">
        <v>7.34</v>
      </c>
      <c r="W231" s="8" t="s">
        <v>256</v>
      </c>
      <c r="X231" s="2" t="s">
        <v>33</v>
      </c>
      <c r="Y231" s="2">
        <v>3</v>
      </c>
      <c r="Z231" s="11" t="s">
        <v>91</v>
      </c>
      <c r="AA231" s="20">
        <v>45272</v>
      </c>
      <c r="AB231" s="8">
        <v>28.605345656625328</v>
      </c>
      <c r="AC231" s="33">
        <v>3</v>
      </c>
      <c r="AD231" s="31" t="s">
        <v>204</v>
      </c>
      <c r="AE231" s="31" t="s">
        <v>205</v>
      </c>
      <c r="AF231" s="31" t="s">
        <v>165</v>
      </c>
      <c r="AG231" s="31" t="s">
        <v>211</v>
      </c>
      <c r="AH231" s="6">
        <v>171</v>
      </c>
      <c r="AI231" s="2" t="s">
        <v>1392</v>
      </c>
      <c r="AJ231" s="2" t="s">
        <v>1696</v>
      </c>
    </row>
    <row r="232" spans="1:36">
      <c r="A232" s="2" t="s">
        <v>1097</v>
      </c>
      <c r="B232" s="20">
        <v>45118</v>
      </c>
      <c r="C232" s="2" t="s">
        <v>487</v>
      </c>
      <c r="D232" s="6">
        <v>2</v>
      </c>
      <c r="E232" s="6">
        <v>41</v>
      </c>
      <c r="F232" s="6">
        <v>4</v>
      </c>
      <c r="G232" s="8" t="s">
        <v>256</v>
      </c>
      <c r="H232" s="8" t="s">
        <v>256</v>
      </c>
      <c r="I232" s="2" t="s">
        <v>4</v>
      </c>
      <c r="J232" s="2" t="s">
        <v>253</v>
      </c>
      <c r="K232" s="6">
        <v>300</v>
      </c>
      <c r="L232" s="6">
        <v>3</v>
      </c>
      <c r="M232" s="6">
        <v>5</v>
      </c>
      <c r="N232" s="6" t="s">
        <v>493</v>
      </c>
      <c r="O232" s="6" t="s">
        <v>493</v>
      </c>
      <c r="P232" s="6" t="s">
        <v>493</v>
      </c>
      <c r="Q232" s="6" t="s">
        <v>493</v>
      </c>
      <c r="R232" s="8">
        <v>1.94</v>
      </c>
      <c r="S232" s="20">
        <v>45118</v>
      </c>
      <c r="T232" s="20">
        <v>45119</v>
      </c>
      <c r="U232" s="33">
        <v>1</v>
      </c>
      <c r="V232" s="8">
        <v>1.95</v>
      </c>
      <c r="W232" s="8" t="s">
        <v>256</v>
      </c>
      <c r="X232" s="2" t="s">
        <v>33</v>
      </c>
      <c r="Y232" s="2">
        <v>3</v>
      </c>
      <c r="Z232" s="11" t="s">
        <v>147</v>
      </c>
      <c r="AA232" s="20">
        <v>45272</v>
      </c>
      <c r="AB232" s="8">
        <v>29.293361152321467</v>
      </c>
      <c r="AC232" s="33">
        <v>3</v>
      </c>
      <c r="AD232" s="31" t="s">
        <v>206</v>
      </c>
      <c r="AE232" s="31" t="s">
        <v>207</v>
      </c>
      <c r="AF232" s="31" t="s">
        <v>165</v>
      </c>
      <c r="AG232" s="31" t="s">
        <v>211</v>
      </c>
      <c r="AH232" s="6">
        <v>183</v>
      </c>
      <c r="AI232" s="2" t="s">
        <v>1393</v>
      </c>
      <c r="AJ232" s="2" t="s">
        <v>1696</v>
      </c>
    </row>
    <row r="233" spans="1:36">
      <c r="A233" s="2" t="s">
        <v>1098</v>
      </c>
      <c r="B233" s="20">
        <v>45118</v>
      </c>
      <c r="C233" s="2" t="s">
        <v>487</v>
      </c>
      <c r="D233" s="6">
        <v>2</v>
      </c>
      <c r="E233" s="6">
        <v>44</v>
      </c>
      <c r="F233" s="6">
        <v>4</v>
      </c>
      <c r="G233" s="8" t="s">
        <v>256</v>
      </c>
      <c r="H233" s="8" t="s">
        <v>256</v>
      </c>
      <c r="I233" s="2" t="s">
        <v>4</v>
      </c>
      <c r="J233" s="2" t="s">
        <v>254</v>
      </c>
      <c r="K233" s="6">
        <v>300</v>
      </c>
      <c r="L233" s="6">
        <v>3</v>
      </c>
      <c r="M233" s="6">
        <v>8</v>
      </c>
      <c r="N233" s="6" t="s">
        <v>493</v>
      </c>
      <c r="O233" s="6" t="s">
        <v>493</v>
      </c>
      <c r="P233" s="6" t="s">
        <v>493</v>
      </c>
      <c r="Q233" s="6" t="s">
        <v>493</v>
      </c>
      <c r="R233" s="8">
        <v>2.0699999999999998</v>
      </c>
      <c r="S233" s="20">
        <v>45118</v>
      </c>
      <c r="T233" s="20">
        <v>45119</v>
      </c>
      <c r="U233" s="33">
        <v>1</v>
      </c>
      <c r="V233" s="8">
        <v>0.8</v>
      </c>
      <c r="W233" s="8" t="s">
        <v>256</v>
      </c>
      <c r="X233" s="2" t="s">
        <v>33</v>
      </c>
      <c r="Y233" s="2">
        <v>3</v>
      </c>
      <c r="Z233" s="11" t="s">
        <v>86</v>
      </c>
      <c r="AA233" s="20">
        <v>45272</v>
      </c>
      <c r="AB233" s="8">
        <v>30.431972547336436</v>
      </c>
      <c r="AC233" s="33">
        <v>3</v>
      </c>
      <c r="AD233" s="31" t="s">
        <v>42</v>
      </c>
      <c r="AE233" s="31" t="s">
        <v>193</v>
      </c>
      <c r="AF233" s="31" t="s">
        <v>166</v>
      </c>
      <c r="AG233" s="31" t="s">
        <v>212</v>
      </c>
      <c r="AH233" s="6">
        <v>100</v>
      </c>
      <c r="AI233" s="2" t="s">
        <v>1394</v>
      </c>
      <c r="AJ233" s="2" t="s">
        <v>1696</v>
      </c>
    </row>
    <row r="234" spans="1:36">
      <c r="A234" s="2" t="s">
        <v>1099</v>
      </c>
      <c r="B234" s="20">
        <v>45118</v>
      </c>
      <c r="C234" s="2" t="s">
        <v>487</v>
      </c>
      <c r="D234" s="6">
        <v>2</v>
      </c>
      <c r="E234" s="6">
        <v>51</v>
      </c>
      <c r="F234" s="6">
        <v>5</v>
      </c>
      <c r="G234" s="8" t="s">
        <v>256</v>
      </c>
      <c r="H234" s="8" t="s">
        <v>256</v>
      </c>
      <c r="I234" s="2" t="s">
        <v>6</v>
      </c>
      <c r="J234" s="2" t="s">
        <v>40</v>
      </c>
      <c r="K234" s="6">
        <v>300</v>
      </c>
      <c r="L234" s="6">
        <v>2</v>
      </c>
      <c r="M234" s="6">
        <v>3</v>
      </c>
      <c r="N234" s="6" t="s">
        <v>493</v>
      </c>
      <c r="O234" s="6" t="s">
        <v>493</v>
      </c>
      <c r="P234" s="6" t="s">
        <v>493</v>
      </c>
      <c r="Q234" s="6" t="s">
        <v>493</v>
      </c>
      <c r="R234" s="8">
        <v>1.42</v>
      </c>
      <c r="S234" s="20">
        <v>45118</v>
      </c>
      <c r="T234" s="20">
        <v>45119</v>
      </c>
      <c r="U234" s="33">
        <v>1</v>
      </c>
      <c r="V234" s="8">
        <v>0.14000000000000001</v>
      </c>
      <c r="W234" s="8" t="s">
        <v>256</v>
      </c>
      <c r="X234" s="2" t="s">
        <v>33</v>
      </c>
      <c r="Y234" s="2">
        <v>3</v>
      </c>
      <c r="Z234" s="11" t="s">
        <v>87</v>
      </c>
      <c r="AA234" s="20">
        <v>45272</v>
      </c>
      <c r="AB234" s="8">
        <v>32.88440159818127</v>
      </c>
      <c r="AC234" s="33">
        <v>3</v>
      </c>
      <c r="AD234" s="31" t="s">
        <v>194</v>
      </c>
      <c r="AE234" s="31" t="s">
        <v>195</v>
      </c>
      <c r="AF234" s="31" t="s">
        <v>166</v>
      </c>
      <c r="AG234" s="31" t="s">
        <v>212</v>
      </c>
      <c r="AH234" s="6">
        <v>112</v>
      </c>
      <c r="AI234" s="2" t="s">
        <v>1395</v>
      </c>
      <c r="AJ234" s="2" t="s">
        <v>1696</v>
      </c>
    </row>
    <row r="235" spans="1:36">
      <c r="A235" s="2" t="s">
        <v>1100</v>
      </c>
      <c r="B235" s="20">
        <v>45118</v>
      </c>
      <c r="C235" s="2" t="s">
        <v>487</v>
      </c>
      <c r="D235" s="6">
        <v>2</v>
      </c>
      <c r="E235" s="6">
        <v>53</v>
      </c>
      <c r="F235" s="6">
        <v>5</v>
      </c>
      <c r="G235" s="8" t="s">
        <v>256</v>
      </c>
      <c r="H235" s="8" t="s">
        <v>256</v>
      </c>
      <c r="I235" s="2" t="s">
        <v>6</v>
      </c>
      <c r="J235" s="2" t="s">
        <v>255</v>
      </c>
      <c r="K235" s="6">
        <v>300</v>
      </c>
      <c r="L235" s="6">
        <v>2</v>
      </c>
      <c r="M235" s="6">
        <v>5</v>
      </c>
      <c r="N235" s="6" t="s">
        <v>493</v>
      </c>
      <c r="O235" s="6" t="s">
        <v>493</v>
      </c>
      <c r="P235" s="6" t="s">
        <v>493</v>
      </c>
      <c r="Q235" s="6" t="s">
        <v>493</v>
      </c>
      <c r="R235" s="8">
        <v>2.82</v>
      </c>
      <c r="S235" s="20">
        <v>45118</v>
      </c>
      <c r="T235" s="20">
        <v>45119</v>
      </c>
      <c r="U235" s="33">
        <v>1</v>
      </c>
      <c r="V235" s="8">
        <v>0.47</v>
      </c>
      <c r="W235" s="8" t="s">
        <v>256</v>
      </c>
      <c r="X235" s="2" t="s">
        <v>33</v>
      </c>
      <c r="Y235" s="2">
        <v>3</v>
      </c>
      <c r="Z235" s="11" t="s">
        <v>94</v>
      </c>
      <c r="AA235" s="20">
        <v>45272</v>
      </c>
      <c r="AB235" s="8">
        <v>28.826255632709309</v>
      </c>
      <c r="AC235" s="33">
        <v>3</v>
      </c>
      <c r="AD235" s="31" t="s">
        <v>196</v>
      </c>
      <c r="AE235" s="31" t="s">
        <v>197</v>
      </c>
      <c r="AF235" s="31" t="s">
        <v>166</v>
      </c>
      <c r="AG235" s="31" t="s">
        <v>212</v>
      </c>
      <c r="AH235" s="6">
        <v>124</v>
      </c>
      <c r="AI235" s="2" t="s">
        <v>1396</v>
      </c>
      <c r="AJ235" s="2" t="s">
        <v>1696</v>
      </c>
    </row>
    <row r="236" spans="1:36">
      <c r="A236" s="2" t="s">
        <v>1101</v>
      </c>
      <c r="B236" s="20">
        <v>45118</v>
      </c>
      <c r="C236" s="2" t="s">
        <v>487</v>
      </c>
      <c r="D236" s="6">
        <v>2</v>
      </c>
      <c r="E236" s="6">
        <v>55</v>
      </c>
      <c r="F236" s="6">
        <v>5</v>
      </c>
      <c r="G236" s="8" t="s">
        <v>256</v>
      </c>
      <c r="H236" s="8" t="s">
        <v>256</v>
      </c>
      <c r="I236" s="2" t="s">
        <v>6</v>
      </c>
      <c r="J236" s="2" t="s">
        <v>253</v>
      </c>
      <c r="K236" s="6">
        <v>300</v>
      </c>
      <c r="L236" s="6">
        <v>2</v>
      </c>
      <c r="M236" s="6">
        <v>7</v>
      </c>
      <c r="N236" s="6" t="s">
        <v>493</v>
      </c>
      <c r="O236" s="6" t="s">
        <v>493</v>
      </c>
      <c r="P236" s="6" t="s">
        <v>493</v>
      </c>
      <c r="Q236" s="6" t="s">
        <v>493</v>
      </c>
      <c r="R236" s="8">
        <v>1.92</v>
      </c>
      <c r="S236" s="20">
        <v>45118</v>
      </c>
      <c r="T236" s="20">
        <v>45119</v>
      </c>
      <c r="U236" s="33">
        <v>1</v>
      </c>
      <c r="V236" s="8">
        <v>0.42</v>
      </c>
      <c r="W236" s="8" t="s">
        <v>256</v>
      </c>
      <c r="X236" s="2" t="s">
        <v>33</v>
      </c>
      <c r="Y236" s="2">
        <v>3</v>
      </c>
      <c r="Z236" s="11" t="s">
        <v>102</v>
      </c>
      <c r="AA236" s="20">
        <v>45272</v>
      </c>
      <c r="AB236" s="8">
        <v>21.77253078512625</v>
      </c>
      <c r="AC236" s="33">
        <v>3</v>
      </c>
      <c r="AD236" s="31" t="s">
        <v>198</v>
      </c>
      <c r="AE236" s="31" t="s">
        <v>199</v>
      </c>
      <c r="AF236" s="31" t="s">
        <v>166</v>
      </c>
      <c r="AG236" s="31" t="s">
        <v>212</v>
      </c>
      <c r="AH236" s="6">
        <v>136</v>
      </c>
      <c r="AI236" s="2" t="s">
        <v>1397</v>
      </c>
      <c r="AJ236" s="2" t="s">
        <v>1696</v>
      </c>
    </row>
    <row r="237" spans="1:36">
      <c r="A237" s="2" t="s">
        <v>1102</v>
      </c>
      <c r="B237" s="20">
        <v>45118</v>
      </c>
      <c r="C237" s="2" t="s">
        <v>487</v>
      </c>
      <c r="D237" s="6">
        <v>2</v>
      </c>
      <c r="E237" s="6">
        <v>59</v>
      </c>
      <c r="F237" s="6">
        <v>5</v>
      </c>
      <c r="G237" s="8" t="s">
        <v>256</v>
      </c>
      <c r="H237" s="8" t="s">
        <v>256</v>
      </c>
      <c r="I237" s="2" t="s">
        <v>6</v>
      </c>
      <c r="J237" s="2" t="s">
        <v>254</v>
      </c>
      <c r="K237" s="6">
        <v>300</v>
      </c>
      <c r="L237" s="6">
        <v>2</v>
      </c>
      <c r="M237" s="6">
        <v>11</v>
      </c>
      <c r="N237" s="6" t="s">
        <v>493</v>
      </c>
      <c r="O237" s="6" t="s">
        <v>493</v>
      </c>
      <c r="P237" s="6" t="s">
        <v>493</v>
      </c>
      <c r="Q237" s="6" t="s">
        <v>493</v>
      </c>
      <c r="R237" s="8">
        <v>1.71</v>
      </c>
      <c r="S237" s="20">
        <v>45118</v>
      </c>
      <c r="T237" s="20">
        <v>45119</v>
      </c>
      <c r="U237" s="33">
        <v>1</v>
      </c>
      <c r="V237" s="8">
        <v>0.36</v>
      </c>
      <c r="W237" s="8" t="s">
        <v>256</v>
      </c>
      <c r="X237" s="2" t="s">
        <v>33</v>
      </c>
      <c r="Y237" s="2">
        <v>3</v>
      </c>
      <c r="Z237" s="11" t="s">
        <v>88</v>
      </c>
      <c r="AA237" s="20">
        <v>45272</v>
      </c>
      <c r="AB237" s="8">
        <v>33.390175483505701</v>
      </c>
      <c r="AC237" s="33">
        <v>3</v>
      </c>
      <c r="AD237" s="31" t="s">
        <v>200</v>
      </c>
      <c r="AE237" s="31" t="s">
        <v>201</v>
      </c>
      <c r="AF237" s="31" t="s">
        <v>166</v>
      </c>
      <c r="AG237" s="31" t="s">
        <v>212</v>
      </c>
      <c r="AH237" s="6">
        <v>148</v>
      </c>
      <c r="AI237" s="2" t="s">
        <v>1398</v>
      </c>
      <c r="AJ237" s="2" t="s">
        <v>1696</v>
      </c>
    </row>
    <row r="238" spans="1:36">
      <c r="A238" s="2" t="s">
        <v>1103</v>
      </c>
      <c r="B238" s="20">
        <v>45118</v>
      </c>
      <c r="C238" s="2" t="s">
        <v>487</v>
      </c>
      <c r="D238" s="6">
        <v>2</v>
      </c>
      <c r="E238" s="6">
        <v>61</v>
      </c>
      <c r="F238" s="6">
        <v>6</v>
      </c>
      <c r="G238" s="8" t="s">
        <v>256</v>
      </c>
      <c r="H238" s="8" t="s">
        <v>256</v>
      </c>
      <c r="I238" s="2" t="s">
        <v>5</v>
      </c>
      <c r="J238" s="2" t="s">
        <v>40</v>
      </c>
      <c r="K238" s="6">
        <v>300</v>
      </c>
      <c r="L238" s="6">
        <v>1</v>
      </c>
      <c r="M238" s="6">
        <v>1</v>
      </c>
      <c r="N238" s="6" t="s">
        <v>493</v>
      </c>
      <c r="O238" s="6" t="s">
        <v>493</v>
      </c>
      <c r="P238" s="6" t="s">
        <v>493</v>
      </c>
      <c r="Q238" s="6" t="s">
        <v>493</v>
      </c>
      <c r="R238" s="8">
        <v>1.65</v>
      </c>
      <c r="S238" s="20">
        <v>45118</v>
      </c>
      <c r="T238" s="20">
        <v>45119</v>
      </c>
      <c r="U238" s="33">
        <v>1</v>
      </c>
      <c r="V238" s="8">
        <v>4.18</v>
      </c>
      <c r="W238" s="8" t="s">
        <v>256</v>
      </c>
      <c r="X238" s="2" t="s">
        <v>33</v>
      </c>
      <c r="Y238" s="2">
        <v>3</v>
      </c>
      <c r="Z238" s="11" t="s">
        <v>148</v>
      </c>
      <c r="AA238" s="20">
        <v>45272</v>
      </c>
      <c r="AB238" s="8">
        <v>28.560454915082811</v>
      </c>
      <c r="AC238" s="33">
        <v>3</v>
      </c>
      <c r="AD238" s="31" t="s">
        <v>202</v>
      </c>
      <c r="AE238" s="31" t="s">
        <v>203</v>
      </c>
      <c r="AF238" s="31" t="s">
        <v>166</v>
      </c>
      <c r="AG238" s="31" t="s">
        <v>212</v>
      </c>
      <c r="AH238" s="6">
        <v>160</v>
      </c>
      <c r="AI238" s="2" t="s">
        <v>1399</v>
      </c>
      <c r="AJ238" s="2" t="s">
        <v>1696</v>
      </c>
    </row>
    <row r="239" spans="1:36">
      <c r="A239" s="2" t="s">
        <v>1104</v>
      </c>
      <c r="B239" s="20">
        <v>45118</v>
      </c>
      <c r="C239" s="2" t="s">
        <v>487</v>
      </c>
      <c r="D239" s="6">
        <v>2</v>
      </c>
      <c r="E239" s="6">
        <v>66</v>
      </c>
      <c r="F239" s="6">
        <v>6</v>
      </c>
      <c r="G239" s="8" t="s">
        <v>256</v>
      </c>
      <c r="H239" s="8" t="s">
        <v>256</v>
      </c>
      <c r="I239" s="2" t="s">
        <v>5</v>
      </c>
      <c r="J239" s="2" t="s">
        <v>254</v>
      </c>
      <c r="K239" s="6">
        <v>300</v>
      </c>
      <c r="L239" s="6">
        <v>1</v>
      </c>
      <c r="M239" s="6">
        <v>6</v>
      </c>
      <c r="N239" s="6" t="s">
        <v>493</v>
      </c>
      <c r="O239" s="6" t="s">
        <v>493</v>
      </c>
      <c r="P239" s="6" t="s">
        <v>493</v>
      </c>
      <c r="Q239" s="6" t="s">
        <v>493</v>
      </c>
      <c r="R239" s="8">
        <v>3.24</v>
      </c>
      <c r="S239" s="20">
        <v>45118</v>
      </c>
      <c r="T239" s="20">
        <v>45119</v>
      </c>
      <c r="U239" s="33">
        <v>1</v>
      </c>
      <c r="V239" s="8">
        <v>2.87</v>
      </c>
      <c r="W239" s="8" t="s">
        <v>256</v>
      </c>
      <c r="X239" s="2" t="s">
        <v>33</v>
      </c>
      <c r="Y239" s="2">
        <v>3</v>
      </c>
      <c r="Z239" s="11" t="s">
        <v>96</v>
      </c>
      <c r="AA239" s="20">
        <v>45272</v>
      </c>
      <c r="AB239" s="8">
        <v>33.877449005180729</v>
      </c>
      <c r="AC239" s="33">
        <v>3</v>
      </c>
      <c r="AD239" s="31" t="s">
        <v>204</v>
      </c>
      <c r="AE239" s="31" t="s">
        <v>205</v>
      </c>
      <c r="AF239" s="31" t="s">
        <v>166</v>
      </c>
      <c r="AG239" s="31" t="s">
        <v>212</v>
      </c>
      <c r="AH239" s="6">
        <v>172</v>
      </c>
      <c r="AI239" s="2" t="s">
        <v>1400</v>
      </c>
      <c r="AJ239" s="2" t="s">
        <v>1696</v>
      </c>
    </row>
    <row r="240" spans="1:36">
      <c r="A240" s="2" t="s">
        <v>1105</v>
      </c>
      <c r="B240" s="20">
        <v>45118</v>
      </c>
      <c r="C240" s="2" t="s">
        <v>487</v>
      </c>
      <c r="D240" s="6">
        <v>2</v>
      </c>
      <c r="E240" s="6">
        <v>68</v>
      </c>
      <c r="F240" s="6">
        <v>6</v>
      </c>
      <c r="G240" s="8" t="s">
        <v>256</v>
      </c>
      <c r="H240" s="8" t="s">
        <v>256</v>
      </c>
      <c r="I240" s="2" t="s">
        <v>5</v>
      </c>
      <c r="J240" s="2" t="s">
        <v>255</v>
      </c>
      <c r="K240" s="6">
        <v>300</v>
      </c>
      <c r="L240" s="6">
        <v>1</v>
      </c>
      <c r="M240" s="6">
        <v>8</v>
      </c>
      <c r="N240" s="6" t="s">
        <v>493</v>
      </c>
      <c r="O240" s="6" t="s">
        <v>493</v>
      </c>
      <c r="P240" s="6" t="s">
        <v>493</v>
      </c>
      <c r="Q240" s="6" t="s">
        <v>493</v>
      </c>
      <c r="R240" s="8">
        <v>3.1</v>
      </c>
      <c r="S240" s="20">
        <v>45118</v>
      </c>
      <c r="T240" s="20">
        <v>45119</v>
      </c>
      <c r="U240" s="33">
        <v>1</v>
      </c>
      <c r="V240" s="8">
        <v>2.75</v>
      </c>
      <c r="W240" s="8" t="s">
        <v>256</v>
      </c>
      <c r="X240" s="2" t="s">
        <v>33</v>
      </c>
      <c r="Y240" s="2">
        <v>3</v>
      </c>
      <c r="Z240" s="11" t="s">
        <v>149</v>
      </c>
      <c r="AA240" s="20">
        <v>45272</v>
      </c>
      <c r="AB240" s="8">
        <v>24.431330089637648</v>
      </c>
      <c r="AC240" s="33">
        <v>3</v>
      </c>
      <c r="AD240" s="31" t="s">
        <v>206</v>
      </c>
      <c r="AE240" s="31" t="s">
        <v>207</v>
      </c>
      <c r="AF240" s="31" t="s">
        <v>166</v>
      </c>
      <c r="AG240" s="31" t="s">
        <v>212</v>
      </c>
      <c r="AH240" s="6">
        <v>184</v>
      </c>
      <c r="AI240" s="2" t="s">
        <v>1401</v>
      </c>
      <c r="AJ240" s="2" t="s">
        <v>1696</v>
      </c>
    </row>
    <row r="241" spans="1:36">
      <c r="A241" s="2" t="s">
        <v>1106</v>
      </c>
      <c r="B241" s="20">
        <v>45118</v>
      </c>
      <c r="C241" s="2" t="s">
        <v>487</v>
      </c>
      <c r="D241" s="6">
        <v>2</v>
      </c>
      <c r="E241" s="6">
        <v>72</v>
      </c>
      <c r="F241" s="6">
        <v>6</v>
      </c>
      <c r="G241" s="8" t="s">
        <v>256</v>
      </c>
      <c r="H241" s="8" t="s">
        <v>256</v>
      </c>
      <c r="I241" s="2" t="s">
        <v>5</v>
      </c>
      <c r="J241" s="2" t="s">
        <v>253</v>
      </c>
      <c r="K241" s="6">
        <v>300</v>
      </c>
      <c r="L241" s="6">
        <v>1</v>
      </c>
      <c r="M241" s="6">
        <v>12</v>
      </c>
      <c r="N241" s="6" t="s">
        <v>493</v>
      </c>
      <c r="O241" s="6" t="s">
        <v>493</v>
      </c>
      <c r="P241" s="6" t="s">
        <v>493</v>
      </c>
      <c r="Q241" s="6" t="s">
        <v>493</v>
      </c>
      <c r="R241" s="8">
        <v>3.48</v>
      </c>
      <c r="S241" s="20">
        <v>45118</v>
      </c>
      <c r="T241" s="20">
        <v>45119</v>
      </c>
      <c r="U241" s="33">
        <v>1</v>
      </c>
      <c r="V241" s="8">
        <v>2.73</v>
      </c>
      <c r="W241" s="8" t="s">
        <v>256</v>
      </c>
      <c r="X241" s="2" t="s">
        <v>33</v>
      </c>
      <c r="Y241" s="2">
        <v>3</v>
      </c>
      <c r="Z241" s="11" t="s">
        <v>92</v>
      </c>
      <c r="AA241" s="20">
        <v>45272</v>
      </c>
      <c r="AB241" s="8">
        <v>34.481915816362161</v>
      </c>
      <c r="AC241" s="33">
        <v>3</v>
      </c>
      <c r="AD241" s="31" t="s">
        <v>42</v>
      </c>
      <c r="AE241" s="31" t="s">
        <v>193</v>
      </c>
      <c r="AF241" s="31" t="s">
        <v>43</v>
      </c>
      <c r="AG241" s="31" t="s">
        <v>213</v>
      </c>
      <c r="AH241" s="6">
        <v>101</v>
      </c>
      <c r="AI241" s="2" t="s">
        <v>1402</v>
      </c>
      <c r="AJ241" s="2" t="s">
        <v>1696</v>
      </c>
    </row>
    <row r="242" spans="1:36">
      <c r="A242" s="2" t="s">
        <v>1107</v>
      </c>
      <c r="B242" s="20">
        <v>45118</v>
      </c>
      <c r="C242" s="2" t="s">
        <v>487</v>
      </c>
      <c r="D242" s="6">
        <v>3</v>
      </c>
      <c r="E242" s="6">
        <v>75</v>
      </c>
      <c r="F242" s="6">
        <v>7</v>
      </c>
      <c r="G242" s="8" t="s">
        <v>256</v>
      </c>
      <c r="H242" s="8" t="s">
        <v>256</v>
      </c>
      <c r="I242" s="2" t="s">
        <v>4</v>
      </c>
      <c r="J242" s="2" t="s">
        <v>255</v>
      </c>
      <c r="K242" s="6">
        <v>300</v>
      </c>
      <c r="L242" s="6">
        <v>6</v>
      </c>
      <c r="M242" s="6">
        <v>15</v>
      </c>
      <c r="N242" s="6" t="s">
        <v>493</v>
      </c>
      <c r="O242" s="6" t="s">
        <v>493</v>
      </c>
      <c r="P242" s="6" t="s">
        <v>493</v>
      </c>
      <c r="Q242" s="6" t="s">
        <v>493</v>
      </c>
      <c r="R242" s="8">
        <v>4.54</v>
      </c>
      <c r="S242" s="20">
        <v>45118</v>
      </c>
      <c r="T242" s="20">
        <v>45119</v>
      </c>
      <c r="U242" s="33">
        <v>1</v>
      </c>
      <c r="V242" s="8">
        <v>1.8</v>
      </c>
      <c r="W242" s="8" t="s">
        <v>256</v>
      </c>
      <c r="X242" s="2" t="s">
        <v>33</v>
      </c>
      <c r="Y242" s="2">
        <v>3</v>
      </c>
      <c r="Z242" s="11" t="s">
        <v>99</v>
      </c>
      <c r="AA242" s="20">
        <v>45272</v>
      </c>
      <c r="AB242" s="8">
        <v>34.266029600998749</v>
      </c>
      <c r="AC242" s="33">
        <v>3</v>
      </c>
      <c r="AD242" s="31" t="s">
        <v>194</v>
      </c>
      <c r="AE242" s="31" t="s">
        <v>195</v>
      </c>
      <c r="AF242" s="31" t="s">
        <v>43</v>
      </c>
      <c r="AG242" s="31" t="s">
        <v>213</v>
      </c>
      <c r="AH242" s="6">
        <v>113</v>
      </c>
      <c r="AI242" s="2" t="s">
        <v>1403</v>
      </c>
      <c r="AJ242" s="2" t="s">
        <v>1696</v>
      </c>
    </row>
    <row r="243" spans="1:36">
      <c r="A243" s="2" t="s">
        <v>1108</v>
      </c>
      <c r="B243" s="20">
        <v>45118</v>
      </c>
      <c r="C243" s="2" t="s">
        <v>487</v>
      </c>
      <c r="D243" s="6">
        <v>3</v>
      </c>
      <c r="E243" s="6">
        <v>80</v>
      </c>
      <c r="F243" s="6">
        <v>7</v>
      </c>
      <c r="G243" s="8" t="s">
        <v>256</v>
      </c>
      <c r="H243" s="8" t="s">
        <v>256</v>
      </c>
      <c r="I243" s="2" t="s">
        <v>4</v>
      </c>
      <c r="J243" s="2" t="s">
        <v>40</v>
      </c>
      <c r="K243" s="6">
        <v>300</v>
      </c>
      <c r="L243" s="6">
        <v>6</v>
      </c>
      <c r="M243" s="6">
        <v>20</v>
      </c>
      <c r="N243" s="6" t="s">
        <v>493</v>
      </c>
      <c r="O243" s="6" t="s">
        <v>493</v>
      </c>
      <c r="P243" s="6" t="s">
        <v>493</v>
      </c>
      <c r="Q243" s="6" t="s">
        <v>493</v>
      </c>
      <c r="R243" s="8">
        <v>2.88</v>
      </c>
      <c r="S243" s="20">
        <v>45118</v>
      </c>
      <c r="T243" s="20">
        <v>45119</v>
      </c>
      <c r="U243" s="33">
        <v>1</v>
      </c>
      <c r="V243" s="8">
        <v>0.45</v>
      </c>
      <c r="W243" s="8" t="s">
        <v>256</v>
      </c>
      <c r="X243" s="2" t="s">
        <v>33</v>
      </c>
      <c r="Y243" s="2">
        <v>3</v>
      </c>
      <c r="Z243" s="11" t="s">
        <v>100</v>
      </c>
      <c r="AA243" s="20">
        <v>45272</v>
      </c>
      <c r="AB243" s="8">
        <v>15.864869591718341</v>
      </c>
      <c r="AC243" s="33">
        <v>3</v>
      </c>
      <c r="AD243" s="31" t="s">
        <v>196</v>
      </c>
      <c r="AE243" s="31" t="s">
        <v>197</v>
      </c>
      <c r="AF243" s="31" t="s">
        <v>43</v>
      </c>
      <c r="AG243" s="31" t="s">
        <v>213</v>
      </c>
      <c r="AH243" s="6">
        <v>125</v>
      </c>
      <c r="AI243" s="2" t="s">
        <v>1404</v>
      </c>
      <c r="AJ243" s="2" t="s">
        <v>1696</v>
      </c>
    </row>
    <row r="244" spans="1:36">
      <c r="A244" s="2" t="s">
        <v>1109</v>
      </c>
      <c r="B244" s="20">
        <v>45118</v>
      </c>
      <c r="C244" s="2" t="s">
        <v>487</v>
      </c>
      <c r="D244" s="6">
        <v>3</v>
      </c>
      <c r="E244" s="6">
        <v>81</v>
      </c>
      <c r="F244" s="6">
        <v>7</v>
      </c>
      <c r="G244" s="8" t="s">
        <v>256</v>
      </c>
      <c r="H244" s="8" t="s">
        <v>256</v>
      </c>
      <c r="I244" s="2" t="s">
        <v>4</v>
      </c>
      <c r="J244" s="2" t="s">
        <v>254</v>
      </c>
      <c r="K244" s="6">
        <v>300</v>
      </c>
      <c r="L244" s="6">
        <v>6</v>
      </c>
      <c r="M244" s="6">
        <v>21</v>
      </c>
      <c r="N244" s="6" t="s">
        <v>493</v>
      </c>
      <c r="O244" s="6" t="s">
        <v>493</v>
      </c>
      <c r="P244" s="6" t="s">
        <v>493</v>
      </c>
      <c r="Q244" s="6" t="s">
        <v>493</v>
      </c>
      <c r="R244" s="8">
        <v>3.26</v>
      </c>
      <c r="S244" s="20">
        <v>45118</v>
      </c>
      <c r="T244" s="20">
        <v>45119</v>
      </c>
      <c r="U244" s="33">
        <v>1</v>
      </c>
      <c r="V244" s="8">
        <v>0.43</v>
      </c>
      <c r="W244" s="8" t="s">
        <v>256</v>
      </c>
      <c r="X244" s="2" t="s">
        <v>33</v>
      </c>
      <c r="Y244" s="2">
        <v>3</v>
      </c>
      <c r="Z244" s="11" t="s">
        <v>141</v>
      </c>
      <c r="AA244" s="20">
        <v>45272</v>
      </c>
      <c r="AB244" s="8">
        <v>27.400362252754366</v>
      </c>
      <c r="AC244" s="33">
        <v>3</v>
      </c>
      <c r="AD244" s="31" t="s">
        <v>198</v>
      </c>
      <c r="AE244" s="31" t="s">
        <v>199</v>
      </c>
      <c r="AF244" s="31" t="s">
        <v>43</v>
      </c>
      <c r="AG244" s="31" t="s">
        <v>213</v>
      </c>
      <c r="AH244" s="6">
        <v>137</v>
      </c>
      <c r="AI244" s="2" t="s">
        <v>1405</v>
      </c>
      <c r="AJ244" s="2" t="s">
        <v>1696</v>
      </c>
    </row>
    <row r="245" spans="1:36">
      <c r="A245" s="2" t="s">
        <v>1110</v>
      </c>
      <c r="B245" s="20">
        <v>45118</v>
      </c>
      <c r="C245" s="2" t="s">
        <v>487</v>
      </c>
      <c r="D245" s="6">
        <v>3</v>
      </c>
      <c r="E245" s="6">
        <v>82</v>
      </c>
      <c r="F245" s="6">
        <v>7</v>
      </c>
      <c r="G245" s="8" t="s">
        <v>256</v>
      </c>
      <c r="H245" s="8" t="s">
        <v>256</v>
      </c>
      <c r="I245" s="2" t="s">
        <v>4</v>
      </c>
      <c r="J245" s="2" t="s">
        <v>253</v>
      </c>
      <c r="K245" s="6">
        <v>300</v>
      </c>
      <c r="L245" s="6">
        <v>6</v>
      </c>
      <c r="M245" s="6">
        <v>22</v>
      </c>
      <c r="N245" s="6" t="s">
        <v>493</v>
      </c>
      <c r="O245" s="6" t="s">
        <v>493</v>
      </c>
      <c r="P245" s="6" t="s">
        <v>493</v>
      </c>
      <c r="Q245" s="6" t="s">
        <v>493</v>
      </c>
      <c r="R245" s="8">
        <v>3.67</v>
      </c>
      <c r="S245" s="20">
        <v>45118</v>
      </c>
      <c r="T245" s="20">
        <v>45119</v>
      </c>
      <c r="U245" s="33">
        <v>1</v>
      </c>
      <c r="V245" s="8">
        <v>3.55</v>
      </c>
      <c r="W245" s="8" t="s">
        <v>256</v>
      </c>
      <c r="X245" s="2" t="s">
        <v>33</v>
      </c>
      <c r="Y245" s="2">
        <v>3</v>
      </c>
      <c r="Z245" s="11" t="s">
        <v>101</v>
      </c>
      <c r="AA245" s="20">
        <v>45272</v>
      </c>
      <c r="AB245" s="8">
        <v>41.616250135756189</v>
      </c>
      <c r="AC245" s="33">
        <v>3</v>
      </c>
      <c r="AD245" s="31" t="s">
        <v>200</v>
      </c>
      <c r="AE245" s="31" t="s">
        <v>201</v>
      </c>
      <c r="AF245" s="31" t="s">
        <v>43</v>
      </c>
      <c r="AG245" s="31" t="s">
        <v>213</v>
      </c>
      <c r="AH245" s="6">
        <v>149</v>
      </c>
      <c r="AI245" s="2" t="s">
        <v>1406</v>
      </c>
      <c r="AJ245" s="2" t="s">
        <v>1696</v>
      </c>
    </row>
    <row r="246" spans="1:36">
      <c r="A246" s="2" t="s">
        <v>1111</v>
      </c>
      <c r="B246" s="20">
        <v>45118</v>
      </c>
      <c r="C246" s="2" t="s">
        <v>487</v>
      </c>
      <c r="D246" s="6">
        <v>3</v>
      </c>
      <c r="E246" s="6">
        <v>87</v>
      </c>
      <c r="F246" s="6">
        <v>8</v>
      </c>
      <c r="G246" s="8" t="s">
        <v>256</v>
      </c>
      <c r="H246" s="8" t="s">
        <v>256</v>
      </c>
      <c r="I246" s="2" t="s">
        <v>6</v>
      </c>
      <c r="J246" s="2" t="s">
        <v>254</v>
      </c>
      <c r="K246" s="6">
        <v>300</v>
      </c>
      <c r="L246" s="6">
        <v>5</v>
      </c>
      <c r="M246" s="6">
        <v>15</v>
      </c>
      <c r="N246" s="6" t="s">
        <v>493</v>
      </c>
      <c r="O246" s="6" t="s">
        <v>493</v>
      </c>
      <c r="P246" s="6" t="s">
        <v>493</v>
      </c>
      <c r="Q246" s="6" t="s">
        <v>493</v>
      </c>
      <c r="R246" s="8">
        <v>2.27</v>
      </c>
      <c r="S246" s="20">
        <v>45118</v>
      </c>
      <c r="T246" s="20">
        <v>45119</v>
      </c>
      <c r="U246" s="33">
        <v>1</v>
      </c>
      <c r="V246" s="8">
        <v>0.12</v>
      </c>
      <c r="W246" s="8" t="s">
        <v>256</v>
      </c>
      <c r="X246" s="2" t="s">
        <v>33</v>
      </c>
      <c r="Y246" s="2">
        <v>3</v>
      </c>
      <c r="Z246" s="11" t="s">
        <v>93</v>
      </c>
      <c r="AA246" s="20">
        <v>45272</v>
      </c>
      <c r="AB246" s="8">
        <v>5.2431281311214057</v>
      </c>
      <c r="AC246" s="33">
        <v>3</v>
      </c>
      <c r="AD246" s="31" t="s">
        <v>202</v>
      </c>
      <c r="AE246" s="31" t="s">
        <v>203</v>
      </c>
      <c r="AF246" s="31" t="s">
        <v>43</v>
      </c>
      <c r="AG246" s="31" t="s">
        <v>213</v>
      </c>
      <c r="AH246" s="6">
        <v>161</v>
      </c>
      <c r="AI246" s="2" t="s">
        <v>1407</v>
      </c>
      <c r="AJ246" s="2" t="s">
        <v>1696</v>
      </c>
    </row>
    <row r="247" spans="1:36">
      <c r="A247" s="2" t="s">
        <v>1112</v>
      </c>
      <c r="B247" s="20">
        <v>45118</v>
      </c>
      <c r="C247" s="2" t="s">
        <v>487</v>
      </c>
      <c r="D247" s="6">
        <v>3</v>
      </c>
      <c r="E247" s="6">
        <v>88</v>
      </c>
      <c r="F247" s="6">
        <v>8</v>
      </c>
      <c r="G247" s="8" t="s">
        <v>256</v>
      </c>
      <c r="H247" s="8" t="s">
        <v>256</v>
      </c>
      <c r="I247" s="2" t="s">
        <v>6</v>
      </c>
      <c r="J247" s="2" t="s">
        <v>253</v>
      </c>
      <c r="K247" s="6">
        <v>300</v>
      </c>
      <c r="L247" s="6">
        <v>5</v>
      </c>
      <c r="M247" s="6">
        <v>16</v>
      </c>
      <c r="N247" s="6" t="s">
        <v>493</v>
      </c>
      <c r="O247" s="6" t="s">
        <v>493</v>
      </c>
      <c r="P247" s="6" t="s">
        <v>493</v>
      </c>
      <c r="Q247" s="6" t="s">
        <v>493</v>
      </c>
      <c r="R247" s="8">
        <v>2.33</v>
      </c>
      <c r="S247" s="20">
        <v>45118</v>
      </c>
      <c r="T247" s="20">
        <v>45119</v>
      </c>
      <c r="U247" s="33">
        <v>1</v>
      </c>
      <c r="V247" s="8">
        <v>2.34</v>
      </c>
      <c r="W247" s="8" t="s">
        <v>256</v>
      </c>
      <c r="X247" s="2" t="s">
        <v>33</v>
      </c>
      <c r="Y247" s="2">
        <v>3</v>
      </c>
      <c r="Z247" s="11" t="s">
        <v>104</v>
      </c>
      <c r="AA247" s="20">
        <v>45272</v>
      </c>
      <c r="AB247" s="8">
        <v>29.730939049275172</v>
      </c>
      <c r="AC247" s="33">
        <v>3</v>
      </c>
      <c r="AD247" s="31" t="s">
        <v>204</v>
      </c>
      <c r="AE247" s="31" t="s">
        <v>205</v>
      </c>
      <c r="AF247" s="31" t="s">
        <v>43</v>
      </c>
      <c r="AG247" s="31" t="s">
        <v>213</v>
      </c>
      <c r="AH247" s="6">
        <v>173</v>
      </c>
      <c r="AI247" s="2" t="s">
        <v>1408</v>
      </c>
      <c r="AJ247" s="2" t="s">
        <v>1696</v>
      </c>
    </row>
    <row r="248" spans="1:36">
      <c r="A248" s="2" t="s">
        <v>1113</v>
      </c>
      <c r="B248" s="20">
        <v>45118</v>
      </c>
      <c r="C248" s="2" t="s">
        <v>487</v>
      </c>
      <c r="D248" s="6">
        <v>3</v>
      </c>
      <c r="E248" s="6">
        <v>89</v>
      </c>
      <c r="F248" s="6">
        <v>8</v>
      </c>
      <c r="G248" s="8" t="s">
        <v>256</v>
      </c>
      <c r="H248" s="8" t="s">
        <v>256</v>
      </c>
      <c r="I248" s="2" t="s">
        <v>6</v>
      </c>
      <c r="J248" s="2" t="s">
        <v>255</v>
      </c>
      <c r="K248" s="6">
        <v>300</v>
      </c>
      <c r="L248" s="6">
        <v>5</v>
      </c>
      <c r="M248" s="6">
        <v>17</v>
      </c>
      <c r="N248" s="6" t="s">
        <v>493</v>
      </c>
      <c r="O248" s="6" t="s">
        <v>493</v>
      </c>
      <c r="P248" s="6" t="s">
        <v>493</v>
      </c>
      <c r="Q248" s="6" t="s">
        <v>493</v>
      </c>
      <c r="R248" s="8">
        <v>3.25</v>
      </c>
      <c r="S248" s="20">
        <v>45118</v>
      </c>
      <c r="T248" s="20">
        <v>45119</v>
      </c>
      <c r="U248" s="33">
        <v>1</v>
      </c>
      <c r="V248" s="8">
        <v>1.24</v>
      </c>
      <c r="W248" s="8" t="s">
        <v>256</v>
      </c>
      <c r="X248" s="2" t="s">
        <v>33</v>
      </c>
      <c r="Y248" s="2">
        <v>3</v>
      </c>
      <c r="Z248" s="11" t="s">
        <v>243</v>
      </c>
      <c r="AA248" s="20">
        <v>45272</v>
      </c>
      <c r="AB248" s="8">
        <v>30.608721373683789</v>
      </c>
      <c r="AC248" s="33">
        <v>3</v>
      </c>
      <c r="AD248" s="31" t="s">
        <v>206</v>
      </c>
      <c r="AE248" s="31" t="s">
        <v>207</v>
      </c>
      <c r="AF248" s="31" t="s">
        <v>43</v>
      </c>
      <c r="AG248" s="31" t="s">
        <v>213</v>
      </c>
      <c r="AH248" s="6">
        <v>185</v>
      </c>
      <c r="AI248" s="2" t="s">
        <v>1409</v>
      </c>
      <c r="AJ248" s="2" t="s">
        <v>1696</v>
      </c>
    </row>
    <row r="249" spans="1:36">
      <c r="A249" s="2" t="s">
        <v>1114</v>
      </c>
      <c r="B249" s="20">
        <v>45118</v>
      </c>
      <c r="C249" s="2" t="s">
        <v>487</v>
      </c>
      <c r="D249" s="6">
        <v>3</v>
      </c>
      <c r="E249" s="6">
        <v>91</v>
      </c>
      <c r="F249" s="6">
        <v>8</v>
      </c>
      <c r="G249" s="8" t="s">
        <v>256</v>
      </c>
      <c r="H249" s="8" t="s">
        <v>256</v>
      </c>
      <c r="I249" s="2" t="s">
        <v>6</v>
      </c>
      <c r="J249" s="2" t="s">
        <v>40</v>
      </c>
      <c r="K249" s="6">
        <v>300</v>
      </c>
      <c r="L249" s="6">
        <v>5</v>
      </c>
      <c r="M249" s="6">
        <v>19</v>
      </c>
      <c r="N249" s="6" t="s">
        <v>493</v>
      </c>
      <c r="O249" s="6" t="s">
        <v>493</v>
      </c>
      <c r="P249" s="6" t="s">
        <v>493</v>
      </c>
      <c r="Q249" s="6" t="s">
        <v>493</v>
      </c>
      <c r="R249" s="8">
        <v>1.97</v>
      </c>
      <c r="S249" s="20">
        <v>45118</v>
      </c>
      <c r="T249" s="20">
        <v>45119</v>
      </c>
      <c r="U249" s="33">
        <v>1</v>
      </c>
      <c r="V249" s="8">
        <v>0.97</v>
      </c>
      <c r="W249" s="8" t="s">
        <v>256</v>
      </c>
      <c r="X249" s="2" t="s">
        <v>33</v>
      </c>
      <c r="Y249" s="2">
        <v>3</v>
      </c>
      <c r="Z249" s="11" t="s">
        <v>95</v>
      </c>
      <c r="AA249" s="20">
        <v>45272</v>
      </c>
      <c r="AB249" s="8">
        <v>31.739203031433107</v>
      </c>
      <c r="AC249" s="33">
        <v>3</v>
      </c>
      <c r="AD249" s="31" t="s">
        <v>42</v>
      </c>
      <c r="AE249" s="31" t="s">
        <v>193</v>
      </c>
      <c r="AF249" s="31" t="s">
        <v>168</v>
      </c>
      <c r="AG249" s="31" t="s">
        <v>216</v>
      </c>
      <c r="AH249" s="6">
        <v>102</v>
      </c>
      <c r="AI249" s="2" t="s">
        <v>1410</v>
      </c>
      <c r="AJ249" s="2" t="s">
        <v>1696</v>
      </c>
    </row>
    <row r="250" spans="1:36">
      <c r="A250" s="2" t="s">
        <v>1115</v>
      </c>
      <c r="B250" s="20">
        <v>45118</v>
      </c>
      <c r="C250" s="2" t="s">
        <v>487</v>
      </c>
      <c r="D250" s="6">
        <v>3</v>
      </c>
      <c r="E250" s="6">
        <v>98</v>
      </c>
      <c r="F250" s="6">
        <v>9</v>
      </c>
      <c r="G250" s="8" t="s">
        <v>256</v>
      </c>
      <c r="H250" s="8" t="s">
        <v>256</v>
      </c>
      <c r="I250" s="2" t="s">
        <v>5</v>
      </c>
      <c r="J250" s="2" t="s">
        <v>253</v>
      </c>
      <c r="K250" s="6">
        <v>300</v>
      </c>
      <c r="L250" s="6">
        <v>4</v>
      </c>
      <c r="M250" s="6">
        <v>14</v>
      </c>
      <c r="N250" s="6" t="s">
        <v>493</v>
      </c>
      <c r="O250" s="6" t="s">
        <v>493</v>
      </c>
      <c r="P250" s="6" t="s">
        <v>493</v>
      </c>
      <c r="Q250" s="6" t="s">
        <v>493</v>
      </c>
      <c r="R250" s="8">
        <v>5.81</v>
      </c>
      <c r="S250" s="20">
        <v>45118</v>
      </c>
      <c r="T250" s="20">
        <v>45119</v>
      </c>
      <c r="U250" s="33">
        <v>1</v>
      </c>
      <c r="V250" s="8">
        <v>8.81</v>
      </c>
      <c r="W250" s="8" t="s">
        <v>256</v>
      </c>
      <c r="X250" s="2" t="s">
        <v>33</v>
      </c>
      <c r="Y250" s="2">
        <v>3</v>
      </c>
      <c r="Z250" s="11" t="s">
        <v>106</v>
      </c>
      <c r="AA250" s="20">
        <v>45272</v>
      </c>
      <c r="AB250" s="8">
        <v>31.135194820815379</v>
      </c>
      <c r="AC250" s="33">
        <v>3</v>
      </c>
      <c r="AD250" s="31" t="s">
        <v>194</v>
      </c>
      <c r="AE250" s="31" t="s">
        <v>195</v>
      </c>
      <c r="AF250" s="31" t="s">
        <v>168</v>
      </c>
      <c r="AG250" s="31" t="s">
        <v>216</v>
      </c>
      <c r="AH250" s="6">
        <v>114</v>
      </c>
      <c r="AI250" s="2" t="s">
        <v>1411</v>
      </c>
      <c r="AJ250" s="2" t="s">
        <v>1696</v>
      </c>
    </row>
    <row r="251" spans="1:36">
      <c r="A251" s="2" t="s">
        <v>1116</v>
      </c>
      <c r="B251" s="20">
        <v>45118</v>
      </c>
      <c r="C251" s="2" t="s">
        <v>487</v>
      </c>
      <c r="D251" s="6">
        <v>3</v>
      </c>
      <c r="E251" s="6">
        <v>100</v>
      </c>
      <c r="F251" s="6">
        <v>9</v>
      </c>
      <c r="G251" s="8" t="s">
        <v>256</v>
      </c>
      <c r="H251" s="8" t="s">
        <v>256</v>
      </c>
      <c r="I251" s="2" t="s">
        <v>5</v>
      </c>
      <c r="J251" s="2" t="s">
        <v>40</v>
      </c>
      <c r="K251" s="6">
        <v>300</v>
      </c>
      <c r="L251" s="6">
        <v>4</v>
      </c>
      <c r="M251" s="6">
        <v>16</v>
      </c>
      <c r="N251" s="6" t="s">
        <v>493</v>
      </c>
      <c r="O251" s="6" t="s">
        <v>493</v>
      </c>
      <c r="P251" s="6" t="s">
        <v>493</v>
      </c>
      <c r="Q251" s="6" t="s">
        <v>493</v>
      </c>
      <c r="R251" s="8">
        <v>4.71</v>
      </c>
      <c r="S251" s="20">
        <v>45118</v>
      </c>
      <c r="T251" s="20">
        <v>45119</v>
      </c>
      <c r="U251" s="33">
        <v>1</v>
      </c>
      <c r="V251" s="8">
        <v>1.56</v>
      </c>
      <c r="W251" s="8" t="s">
        <v>256</v>
      </c>
      <c r="X251" s="2" t="s">
        <v>33</v>
      </c>
      <c r="Y251" s="2">
        <v>3</v>
      </c>
      <c r="Z251" s="11" t="s">
        <v>107</v>
      </c>
      <c r="AA251" s="20">
        <v>45272</v>
      </c>
      <c r="AB251" s="8">
        <v>30.586791928546695</v>
      </c>
      <c r="AC251" s="33">
        <v>3</v>
      </c>
      <c r="AD251" s="31" t="s">
        <v>196</v>
      </c>
      <c r="AE251" s="31" t="s">
        <v>197</v>
      </c>
      <c r="AF251" s="31" t="s">
        <v>168</v>
      </c>
      <c r="AG251" s="31" t="s">
        <v>216</v>
      </c>
      <c r="AH251" s="6">
        <v>126</v>
      </c>
      <c r="AI251" s="2" t="s">
        <v>1412</v>
      </c>
      <c r="AJ251" s="2" t="s">
        <v>1696</v>
      </c>
    </row>
    <row r="252" spans="1:36">
      <c r="A252" s="2" t="s">
        <v>1117</v>
      </c>
      <c r="B252" s="20">
        <v>45118</v>
      </c>
      <c r="C252" s="2" t="s">
        <v>487</v>
      </c>
      <c r="D252" s="6">
        <v>3</v>
      </c>
      <c r="E252" s="6">
        <v>104</v>
      </c>
      <c r="F252" s="6">
        <v>9</v>
      </c>
      <c r="G252" s="8" t="s">
        <v>256</v>
      </c>
      <c r="H252" s="8" t="s">
        <v>256</v>
      </c>
      <c r="I252" s="2" t="s">
        <v>5</v>
      </c>
      <c r="J252" s="2" t="s">
        <v>254</v>
      </c>
      <c r="K252" s="6">
        <v>300</v>
      </c>
      <c r="L252" s="6">
        <v>4</v>
      </c>
      <c r="M252" s="6">
        <v>20</v>
      </c>
      <c r="N252" s="6" t="s">
        <v>493</v>
      </c>
      <c r="O252" s="6" t="s">
        <v>493</v>
      </c>
      <c r="P252" s="6" t="s">
        <v>493</v>
      </c>
      <c r="Q252" s="6" t="s">
        <v>493</v>
      </c>
      <c r="R252" s="8">
        <v>4.21</v>
      </c>
      <c r="S252" s="20">
        <v>45118</v>
      </c>
      <c r="T252" s="20">
        <v>45119</v>
      </c>
      <c r="U252" s="33">
        <v>1</v>
      </c>
      <c r="V252" s="8">
        <v>1.78</v>
      </c>
      <c r="W252" s="8" t="s">
        <v>256</v>
      </c>
      <c r="X252" s="2" t="s">
        <v>33</v>
      </c>
      <c r="Y252" s="2">
        <v>3</v>
      </c>
      <c r="Z252" s="11" t="s">
        <v>97</v>
      </c>
      <c r="AA252" s="20">
        <v>45272</v>
      </c>
      <c r="AB252" s="8">
        <v>36.225410932161928</v>
      </c>
      <c r="AC252" s="33">
        <v>3</v>
      </c>
      <c r="AD252" s="31" t="s">
        <v>198</v>
      </c>
      <c r="AE252" s="31" t="s">
        <v>199</v>
      </c>
      <c r="AF252" s="31" t="s">
        <v>168</v>
      </c>
      <c r="AG252" s="31" t="s">
        <v>216</v>
      </c>
      <c r="AH252" s="6">
        <v>138</v>
      </c>
      <c r="AI252" s="2" t="s">
        <v>1413</v>
      </c>
      <c r="AJ252" s="2" t="s">
        <v>1696</v>
      </c>
    </row>
    <row r="253" spans="1:36">
      <c r="A253" s="2" t="s">
        <v>1118</v>
      </c>
      <c r="B253" s="20">
        <v>45118</v>
      </c>
      <c r="C253" s="2" t="s">
        <v>487</v>
      </c>
      <c r="D253" s="6">
        <v>3</v>
      </c>
      <c r="E253" s="6">
        <v>107</v>
      </c>
      <c r="F253" s="6">
        <v>9</v>
      </c>
      <c r="G253" s="8" t="s">
        <v>256</v>
      </c>
      <c r="H253" s="8" t="s">
        <v>256</v>
      </c>
      <c r="I253" s="2" t="s">
        <v>5</v>
      </c>
      <c r="J253" s="2" t="s">
        <v>255</v>
      </c>
      <c r="K253" s="6">
        <v>300</v>
      </c>
      <c r="L253" s="6">
        <v>4</v>
      </c>
      <c r="M253" s="6">
        <v>23</v>
      </c>
      <c r="N253" s="6" t="s">
        <v>493</v>
      </c>
      <c r="O253" s="6" t="s">
        <v>493</v>
      </c>
      <c r="P253" s="6" t="s">
        <v>493</v>
      </c>
      <c r="Q253" s="6" t="s">
        <v>493</v>
      </c>
      <c r="R253" s="8">
        <v>4.16</v>
      </c>
      <c r="S253" s="20">
        <v>45118</v>
      </c>
      <c r="T253" s="20">
        <v>45119</v>
      </c>
      <c r="U253" s="33">
        <v>1</v>
      </c>
      <c r="V253" s="8">
        <v>6.73</v>
      </c>
      <c r="W253" s="8" t="s">
        <v>256</v>
      </c>
      <c r="X253" s="2" t="s">
        <v>33</v>
      </c>
      <c r="Y253" s="2">
        <v>3</v>
      </c>
      <c r="Z253" s="11" t="s">
        <v>98</v>
      </c>
      <c r="AA253" s="20">
        <v>45272</v>
      </c>
      <c r="AB253" s="8">
        <v>28.380047706965915</v>
      </c>
      <c r="AC253" s="33">
        <v>3</v>
      </c>
      <c r="AD253" s="31" t="s">
        <v>200</v>
      </c>
      <c r="AE253" s="31" t="s">
        <v>201</v>
      </c>
      <c r="AF253" s="31" t="s">
        <v>168</v>
      </c>
      <c r="AG253" s="31" t="s">
        <v>216</v>
      </c>
      <c r="AH253" s="6">
        <v>150</v>
      </c>
      <c r="AI253" s="2" t="s">
        <v>1414</v>
      </c>
      <c r="AJ253" s="2" t="s">
        <v>1696</v>
      </c>
    </row>
    <row r="254" spans="1:36">
      <c r="A254" s="4" t="s">
        <v>1119</v>
      </c>
      <c r="B254" s="103">
        <v>45125</v>
      </c>
      <c r="C254" s="2" t="s">
        <v>487</v>
      </c>
      <c r="D254" s="6">
        <v>1</v>
      </c>
      <c r="E254" s="6">
        <v>3</v>
      </c>
      <c r="F254" s="6">
        <v>1</v>
      </c>
      <c r="G254" s="8" t="s">
        <v>256</v>
      </c>
      <c r="H254" s="8" t="s">
        <v>256</v>
      </c>
      <c r="I254" s="2" t="s">
        <v>5</v>
      </c>
      <c r="J254" s="2" t="s">
        <v>40</v>
      </c>
      <c r="K254" s="6">
        <v>300</v>
      </c>
      <c r="L254" s="6">
        <v>6</v>
      </c>
      <c r="M254" s="6">
        <v>3</v>
      </c>
      <c r="N254" s="6" t="s">
        <v>493</v>
      </c>
      <c r="O254" s="6" t="s">
        <v>493</v>
      </c>
      <c r="P254" s="6" t="s">
        <v>493</v>
      </c>
      <c r="Q254" s="6" t="s">
        <v>493</v>
      </c>
      <c r="R254" s="8">
        <v>2.0499999999999998</v>
      </c>
      <c r="S254" s="20">
        <v>45125</v>
      </c>
      <c r="T254" s="20">
        <v>45126</v>
      </c>
      <c r="U254" s="33">
        <v>1</v>
      </c>
      <c r="V254" s="8">
        <v>7.3999999999999996E-2</v>
      </c>
      <c r="W254" s="8" t="s">
        <v>256</v>
      </c>
      <c r="X254" s="2" t="s">
        <v>34</v>
      </c>
      <c r="Y254" s="2">
        <v>4</v>
      </c>
      <c r="Z254" s="11" t="s">
        <v>84</v>
      </c>
      <c r="AA254" s="20">
        <v>45279</v>
      </c>
      <c r="AB254" s="8">
        <v>6.2089999999999996</v>
      </c>
      <c r="AC254" s="33">
        <v>4</v>
      </c>
      <c r="AD254" s="31" t="s">
        <v>204</v>
      </c>
      <c r="AE254" s="31" t="s">
        <v>205</v>
      </c>
      <c r="AF254" s="31" t="s">
        <v>174</v>
      </c>
      <c r="AG254" s="31" t="s">
        <v>222</v>
      </c>
      <c r="AH254" s="6">
        <v>362</v>
      </c>
      <c r="AI254" s="4" t="s">
        <v>1415</v>
      </c>
      <c r="AJ254" s="2" t="s">
        <v>1696</v>
      </c>
    </row>
    <row r="255" spans="1:36">
      <c r="A255" s="2" t="s">
        <v>1120</v>
      </c>
      <c r="B255" s="103">
        <v>45125</v>
      </c>
      <c r="C255" s="2" t="s">
        <v>487</v>
      </c>
      <c r="D255" s="6">
        <v>1</v>
      </c>
      <c r="E255" s="6">
        <v>5</v>
      </c>
      <c r="F255" s="6">
        <v>1</v>
      </c>
      <c r="G255" s="8" t="s">
        <v>256</v>
      </c>
      <c r="H255" s="8" t="s">
        <v>256</v>
      </c>
      <c r="I255" s="2" t="s">
        <v>5</v>
      </c>
      <c r="J255" s="2" t="s">
        <v>255</v>
      </c>
      <c r="K255" s="6">
        <v>300</v>
      </c>
      <c r="L255" s="6">
        <v>6</v>
      </c>
      <c r="M255" s="6">
        <v>5</v>
      </c>
      <c r="N255" s="6" t="s">
        <v>493</v>
      </c>
      <c r="O255" s="6" t="s">
        <v>493</v>
      </c>
      <c r="P255" s="6" t="s">
        <v>493</v>
      </c>
      <c r="Q255" s="6" t="s">
        <v>493</v>
      </c>
      <c r="R255" s="8">
        <v>4.09</v>
      </c>
      <c r="S255" s="20">
        <v>45125</v>
      </c>
      <c r="T255" s="20">
        <v>45126</v>
      </c>
      <c r="U255" s="33">
        <v>1</v>
      </c>
      <c r="V255" s="8">
        <v>0.28999999999999998</v>
      </c>
      <c r="W255" s="8" t="s">
        <v>256</v>
      </c>
      <c r="X255" s="2" t="s">
        <v>33</v>
      </c>
      <c r="Y255" s="2">
        <v>3</v>
      </c>
      <c r="Z255" s="11" t="s">
        <v>109</v>
      </c>
      <c r="AA255" s="20">
        <v>45272</v>
      </c>
      <c r="AB255" s="8">
        <v>11.077548729957853</v>
      </c>
      <c r="AC255" s="33">
        <v>3</v>
      </c>
      <c r="AD255" s="31" t="s">
        <v>202</v>
      </c>
      <c r="AE255" s="31" t="s">
        <v>203</v>
      </c>
      <c r="AF255" s="31" t="s">
        <v>168</v>
      </c>
      <c r="AG255" s="31" t="s">
        <v>216</v>
      </c>
      <c r="AH255" s="6">
        <v>162</v>
      </c>
      <c r="AI255" s="2" t="s">
        <v>1416</v>
      </c>
      <c r="AJ255" s="2" t="s">
        <v>1696</v>
      </c>
    </row>
    <row r="256" spans="1:36">
      <c r="A256" s="2" t="s">
        <v>1121</v>
      </c>
      <c r="B256" s="103">
        <v>45125</v>
      </c>
      <c r="C256" s="2" t="s">
        <v>487</v>
      </c>
      <c r="D256" s="6">
        <v>1</v>
      </c>
      <c r="E256" s="6">
        <v>9</v>
      </c>
      <c r="F256" s="6">
        <v>1</v>
      </c>
      <c r="G256" s="8" t="s">
        <v>256</v>
      </c>
      <c r="H256" s="8" t="s">
        <v>256</v>
      </c>
      <c r="I256" s="2" t="s">
        <v>5</v>
      </c>
      <c r="J256" s="2" t="s">
        <v>254</v>
      </c>
      <c r="K256" s="6">
        <v>300</v>
      </c>
      <c r="L256" s="6">
        <v>6</v>
      </c>
      <c r="M256" s="6">
        <v>9</v>
      </c>
      <c r="N256" s="6" t="s">
        <v>493</v>
      </c>
      <c r="O256" s="6" t="s">
        <v>493</v>
      </c>
      <c r="P256" s="6" t="s">
        <v>493</v>
      </c>
      <c r="Q256" s="6" t="s">
        <v>493</v>
      </c>
      <c r="R256" s="8">
        <v>3.79</v>
      </c>
      <c r="S256" s="20">
        <v>45125</v>
      </c>
      <c r="T256" s="20">
        <v>45126</v>
      </c>
      <c r="U256" s="33">
        <v>1</v>
      </c>
      <c r="V256" s="8">
        <v>0.45</v>
      </c>
      <c r="W256" s="8" t="s">
        <v>256</v>
      </c>
      <c r="X256" s="2" t="s">
        <v>33</v>
      </c>
      <c r="Y256" s="2">
        <v>3</v>
      </c>
      <c r="Z256" s="11" t="s">
        <v>110</v>
      </c>
      <c r="AA256" s="20">
        <v>45272</v>
      </c>
      <c r="AB256" s="8">
        <v>12.484722868721628</v>
      </c>
      <c r="AC256" s="33">
        <v>3</v>
      </c>
      <c r="AD256" s="31" t="s">
        <v>204</v>
      </c>
      <c r="AE256" s="31" t="s">
        <v>205</v>
      </c>
      <c r="AF256" s="31" t="s">
        <v>168</v>
      </c>
      <c r="AG256" s="31" t="s">
        <v>216</v>
      </c>
      <c r="AH256" s="6">
        <v>174</v>
      </c>
      <c r="AI256" s="2" t="s">
        <v>1417</v>
      </c>
      <c r="AJ256" s="2" t="s">
        <v>1696</v>
      </c>
    </row>
    <row r="257" spans="1:36">
      <c r="A257" s="2" t="s">
        <v>1122</v>
      </c>
      <c r="B257" s="103">
        <v>45125</v>
      </c>
      <c r="C257" s="2" t="s">
        <v>487</v>
      </c>
      <c r="D257" s="6">
        <v>1</v>
      </c>
      <c r="E257" s="6">
        <v>10</v>
      </c>
      <c r="F257" s="6">
        <v>1</v>
      </c>
      <c r="G257" s="8" t="s">
        <v>256</v>
      </c>
      <c r="H257" s="8" t="s">
        <v>256</v>
      </c>
      <c r="I257" s="2" t="s">
        <v>5</v>
      </c>
      <c r="J257" s="2" t="s">
        <v>253</v>
      </c>
      <c r="K257" s="6">
        <v>300</v>
      </c>
      <c r="L257" s="6">
        <v>6</v>
      </c>
      <c r="M257" s="6">
        <v>10</v>
      </c>
      <c r="N257" s="6" t="s">
        <v>493</v>
      </c>
      <c r="O257" s="6" t="s">
        <v>493</v>
      </c>
      <c r="P257" s="6" t="s">
        <v>493</v>
      </c>
      <c r="Q257" s="6" t="s">
        <v>493</v>
      </c>
      <c r="R257" s="8">
        <v>3.64</v>
      </c>
      <c r="S257" s="20">
        <v>45125</v>
      </c>
      <c r="T257" s="20">
        <v>45126</v>
      </c>
      <c r="U257" s="33">
        <v>1</v>
      </c>
      <c r="V257" s="8">
        <v>0.77</v>
      </c>
      <c r="W257" s="8" t="s">
        <v>256</v>
      </c>
      <c r="X257" s="2" t="s">
        <v>33</v>
      </c>
      <c r="Y257" s="2">
        <v>3</v>
      </c>
      <c r="Z257" s="11" t="s">
        <v>150</v>
      </c>
      <c r="AA257" s="20">
        <v>45272</v>
      </c>
      <c r="AB257" s="8">
        <v>27.378724644339627</v>
      </c>
      <c r="AC257" s="33">
        <v>3</v>
      </c>
      <c r="AD257" s="31" t="s">
        <v>206</v>
      </c>
      <c r="AE257" s="31" t="s">
        <v>207</v>
      </c>
      <c r="AF257" s="31" t="s">
        <v>168</v>
      </c>
      <c r="AG257" s="31" t="s">
        <v>216</v>
      </c>
      <c r="AH257" s="6">
        <v>186</v>
      </c>
      <c r="AI257" s="2" t="s">
        <v>1418</v>
      </c>
      <c r="AJ257" s="2" t="s">
        <v>1696</v>
      </c>
    </row>
    <row r="258" spans="1:36">
      <c r="A258" s="2" t="s">
        <v>1123</v>
      </c>
      <c r="B258" s="103">
        <v>45125</v>
      </c>
      <c r="C258" s="2" t="s">
        <v>487</v>
      </c>
      <c r="D258" s="6">
        <v>1</v>
      </c>
      <c r="E258" s="6">
        <v>17</v>
      </c>
      <c r="F258" s="6">
        <v>2</v>
      </c>
      <c r="G258" s="8" t="s">
        <v>256</v>
      </c>
      <c r="H258" s="8" t="s">
        <v>256</v>
      </c>
      <c r="I258" s="2" t="s">
        <v>4</v>
      </c>
      <c r="J258" s="2" t="s">
        <v>253</v>
      </c>
      <c r="K258" s="6">
        <v>300</v>
      </c>
      <c r="L258" s="6">
        <v>5</v>
      </c>
      <c r="M258" s="6">
        <v>5</v>
      </c>
      <c r="N258" s="6" t="s">
        <v>493</v>
      </c>
      <c r="O258" s="6" t="s">
        <v>493</v>
      </c>
      <c r="P258" s="6" t="s">
        <v>493</v>
      </c>
      <c r="Q258" s="6" t="s">
        <v>493</v>
      </c>
      <c r="R258" s="8">
        <v>2.63</v>
      </c>
      <c r="S258" s="20">
        <v>45125</v>
      </c>
      <c r="T258" s="20">
        <v>45126</v>
      </c>
      <c r="U258" s="33">
        <v>1</v>
      </c>
      <c r="V258" s="8">
        <v>0.12</v>
      </c>
      <c r="W258" s="8" t="s">
        <v>256</v>
      </c>
      <c r="X258" s="2" t="s">
        <v>34</v>
      </c>
      <c r="Y258" s="2">
        <v>4</v>
      </c>
      <c r="Z258" s="11" t="s">
        <v>88</v>
      </c>
      <c r="AA258" s="20">
        <v>45279</v>
      </c>
      <c r="AB258" s="8">
        <v>4.4249999999999998</v>
      </c>
      <c r="AC258" s="33">
        <v>4</v>
      </c>
      <c r="AD258" s="31" t="s">
        <v>200</v>
      </c>
      <c r="AE258" s="31" t="s">
        <v>201</v>
      </c>
      <c r="AF258" s="31" t="s">
        <v>176</v>
      </c>
      <c r="AG258" s="31" t="s">
        <v>224</v>
      </c>
      <c r="AH258" s="6">
        <v>340</v>
      </c>
      <c r="AI258" s="2" t="s">
        <v>1419</v>
      </c>
      <c r="AJ258" s="2" t="s">
        <v>1696</v>
      </c>
    </row>
    <row r="259" spans="1:36">
      <c r="A259" s="2" t="s">
        <v>1124</v>
      </c>
      <c r="B259" s="103">
        <v>45125</v>
      </c>
      <c r="C259" s="2" t="s">
        <v>487</v>
      </c>
      <c r="D259" s="6">
        <v>1</v>
      </c>
      <c r="E259" s="6">
        <v>18</v>
      </c>
      <c r="F259" s="6">
        <v>2</v>
      </c>
      <c r="G259" s="8" t="s">
        <v>256</v>
      </c>
      <c r="H259" s="8" t="s">
        <v>256</v>
      </c>
      <c r="I259" s="2" t="s">
        <v>4</v>
      </c>
      <c r="J259" s="2" t="s">
        <v>40</v>
      </c>
      <c r="K259" s="6">
        <v>300</v>
      </c>
      <c r="L259" s="6">
        <v>5</v>
      </c>
      <c r="M259" s="6">
        <v>6</v>
      </c>
      <c r="N259" s="6" t="s">
        <v>493</v>
      </c>
      <c r="O259" s="6" t="s">
        <v>493</v>
      </c>
      <c r="P259" s="6" t="s">
        <v>493</v>
      </c>
      <c r="Q259" s="6" t="s">
        <v>493</v>
      </c>
      <c r="R259" s="8">
        <v>2.09</v>
      </c>
      <c r="S259" s="20">
        <v>45125</v>
      </c>
      <c r="T259" s="20">
        <v>45126</v>
      </c>
      <c r="U259" s="33">
        <v>1</v>
      </c>
      <c r="V259" s="8">
        <v>0.28999999999999998</v>
      </c>
      <c r="W259" s="8" t="s">
        <v>256</v>
      </c>
      <c r="X259" s="2" t="s">
        <v>33</v>
      </c>
      <c r="Y259" s="2">
        <v>3</v>
      </c>
      <c r="Z259" s="11" t="s">
        <v>112</v>
      </c>
      <c r="AA259" s="20">
        <v>45272</v>
      </c>
      <c r="AB259" s="8">
        <v>0.89326009343361124</v>
      </c>
      <c r="AC259" s="33">
        <v>3</v>
      </c>
      <c r="AD259" s="31" t="s">
        <v>194</v>
      </c>
      <c r="AE259" s="31" t="s">
        <v>195</v>
      </c>
      <c r="AF259" s="31" t="s">
        <v>169</v>
      </c>
      <c r="AG259" s="31" t="s">
        <v>217</v>
      </c>
      <c r="AH259" s="6">
        <v>115</v>
      </c>
      <c r="AI259" s="2" t="s">
        <v>1420</v>
      </c>
      <c r="AJ259" s="2" t="s">
        <v>1696</v>
      </c>
    </row>
    <row r="260" spans="1:36">
      <c r="A260" s="2" t="s">
        <v>1125</v>
      </c>
      <c r="B260" s="103">
        <v>45125</v>
      </c>
      <c r="C260" s="2" t="s">
        <v>487</v>
      </c>
      <c r="D260" s="6">
        <v>1</v>
      </c>
      <c r="E260" s="6">
        <v>22</v>
      </c>
      <c r="F260" s="6">
        <v>2</v>
      </c>
      <c r="G260" s="8" t="s">
        <v>256</v>
      </c>
      <c r="H260" s="8" t="s">
        <v>256</v>
      </c>
      <c r="I260" s="2" t="s">
        <v>4</v>
      </c>
      <c r="J260" s="2" t="s">
        <v>254</v>
      </c>
      <c r="K260" s="6">
        <v>300</v>
      </c>
      <c r="L260" s="6">
        <v>5</v>
      </c>
      <c r="M260" s="6">
        <v>10</v>
      </c>
      <c r="N260" s="6" t="s">
        <v>493</v>
      </c>
      <c r="O260" s="6" t="s">
        <v>493</v>
      </c>
      <c r="P260" s="6" t="s">
        <v>493</v>
      </c>
      <c r="Q260" s="6" t="s">
        <v>493</v>
      </c>
      <c r="R260" s="8">
        <v>1.97</v>
      </c>
      <c r="S260" s="20">
        <v>45125</v>
      </c>
      <c r="T260" s="20">
        <v>45126</v>
      </c>
      <c r="U260" s="33">
        <v>1</v>
      </c>
      <c r="V260" s="8">
        <v>0.29499999999999998</v>
      </c>
      <c r="W260" s="8" t="s">
        <v>256</v>
      </c>
      <c r="X260" s="2" t="s">
        <v>33</v>
      </c>
      <c r="Y260" s="2">
        <v>3</v>
      </c>
      <c r="Z260" s="11" t="s">
        <v>151</v>
      </c>
      <c r="AA260" s="20">
        <v>45272</v>
      </c>
      <c r="AB260" s="8">
        <v>2.0110989674608306</v>
      </c>
      <c r="AC260" s="33">
        <v>3</v>
      </c>
      <c r="AD260" s="31" t="s">
        <v>196</v>
      </c>
      <c r="AE260" s="31" t="s">
        <v>197</v>
      </c>
      <c r="AF260" s="31" t="s">
        <v>169</v>
      </c>
      <c r="AG260" s="31" t="s">
        <v>217</v>
      </c>
      <c r="AH260" s="6">
        <v>127</v>
      </c>
      <c r="AI260" s="2" t="s">
        <v>1421</v>
      </c>
      <c r="AJ260" s="2" t="s">
        <v>1696</v>
      </c>
    </row>
    <row r="261" spans="1:36">
      <c r="A261" s="2" t="s">
        <v>1126</v>
      </c>
      <c r="B261" s="103">
        <v>45125</v>
      </c>
      <c r="C261" s="2" t="s">
        <v>487</v>
      </c>
      <c r="D261" s="6">
        <v>1</v>
      </c>
      <c r="E261" s="6">
        <v>24</v>
      </c>
      <c r="F261" s="6">
        <v>2</v>
      </c>
      <c r="G261" s="8" t="s">
        <v>256</v>
      </c>
      <c r="H261" s="8" t="s">
        <v>256</v>
      </c>
      <c r="I261" s="2" t="s">
        <v>4</v>
      </c>
      <c r="J261" s="2" t="s">
        <v>255</v>
      </c>
      <c r="K261" s="6">
        <v>300</v>
      </c>
      <c r="L261" s="6">
        <v>5</v>
      </c>
      <c r="M261" s="6">
        <v>12</v>
      </c>
      <c r="N261" s="6" t="s">
        <v>493</v>
      </c>
      <c r="O261" s="6" t="s">
        <v>493</v>
      </c>
      <c r="P261" s="6" t="s">
        <v>493</v>
      </c>
      <c r="Q261" s="6" t="s">
        <v>493</v>
      </c>
      <c r="R261" s="8">
        <v>2.86</v>
      </c>
      <c r="S261" s="20">
        <v>45125</v>
      </c>
      <c r="T261" s="20">
        <v>45126</v>
      </c>
      <c r="U261" s="33">
        <v>1</v>
      </c>
      <c r="V261" s="8">
        <v>0.755</v>
      </c>
      <c r="W261" s="8" t="s">
        <v>256</v>
      </c>
      <c r="X261" s="2" t="s">
        <v>33</v>
      </c>
      <c r="Y261" s="2">
        <v>3</v>
      </c>
      <c r="Z261" s="11" t="s">
        <v>152</v>
      </c>
      <c r="AA261" s="20">
        <v>45272</v>
      </c>
      <c r="AB261" s="8">
        <v>3.3825856441764088</v>
      </c>
      <c r="AC261" s="33">
        <v>3</v>
      </c>
      <c r="AD261" s="31" t="s">
        <v>198</v>
      </c>
      <c r="AE261" s="31" t="s">
        <v>199</v>
      </c>
      <c r="AF261" s="31" t="s">
        <v>169</v>
      </c>
      <c r="AG261" s="31" t="s">
        <v>217</v>
      </c>
      <c r="AH261" s="6">
        <v>139</v>
      </c>
      <c r="AI261" s="2" t="s">
        <v>1422</v>
      </c>
      <c r="AJ261" s="2" t="s">
        <v>1696</v>
      </c>
    </row>
    <row r="262" spans="1:36">
      <c r="A262" s="2" t="s">
        <v>1127</v>
      </c>
      <c r="B262" s="103">
        <v>45125</v>
      </c>
      <c r="C262" s="2" t="s">
        <v>487</v>
      </c>
      <c r="D262" s="6">
        <v>1</v>
      </c>
      <c r="E262" s="6">
        <v>25</v>
      </c>
      <c r="F262" s="6">
        <v>3</v>
      </c>
      <c r="G262" s="8" t="s">
        <v>256</v>
      </c>
      <c r="H262" s="8" t="s">
        <v>256</v>
      </c>
      <c r="I262" s="2" t="s">
        <v>6</v>
      </c>
      <c r="J262" s="2" t="s">
        <v>253</v>
      </c>
      <c r="K262" s="6">
        <v>300</v>
      </c>
      <c r="L262" s="6">
        <v>4</v>
      </c>
      <c r="M262" s="6">
        <v>1</v>
      </c>
      <c r="N262" s="6" t="s">
        <v>493</v>
      </c>
      <c r="O262" s="6" t="s">
        <v>493</v>
      </c>
      <c r="P262" s="6" t="s">
        <v>493</v>
      </c>
      <c r="Q262" s="6" t="s">
        <v>493</v>
      </c>
      <c r="R262" s="8">
        <v>1.37</v>
      </c>
      <c r="S262" s="20">
        <v>45125</v>
      </c>
      <c r="T262" s="20">
        <v>45126</v>
      </c>
      <c r="U262" s="33">
        <v>1</v>
      </c>
      <c r="V262" s="8">
        <v>0.215</v>
      </c>
      <c r="W262" s="8" t="s">
        <v>256</v>
      </c>
      <c r="X262" s="2" t="s">
        <v>33</v>
      </c>
      <c r="Y262" s="2">
        <v>3</v>
      </c>
      <c r="Z262" s="11" t="s">
        <v>105</v>
      </c>
      <c r="AA262" s="20">
        <v>45272</v>
      </c>
      <c r="AB262" s="8">
        <v>3.062701328253151</v>
      </c>
      <c r="AC262" s="33">
        <v>3</v>
      </c>
      <c r="AD262" s="31" t="s">
        <v>200</v>
      </c>
      <c r="AE262" s="31" t="s">
        <v>201</v>
      </c>
      <c r="AF262" s="31" t="s">
        <v>169</v>
      </c>
      <c r="AG262" s="31" t="s">
        <v>217</v>
      </c>
      <c r="AH262" s="6">
        <v>151</v>
      </c>
      <c r="AI262" s="2" t="s">
        <v>1423</v>
      </c>
      <c r="AJ262" s="2" t="s">
        <v>1696</v>
      </c>
    </row>
    <row r="263" spans="1:36">
      <c r="A263" s="2" t="s">
        <v>1128</v>
      </c>
      <c r="B263" s="103">
        <v>45125</v>
      </c>
      <c r="C263" s="2" t="s">
        <v>487</v>
      </c>
      <c r="D263" s="6">
        <v>1</v>
      </c>
      <c r="E263" s="6">
        <v>26</v>
      </c>
      <c r="F263" s="6">
        <v>3</v>
      </c>
      <c r="G263" s="8" t="s">
        <v>256</v>
      </c>
      <c r="H263" s="8" t="s">
        <v>256</v>
      </c>
      <c r="I263" s="2" t="s">
        <v>6</v>
      </c>
      <c r="J263" s="2" t="s">
        <v>255</v>
      </c>
      <c r="K263" s="6">
        <v>300</v>
      </c>
      <c r="L263" s="6">
        <v>4</v>
      </c>
      <c r="M263" s="6">
        <v>2</v>
      </c>
      <c r="N263" s="6" t="s">
        <v>493</v>
      </c>
      <c r="O263" s="6" t="s">
        <v>493</v>
      </c>
      <c r="P263" s="6" t="s">
        <v>493</v>
      </c>
      <c r="Q263" s="6" t="s">
        <v>493</v>
      </c>
      <c r="R263" s="8">
        <v>2.6</v>
      </c>
      <c r="S263" s="20">
        <v>45125</v>
      </c>
      <c r="T263" s="20">
        <v>45126</v>
      </c>
      <c r="U263" s="33">
        <v>1</v>
      </c>
      <c r="V263" s="8">
        <v>0.90800000000000003</v>
      </c>
      <c r="W263" s="8" t="s">
        <v>256</v>
      </c>
      <c r="X263" s="2" t="s">
        <v>33</v>
      </c>
      <c r="Y263" s="2">
        <v>3</v>
      </c>
      <c r="Z263" s="11" t="s">
        <v>116</v>
      </c>
      <c r="AA263" s="20">
        <v>45272</v>
      </c>
      <c r="AB263" s="8">
        <v>9.7672956512367719</v>
      </c>
      <c r="AC263" s="33">
        <v>3</v>
      </c>
      <c r="AD263" s="31" t="s">
        <v>202</v>
      </c>
      <c r="AE263" s="31" t="s">
        <v>203</v>
      </c>
      <c r="AF263" s="31" t="s">
        <v>169</v>
      </c>
      <c r="AG263" s="31" t="s">
        <v>217</v>
      </c>
      <c r="AH263" s="6">
        <v>163</v>
      </c>
      <c r="AI263" s="2" t="s">
        <v>1424</v>
      </c>
      <c r="AJ263" s="2" t="s">
        <v>1696</v>
      </c>
    </row>
    <row r="264" spans="1:36">
      <c r="A264" s="2" t="s">
        <v>1129</v>
      </c>
      <c r="B264" s="103">
        <v>45125</v>
      </c>
      <c r="C264" s="2" t="s">
        <v>487</v>
      </c>
      <c r="D264" s="6">
        <v>1</v>
      </c>
      <c r="E264" s="6">
        <v>28</v>
      </c>
      <c r="F264" s="6">
        <v>3</v>
      </c>
      <c r="G264" s="8" t="s">
        <v>256</v>
      </c>
      <c r="H264" s="8" t="s">
        <v>256</v>
      </c>
      <c r="I264" s="2" t="s">
        <v>6</v>
      </c>
      <c r="J264" s="2" t="s">
        <v>254</v>
      </c>
      <c r="K264" s="6">
        <v>300</v>
      </c>
      <c r="L264" s="6">
        <v>4</v>
      </c>
      <c r="M264" s="6">
        <v>4</v>
      </c>
      <c r="N264" s="6" t="s">
        <v>493</v>
      </c>
      <c r="O264" s="6" t="s">
        <v>493</v>
      </c>
      <c r="P264" s="6" t="s">
        <v>493</v>
      </c>
      <c r="Q264" s="6" t="s">
        <v>493</v>
      </c>
      <c r="R264" s="8">
        <v>1.77</v>
      </c>
      <c r="S264" s="20">
        <v>45125</v>
      </c>
      <c r="T264" s="20">
        <v>45126</v>
      </c>
      <c r="U264" s="33">
        <v>1</v>
      </c>
      <c r="V264" s="8">
        <v>0.21</v>
      </c>
      <c r="W264" s="8" t="s">
        <v>256</v>
      </c>
      <c r="X264" s="2" t="s">
        <v>33</v>
      </c>
      <c r="Y264" s="2">
        <v>3</v>
      </c>
      <c r="Z264" s="11" t="s">
        <v>117</v>
      </c>
      <c r="AA264" s="20">
        <v>45272</v>
      </c>
      <c r="AB264" s="8">
        <v>2.3428130933796214</v>
      </c>
      <c r="AC264" s="33">
        <v>3</v>
      </c>
      <c r="AD264" s="31" t="s">
        <v>204</v>
      </c>
      <c r="AE264" s="31" t="s">
        <v>205</v>
      </c>
      <c r="AF264" s="31" t="s">
        <v>169</v>
      </c>
      <c r="AG264" s="31" t="s">
        <v>217</v>
      </c>
      <c r="AH264" s="6">
        <v>175</v>
      </c>
      <c r="AI264" s="2" t="s">
        <v>1425</v>
      </c>
      <c r="AJ264" s="2" t="s">
        <v>1696</v>
      </c>
    </row>
    <row r="265" spans="1:36">
      <c r="A265" s="2" t="s">
        <v>1130</v>
      </c>
      <c r="B265" s="103">
        <v>45125</v>
      </c>
      <c r="C265" s="2" t="s">
        <v>487</v>
      </c>
      <c r="D265" s="6">
        <v>1</v>
      </c>
      <c r="E265" s="6">
        <v>35</v>
      </c>
      <c r="F265" s="6">
        <v>3</v>
      </c>
      <c r="G265" s="8" t="s">
        <v>256</v>
      </c>
      <c r="H265" s="8" t="s">
        <v>256</v>
      </c>
      <c r="I265" s="2" t="s">
        <v>6</v>
      </c>
      <c r="J265" s="2" t="s">
        <v>40</v>
      </c>
      <c r="K265" s="6">
        <v>300</v>
      </c>
      <c r="L265" s="6">
        <v>4</v>
      </c>
      <c r="M265" s="6">
        <v>11</v>
      </c>
      <c r="N265" s="6" t="s">
        <v>493</v>
      </c>
      <c r="O265" s="6" t="s">
        <v>493</v>
      </c>
      <c r="P265" s="6" t="s">
        <v>493</v>
      </c>
      <c r="Q265" s="6" t="s">
        <v>493</v>
      </c>
      <c r="R265" s="8">
        <v>0.97</v>
      </c>
      <c r="S265" s="20">
        <v>45125</v>
      </c>
      <c r="T265" s="20">
        <v>45126</v>
      </c>
      <c r="U265" s="33">
        <v>1</v>
      </c>
      <c r="V265" s="8">
        <v>8.9999999999999993E-3</v>
      </c>
      <c r="W265" s="8" t="s">
        <v>256</v>
      </c>
      <c r="X265" s="2" t="s">
        <v>34</v>
      </c>
      <c r="Y265" s="2">
        <v>4</v>
      </c>
      <c r="Z265" s="11" t="s">
        <v>41</v>
      </c>
      <c r="AA265" s="20">
        <v>45279</v>
      </c>
      <c r="AB265" s="8">
        <v>2.5419999999999998</v>
      </c>
      <c r="AC265" s="33">
        <v>4</v>
      </c>
      <c r="AD265" s="31" t="s">
        <v>42</v>
      </c>
      <c r="AE265" s="31" t="s">
        <v>193</v>
      </c>
      <c r="AF265" s="31" t="s">
        <v>173</v>
      </c>
      <c r="AG265" s="31" t="s">
        <v>221</v>
      </c>
      <c r="AH265" s="6">
        <v>289</v>
      </c>
      <c r="AI265" s="2" t="s">
        <v>1426</v>
      </c>
      <c r="AJ265" s="2" t="s">
        <v>1696</v>
      </c>
    </row>
    <row r="266" spans="1:36">
      <c r="A266" s="2" t="s">
        <v>1131</v>
      </c>
      <c r="B266" s="103">
        <v>45125</v>
      </c>
      <c r="C266" s="2" t="s">
        <v>487</v>
      </c>
      <c r="D266" s="6">
        <v>2</v>
      </c>
      <c r="E266" s="6">
        <v>37</v>
      </c>
      <c r="F266" s="6">
        <v>4</v>
      </c>
      <c r="G266" s="8" t="s">
        <v>256</v>
      </c>
      <c r="H266" s="8" t="s">
        <v>256</v>
      </c>
      <c r="I266" s="2" t="s">
        <v>4</v>
      </c>
      <c r="J266" s="2" t="s">
        <v>40</v>
      </c>
      <c r="K266" s="6">
        <v>300</v>
      </c>
      <c r="L266" s="6">
        <v>3</v>
      </c>
      <c r="M266" s="6">
        <v>1</v>
      </c>
      <c r="N266" s="6" t="s">
        <v>493</v>
      </c>
      <c r="O266" s="6" t="s">
        <v>493</v>
      </c>
      <c r="P266" s="6" t="s">
        <v>493</v>
      </c>
      <c r="Q266" s="6" t="s">
        <v>493</v>
      </c>
      <c r="R266" s="8">
        <v>1.25</v>
      </c>
      <c r="S266" s="20">
        <v>45125</v>
      </c>
      <c r="T266" s="20">
        <v>45126</v>
      </c>
      <c r="U266" s="33">
        <v>1</v>
      </c>
      <c r="V266" s="8">
        <v>0.11600000000000001</v>
      </c>
      <c r="W266" s="8" t="s">
        <v>256</v>
      </c>
      <c r="X266" s="2" t="s">
        <v>33</v>
      </c>
      <c r="Y266" s="2">
        <v>3</v>
      </c>
      <c r="Z266" s="11" t="s">
        <v>142</v>
      </c>
      <c r="AA266" s="20">
        <v>45272</v>
      </c>
      <c r="AB266" s="8">
        <v>1.7372518944893514</v>
      </c>
      <c r="AC266" s="33">
        <v>3</v>
      </c>
      <c r="AD266" s="31" t="s">
        <v>206</v>
      </c>
      <c r="AE266" s="31" t="s">
        <v>207</v>
      </c>
      <c r="AF266" s="31" t="s">
        <v>169</v>
      </c>
      <c r="AG266" s="31" t="s">
        <v>217</v>
      </c>
      <c r="AH266" s="6">
        <v>187</v>
      </c>
      <c r="AI266" s="2" t="s">
        <v>1427</v>
      </c>
      <c r="AJ266" s="2" t="s">
        <v>1696</v>
      </c>
    </row>
    <row r="267" spans="1:36">
      <c r="A267" s="2" t="s">
        <v>1132</v>
      </c>
      <c r="B267" s="103">
        <v>45125</v>
      </c>
      <c r="C267" s="2" t="s">
        <v>487</v>
      </c>
      <c r="D267" s="6">
        <v>2</v>
      </c>
      <c r="E267" s="6">
        <v>38</v>
      </c>
      <c r="F267" s="6">
        <v>4</v>
      </c>
      <c r="G267" s="8" t="s">
        <v>256</v>
      </c>
      <c r="H267" s="8" t="s">
        <v>256</v>
      </c>
      <c r="I267" s="2" t="s">
        <v>4</v>
      </c>
      <c r="J267" s="2" t="s">
        <v>255</v>
      </c>
      <c r="K267" s="6">
        <v>300</v>
      </c>
      <c r="L267" s="6">
        <v>3</v>
      </c>
      <c r="M267" s="6">
        <v>2</v>
      </c>
      <c r="N267" s="6" t="s">
        <v>493</v>
      </c>
      <c r="O267" s="6" t="s">
        <v>493</v>
      </c>
      <c r="P267" s="6" t="s">
        <v>493</v>
      </c>
      <c r="Q267" s="6" t="s">
        <v>493</v>
      </c>
      <c r="R267" s="8">
        <v>3.07</v>
      </c>
      <c r="S267" s="20">
        <v>45125</v>
      </c>
      <c r="T267" s="20">
        <v>45126</v>
      </c>
      <c r="U267" s="33">
        <v>1</v>
      </c>
      <c r="V267" s="8">
        <v>0.31</v>
      </c>
      <c r="W267" s="8" t="s">
        <v>256</v>
      </c>
      <c r="X267" s="2" t="s">
        <v>34</v>
      </c>
      <c r="Y267" s="2">
        <v>4</v>
      </c>
      <c r="Z267" s="11" t="s">
        <v>148</v>
      </c>
      <c r="AA267" s="20">
        <v>45279</v>
      </c>
      <c r="AB267" s="8">
        <v>18.736999999999998</v>
      </c>
      <c r="AC267" s="33">
        <v>4</v>
      </c>
      <c r="AD267" s="31" t="s">
        <v>202</v>
      </c>
      <c r="AE267" s="31" t="s">
        <v>203</v>
      </c>
      <c r="AF267" s="31" t="s">
        <v>176</v>
      </c>
      <c r="AG267" s="31" t="s">
        <v>224</v>
      </c>
      <c r="AH267" s="6">
        <v>352</v>
      </c>
      <c r="AI267" s="2" t="s">
        <v>1428</v>
      </c>
      <c r="AJ267" s="2" t="s">
        <v>1696</v>
      </c>
    </row>
    <row r="268" spans="1:36">
      <c r="A268" s="2" t="s">
        <v>1133</v>
      </c>
      <c r="B268" s="103">
        <v>45125</v>
      </c>
      <c r="C268" s="2" t="s">
        <v>487</v>
      </c>
      <c r="D268" s="6">
        <v>2</v>
      </c>
      <c r="E268" s="6">
        <v>41</v>
      </c>
      <c r="F268" s="6">
        <v>4</v>
      </c>
      <c r="G268" s="8" t="s">
        <v>256</v>
      </c>
      <c r="H268" s="8" t="s">
        <v>256</v>
      </c>
      <c r="I268" s="2" t="s">
        <v>4</v>
      </c>
      <c r="J268" s="2" t="s">
        <v>253</v>
      </c>
      <c r="K268" s="6">
        <v>300</v>
      </c>
      <c r="L268" s="6">
        <v>3</v>
      </c>
      <c r="M268" s="6">
        <v>5</v>
      </c>
      <c r="N268" s="6" t="s">
        <v>493</v>
      </c>
      <c r="O268" s="6" t="s">
        <v>493</v>
      </c>
      <c r="P268" s="6" t="s">
        <v>493</v>
      </c>
      <c r="Q268" s="6" t="s">
        <v>493</v>
      </c>
      <c r="R268" s="8">
        <v>1.94</v>
      </c>
      <c r="S268" s="20">
        <v>45125</v>
      </c>
      <c r="T268" s="20">
        <v>45126</v>
      </c>
      <c r="U268" s="33">
        <v>1</v>
      </c>
      <c r="V268" s="8">
        <v>0.58499999999999996</v>
      </c>
      <c r="W268" s="8" t="s">
        <v>256</v>
      </c>
      <c r="X268" s="2" t="s">
        <v>33</v>
      </c>
      <c r="Y268" s="2">
        <v>3</v>
      </c>
      <c r="Z268" s="11" t="s">
        <v>153</v>
      </c>
      <c r="AA268" s="20">
        <v>45272</v>
      </c>
      <c r="AB268" s="8">
        <v>23.65587822737541</v>
      </c>
      <c r="AC268" s="33">
        <v>3</v>
      </c>
      <c r="AD268" s="31" t="s">
        <v>194</v>
      </c>
      <c r="AE268" s="31" t="s">
        <v>195</v>
      </c>
      <c r="AF268" s="31" t="s">
        <v>172</v>
      </c>
      <c r="AG268" s="31" t="s">
        <v>220</v>
      </c>
      <c r="AH268" s="6">
        <v>116</v>
      </c>
      <c r="AI268" s="2" t="s">
        <v>1429</v>
      </c>
      <c r="AJ268" s="2" t="s">
        <v>1696</v>
      </c>
    </row>
    <row r="269" spans="1:36">
      <c r="A269" s="2" t="s">
        <v>1134</v>
      </c>
      <c r="B269" s="103">
        <v>45125</v>
      </c>
      <c r="C269" s="2" t="s">
        <v>487</v>
      </c>
      <c r="D269" s="6">
        <v>2</v>
      </c>
      <c r="E269" s="6">
        <v>44</v>
      </c>
      <c r="F269" s="6">
        <v>4</v>
      </c>
      <c r="G269" s="8" t="s">
        <v>256</v>
      </c>
      <c r="H269" s="8" t="s">
        <v>256</v>
      </c>
      <c r="I269" s="2" t="s">
        <v>4</v>
      </c>
      <c r="J269" s="2" t="s">
        <v>254</v>
      </c>
      <c r="K269" s="6">
        <v>300</v>
      </c>
      <c r="L269" s="6">
        <v>3</v>
      </c>
      <c r="M269" s="6">
        <v>8</v>
      </c>
      <c r="N269" s="6" t="s">
        <v>493</v>
      </c>
      <c r="O269" s="6" t="s">
        <v>493</v>
      </c>
      <c r="P269" s="6" t="s">
        <v>493</v>
      </c>
      <c r="Q269" s="6" t="s">
        <v>493</v>
      </c>
      <c r="R269" s="8">
        <v>2.0699999999999998</v>
      </c>
      <c r="S269" s="20">
        <v>45125</v>
      </c>
      <c r="T269" s="20">
        <v>45126</v>
      </c>
      <c r="U269" s="33">
        <v>1</v>
      </c>
      <c r="V269" s="8">
        <v>0.11</v>
      </c>
      <c r="W269" s="8" t="s">
        <v>256</v>
      </c>
      <c r="X269" s="2" t="s">
        <v>33</v>
      </c>
      <c r="Y269" s="2">
        <v>3</v>
      </c>
      <c r="Z269" s="11" t="s">
        <v>139</v>
      </c>
      <c r="AA269" s="20">
        <v>45272</v>
      </c>
      <c r="AB269" s="8">
        <v>1.1071347199607771</v>
      </c>
      <c r="AC269" s="33">
        <v>3</v>
      </c>
      <c r="AD269" s="31" t="s">
        <v>196</v>
      </c>
      <c r="AE269" s="31" t="s">
        <v>197</v>
      </c>
      <c r="AF269" s="31" t="s">
        <v>172</v>
      </c>
      <c r="AG269" s="31" t="s">
        <v>220</v>
      </c>
      <c r="AH269" s="6">
        <v>128</v>
      </c>
      <c r="AI269" s="2" t="s">
        <v>1430</v>
      </c>
      <c r="AJ269" s="2" t="s">
        <v>1696</v>
      </c>
    </row>
    <row r="270" spans="1:36">
      <c r="A270" s="2" t="s">
        <v>1135</v>
      </c>
      <c r="B270" s="103">
        <v>45125</v>
      </c>
      <c r="C270" s="2" t="s">
        <v>487</v>
      </c>
      <c r="D270" s="6">
        <v>2</v>
      </c>
      <c r="E270" s="6">
        <v>51</v>
      </c>
      <c r="F270" s="6">
        <v>5</v>
      </c>
      <c r="G270" s="8" t="s">
        <v>256</v>
      </c>
      <c r="H270" s="8" t="s">
        <v>256</v>
      </c>
      <c r="I270" s="2" t="s">
        <v>6</v>
      </c>
      <c r="J270" s="2" t="s">
        <v>40</v>
      </c>
      <c r="K270" s="6">
        <v>300</v>
      </c>
      <c r="L270" s="6">
        <v>2</v>
      </c>
      <c r="M270" s="6">
        <v>3</v>
      </c>
      <c r="N270" s="6" t="s">
        <v>493</v>
      </c>
      <c r="O270" s="6" t="s">
        <v>493</v>
      </c>
      <c r="P270" s="6" t="s">
        <v>493</v>
      </c>
      <c r="Q270" s="6" t="s">
        <v>493</v>
      </c>
      <c r="R270" s="8">
        <v>1.42</v>
      </c>
      <c r="S270" s="20">
        <v>45125</v>
      </c>
      <c r="T270" s="20">
        <v>45126</v>
      </c>
      <c r="U270" s="33">
        <v>1</v>
      </c>
      <c r="V270" s="8">
        <v>0.49</v>
      </c>
      <c r="W270" s="8" t="s">
        <v>256</v>
      </c>
      <c r="X270" s="2" t="s">
        <v>33</v>
      </c>
      <c r="Y270" s="2">
        <v>3</v>
      </c>
      <c r="Z270" s="11" t="s">
        <v>140</v>
      </c>
      <c r="AA270" s="20">
        <v>45272</v>
      </c>
      <c r="AB270" s="8">
        <v>6.8074771903544624</v>
      </c>
      <c r="AC270" s="33">
        <v>3</v>
      </c>
      <c r="AD270" s="31" t="s">
        <v>198</v>
      </c>
      <c r="AE270" s="31" t="s">
        <v>199</v>
      </c>
      <c r="AF270" s="31" t="s">
        <v>172</v>
      </c>
      <c r="AG270" s="31" t="s">
        <v>220</v>
      </c>
      <c r="AH270" s="6">
        <v>140</v>
      </c>
      <c r="AI270" s="2" t="s">
        <v>1431</v>
      </c>
      <c r="AJ270" s="2" t="s">
        <v>1696</v>
      </c>
    </row>
    <row r="271" spans="1:36">
      <c r="A271" s="2" t="s">
        <v>1136</v>
      </c>
      <c r="B271" s="103">
        <v>45125</v>
      </c>
      <c r="C271" s="2" t="s">
        <v>487</v>
      </c>
      <c r="D271" s="6">
        <v>2</v>
      </c>
      <c r="E271" s="6">
        <v>53</v>
      </c>
      <c r="F271" s="6">
        <v>5</v>
      </c>
      <c r="G271" s="8" t="s">
        <v>256</v>
      </c>
      <c r="H271" s="8" t="s">
        <v>256</v>
      </c>
      <c r="I271" s="2" t="s">
        <v>6</v>
      </c>
      <c r="J271" s="2" t="s">
        <v>255</v>
      </c>
      <c r="K271" s="6">
        <v>300</v>
      </c>
      <c r="L271" s="6">
        <v>2</v>
      </c>
      <c r="M271" s="6">
        <v>5</v>
      </c>
      <c r="N271" s="6" t="s">
        <v>493</v>
      </c>
      <c r="O271" s="6" t="s">
        <v>493</v>
      </c>
      <c r="P271" s="6" t="s">
        <v>493</v>
      </c>
      <c r="Q271" s="6" t="s">
        <v>493</v>
      </c>
      <c r="R271" s="8">
        <v>2.82</v>
      </c>
      <c r="S271" s="20">
        <v>45125</v>
      </c>
      <c r="T271" s="20">
        <v>45126</v>
      </c>
      <c r="U271" s="33">
        <v>1</v>
      </c>
      <c r="V271" s="8">
        <v>0.24099999999999999</v>
      </c>
      <c r="W271" s="8" t="s">
        <v>256</v>
      </c>
      <c r="X271" s="2" t="s">
        <v>33</v>
      </c>
      <c r="Y271" s="2">
        <v>3</v>
      </c>
      <c r="Z271" s="11" t="s">
        <v>120</v>
      </c>
      <c r="AA271" s="20">
        <v>45272</v>
      </c>
      <c r="AB271" s="8">
        <v>8.2009141576873024</v>
      </c>
      <c r="AC271" s="33">
        <v>3</v>
      </c>
      <c r="AD271" s="31" t="s">
        <v>200</v>
      </c>
      <c r="AE271" s="31" t="s">
        <v>201</v>
      </c>
      <c r="AF271" s="31" t="s">
        <v>172</v>
      </c>
      <c r="AG271" s="31" t="s">
        <v>220</v>
      </c>
      <c r="AH271" s="6">
        <v>152</v>
      </c>
      <c r="AI271" s="2" t="s">
        <v>1432</v>
      </c>
      <c r="AJ271" s="2" t="s">
        <v>1696</v>
      </c>
    </row>
    <row r="272" spans="1:36">
      <c r="A272" s="2" t="s">
        <v>1137</v>
      </c>
      <c r="B272" s="103">
        <v>45125</v>
      </c>
      <c r="C272" s="2" t="s">
        <v>487</v>
      </c>
      <c r="D272" s="6">
        <v>2</v>
      </c>
      <c r="E272" s="6">
        <v>55</v>
      </c>
      <c r="F272" s="6">
        <v>5</v>
      </c>
      <c r="G272" s="8" t="s">
        <v>256</v>
      </c>
      <c r="H272" s="8" t="s">
        <v>256</v>
      </c>
      <c r="I272" s="2" t="s">
        <v>6</v>
      </c>
      <c r="J272" s="2" t="s">
        <v>253</v>
      </c>
      <c r="K272" s="6">
        <v>300</v>
      </c>
      <c r="L272" s="6">
        <v>2</v>
      </c>
      <c r="M272" s="6">
        <v>7</v>
      </c>
      <c r="N272" s="6" t="s">
        <v>493</v>
      </c>
      <c r="O272" s="6" t="s">
        <v>493</v>
      </c>
      <c r="P272" s="6" t="s">
        <v>493</v>
      </c>
      <c r="Q272" s="6" t="s">
        <v>493</v>
      </c>
      <c r="R272" s="8">
        <v>1.92</v>
      </c>
      <c r="S272" s="20">
        <v>45125</v>
      </c>
      <c r="T272" s="20">
        <v>45126</v>
      </c>
      <c r="U272" s="33">
        <v>1</v>
      </c>
      <c r="V272" s="8">
        <v>1.49</v>
      </c>
      <c r="W272" s="8" t="s">
        <v>256</v>
      </c>
      <c r="X272" s="2" t="s">
        <v>33</v>
      </c>
      <c r="Y272" s="2">
        <v>3</v>
      </c>
      <c r="Z272" s="11" t="s">
        <v>121</v>
      </c>
      <c r="AA272" s="20">
        <v>45272</v>
      </c>
      <c r="AB272" s="8">
        <v>20.562283897512781</v>
      </c>
      <c r="AC272" s="33">
        <v>3</v>
      </c>
      <c r="AD272" s="31" t="s">
        <v>202</v>
      </c>
      <c r="AE272" s="31" t="s">
        <v>203</v>
      </c>
      <c r="AF272" s="31" t="s">
        <v>172</v>
      </c>
      <c r="AG272" s="31" t="s">
        <v>220</v>
      </c>
      <c r="AH272" s="6">
        <v>164</v>
      </c>
      <c r="AI272" s="2" t="s">
        <v>1433</v>
      </c>
      <c r="AJ272" s="2" t="s">
        <v>1696</v>
      </c>
    </row>
    <row r="273" spans="1:36">
      <c r="A273" s="2" t="s">
        <v>1138</v>
      </c>
      <c r="B273" s="103">
        <v>45125</v>
      </c>
      <c r="C273" s="2" t="s">
        <v>487</v>
      </c>
      <c r="D273" s="6">
        <v>2</v>
      </c>
      <c r="E273" s="6">
        <v>59</v>
      </c>
      <c r="F273" s="6">
        <v>5</v>
      </c>
      <c r="G273" s="8" t="s">
        <v>256</v>
      </c>
      <c r="H273" s="8" t="s">
        <v>256</v>
      </c>
      <c r="I273" s="2" t="s">
        <v>6</v>
      </c>
      <c r="J273" s="2" t="s">
        <v>254</v>
      </c>
      <c r="K273" s="6">
        <v>300</v>
      </c>
      <c r="L273" s="6">
        <v>2</v>
      </c>
      <c r="M273" s="6">
        <v>11</v>
      </c>
      <c r="N273" s="6" t="s">
        <v>493</v>
      </c>
      <c r="O273" s="6" t="s">
        <v>493</v>
      </c>
      <c r="P273" s="6" t="s">
        <v>493</v>
      </c>
      <c r="Q273" s="6" t="s">
        <v>493</v>
      </c>
      <c r="R273" s="8">
        <v>1.71</v>
      </c>
      <c r="S273" s="20">
        <v>45125</v>
      </c>
      <c r="T273" s="20">
        <v>45126</v>
      </c>
      <c r="U273" s="33">
        <v>1</v>
      </c>
      <c r="V273" s="8">
        <v>0.13</v>
      </c>
      <c r="W273" s="8" t="s">
        <v>256</v>
      </c>
      <c r="X273" s="2" t="s">
        <v>33</v>
      </c>
      <c r="Y273" s="2">
        <v>3</v>
      </c>
      <c r="Z273" s="11" t="s">
        <v>122</v>
      </c>
      <c r="AA273" s="20">
        <v>45272</v>
      </c>
      <c r="AB273" s="8">
        <v>9.7870363209561901</v>
      </c>
      <c r="AC273" s="33">
        <v>3</v>
      </c>
      <c r="AD273" s="31" t="s">
        <v>204</v>
      </c>
      <c r="AE273" s="31" t="s">
        <v>205</v>
      </c>
      <c r="AF273" s="31" t="s">
        <v>172</v>
      </c>
      <c r="AG273" s="31" t="s">
        <v>220</v>
      </c>
      <c r="AH273" s="6">
        <v>176</v>
      </c>
      <c r="AI273" s="2" t="s">
        <v>1434</v>
      </c>
      <c r="AJ273" s="2" t="s">
        <v>1696</v>
      </c>
    </row>
    <row r="274" spans="1:36">
      <c r="A274" s="2" t="s">
        <v>1139</v>
      </c>
      <c r="B274" s="103">
        <v>45125</v>
      </c>
      <c r="C274" s="2" t="s">
        <v>487</v>
      </c>
      <c r="D274" s="6">
        <v>2</v>
      </c>
      <c r="E274" s="6">
        <v>61</v>
      </c>
      <c r="F274" s="6">
        <v>6</v>
      </c>
      <c r="G274" s="8" t="s">
        <v>256</v>
      </c>
      <c r="H274" s="8" t="s">
        <v>256</v>
      </c>
      <c r="I274" s="2" t="s">
        <v>5</v>
      </c>
      <c r="J274" s="2" t="s">
        <v>40</v>
      </c>
      <c r="K274" s="6">
        <v>300</v>
      </c>
      <c r="L274" s="6">
        <v>1</v>
      </c>
      <c r="M274" s="6">
        <v>1</v>
      </c>
      <c r="N274" s="6" t="s">
        <v>493</v>
      </c>
      <c r="O274" s="6" t="s">
        <v>493</v>
      </c>
      <c r="P274" s="6" t="s">
        <v>493</v>
      </c>
      <c r="Q274" s="6" t="s">
        <v>493</v>
      </c>
      <c r="R274" s="8">
        <v>1.65</v>
      </c>
      <c r="S274" s="20">
        <v>45125</v>
      </c>
      <c r="T274" s="20">
        <v>45126</v>
      </c>
      <c r="U274" s="33">
        <v>1</v>
      </c>
      <c r="V274" s="8">
        <v>0.622</v>
      </c>
      <c r="W274" s="8" t="s">
        <v>256</v>
      </c>
      <c r="X274" s="2" t="s">
        <v>33</v>
      </c>
      <c r="Y274" s="2">
        <v>3</v>
      </c>
      <c r="Z274" s="11" t="s">
        <v>154</v>
      </c>
      <c r="AA274" s="20">
        <v>45272</v>
      </c>
      <c r="AB274" s="8">
        <v>23.862602854204834</v>
      </c>
      <c r="AC274" s="33">
        <v>3</v>
      </c>
      <c r="AD274" s="31" t="s">
        <v>206</v>
      </c>
      <c r="AE274" s="31" t="s">
        <v>207</v>
      </c>
      <c r="AF274" s="31" t="s">
        <v>172</v>
      </c>
      <c r="AG274" s="31" t="s">
        <v>220</v>
      </c>
      <c r="AH274" s="6">
        <v>188</v>
      </c>
      <c r="AI274" s="2" t="s">
        <v>1435</v>
      </c>
      <c r="AJ274" s="2" t="s">
        <v>1696</v>
      </c>
    </row>
    <row r="275" spans="1:36">
      <c r="A275" s="2" t="s">
        <v>1140</v>
      </c>
      <c r="B275" s="103">
        <v>45125</v>
      </c>
      <c r="C275" s="2" t="s">
        <v>487</v>
      </c>
      <c r="D275" s="6">
        <v>2</v>
      </c>
      <c r="E275" s="6">
        <v>66</v>
      </c>
      <c r="F275" s="6">
        <v>6</v>
      </c>
      <c r="G275" s="8" t="s">
        <v>256</v>
      </c>
      <c r="H275" s="8" t="s">
        <v>256</v>
      </c>
      <c r="I275" s="2" t="s">
        <v>5</v>
      </c>
      <c r="J275" s="2" t="s">
        <v>254</v>
      </c>
      <c r="K275" s="6">
        <v>300</v>
      </c>
      <c r="L275" s="6">
        <v>1</v>
      </c>
      <c r="M275" s="6">
        <v>6</v>
      </c>
      <c r="N275" s="6" t="s">
        <v>493</v>
      </c>
      <c r="O275" s="6" t="s">
        <v>493</v>
      </c>
      <c r="P275" s="6" t="s">
        <v>493</v>
      </c>
      <c r="Q275" s="6" t="s">
        <v>493</v>
      </c>
      <c r="R275" s="8">
        <v>3.24</v>
      </c>
      <c r="S275" s="20">
        <v>45125</v>
      </c>
      <c r="T275" s="20">
        <v>45126</v>
      </c>
      <c r="U275" s="33">
        <v>1</v>
      </c>
      <c r="V275" s="8">
        <v>2.4209999999999998</v>
      </c>
      <c r="W275" s="8" t="s">
        <v>256</v>
      </c>
      <c r="X275" s="2" t="s">
        <v>34</v>
      </c>
      <c r="Y275" s="2">
        <v>4</v>
      </c>
      <c r="Z275" s="11" t="s">
        <v>96</v>
      </c>
      <c r="AA275" s="20">
        <v>45279</v>
      </c>
      <c r="AB275" s="8">
        <v>69.634</v>
      </c>
      <c r="AC275" s="33">
        <v>4</v>
      </c>
      <c r="AD275" s="31" t="s">
        <v>204</v>
      </c>
      <c r="AE275" s="31" t="s">
        <v>205</v>
      </c>
      <c r="AF275" s="31" t="s">
        <v>176</v>
      </c>
      <c r="AG275" s="31" t="s">
        <v>224</v>
      </c>
      <c r="AH275" s="6">
        <v>364</v>
      </c>
      <c r="AI275" s="2" t="s">
        <v>1436</v>
      </c>
      <c r="AJ275" s="2" t="s">
        <v>1696</v>
      </c>
    </row>
    <row r="276" spans="1:36">
      <c r="A276" s="2" t="s">
        <v>1141</v>
      </c>
      <c r="B276" s="103">
        <v>45125</v>
      </c>
      <c r="C276" s="2" t="s">
        <v>487</v>
      </c>
      <c r="D276" s="6">
        <v>2</v>
      </c>
      <c r="E276" s="6">
        <v>68</v>
      </c>
      <c r="F276" s="6">
        <v>6</v>
      </c>
      <c r="G276" s="8" t="s">
        <v>256</v>
      </c>
      <c r="H276" s="8" t="s">
        <v>256</v>
      </c>
      <c r="I276" s="2" t="s">
        <v>5</v>
      </c>
      <c r="J276" s="2" t="s">
        <v>255</v>
      </c>
      <c r="K276" s="6">
        <v>300</v>
      </c>
      <c r="L276" s="6">
        <v>1</v>
      </c>
      <c r="M276" s="6">
        <v>8</v>
      </c>
      <c r="N276" s="6" t="s">
        <v>493</v>
      </c>
      <c r="O276" s="6" t="s">
        <v>493</v>
      </c>
      <c r="P276" s="6" t="s">
        <v>493</v>
      </c>
      <c r="Q276" s="6" t="s">
        <v>493</v>
      </c>
      <c r="R276" s="8">
        <v>3.1</v>
      </c>
      <c r="S276" s="20">
        <v>45125</v>
      </c>
      <c r="T276" s="20">
        <v>45126</v>
      </c>
      <c r="U276" s="33">
        <v>1</v>
      </c>
      <c r="V276" s="8">
        <v>3.5139999999999998</v>
      </c>
      <c r="W276" s="8" t="s">
        <v>256</v>
      </c>
      <c r="X276" s="2" t="s">
        <v>33</v>
      </c>
      <c r="Y276" s="2">
        <v>3</v>
      </c>
      <c r="Z276" s="11" t="s">
        <v>114</v>
      </c>
      <c r="AA276" s="20">
        <v>45272</v>
      </c>
      <c r="AB276" s="8">
        <v>15.946448378357138</v>
      </c>
      <c r="AC276" s="33">
        <v>3</v>
      </c>
      <c r="AD276" s="31" t="s">
        <v>194</v>
      </c>
      <c r="AE276" s="31" t="s">
        <v>195</v>
      </c>
      <c r="AF276" s="31" t="s">
        <v>170</v>
      </c>
      <c r="AG276" s="31" t="s">
        <v>218</v>
      </c>
      <c r="AH276" s="6">
        <v>117</v>
      </c>
      <c r="AI276" s="2" t="s">
        <v>1437</v>
      </c>
      <c r="AJ276" s="2" t="s">
        <v>1696</v>
      </c>
    </row>
    <row r="277" spans="1:36">
      <c r="A277" s="2" t="s">
        <v>1142</v>
      </c>
      <c r="B277" s="103">
        <v>45125</v>
      </c>
      <c r="C277" s="2" t="s">
        <v>487</v>
      </c>
      <c r="D277" s="6">
        <v>2</v>
      </c>
      <c r="E277" s="6">
        <v>72</v>
      </c>
      <c r="F277" s="6">
        <v>6</v>
      </c>
      <c r="G277" s="8" t="s">
        <v>256</v>
      </c>
      <c r="H277" s="8" t="s">
        <v>256</v>
      </c>
      <c r="I277" s="2" t="s">
        <v>5</v>
      </c>
      <c r="J277" s="2" t="s">
        <v>253</v>
      </c>
      <c r="K277" s="6">
        <v>300</v>
      </c>
      <c r="L277" s="6">
        <v>1</v>
      </c>
      <c r="M277" s="6">
        <v>12</v>
      </c>
      <c r="N277" s="6" t="s">
        <v>493</v>
      </c>
      <c r="O277" s="6" t="s">
        <v>493</v>
      </c>
      <c r="P277" s="6" t="s">
        <v>493</v>
      </c>
      <c r="Q277" s="6" t="s">
        <v>493</v>
      </c>
      <c r="R277" s="8">
        <v>3.48</v>
      </c>
      <c r="S277" s="20">
        <v>45125</v>
      </c>
      <c r="T277" s="20">
        <v>45126</v>
      </c>
      <c r="U277" s="33">
        <v>1</v>
      </c>
      <c r="V277" s="8">
        <v>2.77</v>
      </c>
      <c r="W277" s="8" t="s">
        <v>256</v>
      </c>
      <c r="X277" s="2" t="s">
        <v>33</v>
      </c>
      <c r="Y277" s="2">
        <v>3</v>
      </c>
      <c r="Z277" s="11" t="s">
        <v>115</v>
      </c>
      <c r="AA277" s="20">
        <v>45272</v>
      </c>
      <c r="AB277" s="8">
        <v>19.232446490173544</v>
      </c>
      <c r="AC277" s="33">
        <v>3</v>
      </c>
      <c r="AD277" s="31" t="s">
        <v>196</v>
      </c>
      <c r="AE277" s="31" t="s">
        <v>197</v>
      </c>
      <c r="AF277" s="31" t="s">
        <v>170</v>
      </c>
      <c r="AG277" s="31" t="s">
        <v>218</v>
      </c>
      <c r="AH277" s="6">
        <v>129</v>
      </c>
      <c r="AI277" s="2" t="s">
        <v>1438</v>
      </c>
      <c r="AJ277" s="2" t="s">
        <v>1696</v>
      </c>
    </row>
    <row r="278" spans="1:36">
      <c r="A278" s="2" t="s">
        <v>1143</v>
      </c>
      <c r="B278" s="103">
        <v>45125</v>
      </c>
      <c r="C278" s="2" t="s">
        <v>487</v>
      </c>
      <c r="D278" s="6">
        <v>3</v>
      </c>
      <c r="E278" s="6">
        <v>75</v>
      </c>
      <c r="F278" s="6">
        <v>7</v>
      </c>
      <c r="G278" s="8" t="s">
        <v>256</v>
      </c>
      <c r="H278" s="8" t="s">
        <v>256</v>
      </c>
      <c r="I278" s="2" t="s">
        <v>4</v>
      </c>
      <c r="J278" s="2" t="s">
        <v>255</v>
      </c>
      <c r="K278" s="6">
        <v>300</v>
      </c>
      <c r="L278" s="6">
        <v>6</v>
      </c>
      <c r="M278" s="6">
        <v>15</v>
      </c>
      <c r="N278" s="6" t="s">
        <v>493</v>
      </c>
      <c r="O278" s="6" t="s">
        <v>493</v>
      </c>
      <c r="P278" s="6" t="s">
        <v>493</v>
      </c>
      <c r="Q278" s="6" t="s">
        <v>493</v>
      </c>
      <c r="R278" s="8">
        <v>4.54</v>
      </c>
      <c r="S278" s="20">
        <v>45125</v>
      </c>
      <c r="T278" s="20">
        <v>45126</v>
      </c>
      <c r="U278" s="33">
        <v>1</v>
      </c>
      <c r="V278" s="8">
        <v>0.45</v>
      </c>
      <c r="W278" s="8" t="s">
        <v>256</v>
      </c>
      <c r="X278" s="2" t="s">
        <v>33</v>
      </c>
      <c r="Y278" s="2">
        <v>3</v>
      </c>
      <c r="Z278" s="11" t="s">
        <v>123</v>
      </c>
      <c r="AA278" s="20">
        <v>45272</v>
      </c>
      <c r="AB278" s="8">
        <v>23.700174872733133</v>
      </c>
      <c r="AC278" s="33">
        <v>3</v>
      </c>
      <c r="AD278" s="31" t="s">
        <v>198</v>
      </c>
      <c r="AE278" s="31" t="s">
        <v>199</v>
      </c>
      <c r="AF278" s="31" t="s">
        <v>170</v>
      </c>
      <c r="AG278" s="31" t="s">
        <v>218</v>
      </c>
      <c r="AH278" s="6">
        <v>141</v>
      </c>
      <c r="AI278" s="2" t="s">
        <v>1439</v>
      </c>
      <c r="AJ278" s="2" t="s">
        <v>1696</v>
      </c>
    </row>
    <row r="279" spans="1:36">
      <c r="A279" s="2" t="s">
        <v>1144</v>
      </c>
      <c r="B279" s="103">
        <v>45125</v>
      </c>
      <c r="C279" s="2" t="s">
        <v>487</v>
      </c>
      <c r="D279" s="6">
        <v>3</v>
      </c>
      <c r="E279" s="6">
        <v>80</v>
      </c>
      <c r="F279" s="6">
        <v>7</v>
      </c>
      <c r="G279" s="8" t="s">
        <v>256</v>
      </c>
      <c r="H279" s="8" t="s">
        <v>256</v>
      </c>
      <c r="I279" s="2" t="s">
        <v>4</v>
      </c>
      <c r="J279" s="2" t="s">
        <v>40</v>
      </c>
      <c r="K279" s="6">
        <v>300</v>
      </c>
      <c r="L279" s="6">
        <v>6</v>
      </c>
      <c r="M279" s="6">
        <v>20</v>
      </c>
      <c r="N279" s="6" t="s">
        <v>493</v>
      </c>
      <c r="O279" s="6" t="s">
        <v>493</v>
      </c>
      <c r="P279" s="6" t="s">
        <v>493</v>
      </c>
      <c r="Q279" s="6" t="s">
        <v>493</v>
      </c>
      <c r="R279" s="8">
        <v>2.88</v>
      </c>
      <c r="S279" s="20">
        <v>45125</v>
      </c>
      <c r="T279" s="20">
        <v>45126</v>
      </c>
      <c r="U279" s="33">
        <v>1</v>
      </c>
      <c r="V279" s="8">
        <v>0.38</v>
      </c>
      <c r="W279" s="8" t="s">
        <v>256</v>
      </c>
      <c r="X279" s="2" t="s">
        <v>33</v>
      </c>
      <c r="Y279" s="2">
        <v>3</v>
      </c>
      <c r="Z279" s="11" t="s">
        <v>124</v>
      </c>
      <c r="AA279" s="20">
        <v>45272</v>
      </c>
      <c r="AB279" s="8">
        <v>21.23377935017551</v>
      </c>
      <c r="AC279" s="33">
        <v>3</v>
      </c>
      <c r="AD279" s="31" t="s">
        <v>200</v>
      </c>
      <c r="AE279" s="31" t="s">
        <v>201</v>
      </c>
      <c r="AF279" s="31" t="s">
        <v>170</v>
      </c>
      <c r="AG279" s="31" t="s">
        <v>218</v>
      </c>
      <c r="AH279" s="6">
        <v>153</v>
      </c>
      <c r="AI279" s="2" t="s">
        <v>1440</v>
      </c>
      <c r="AJ279" s="2" t="s">
        <v>1696</v>
      </c>
    </row>
    <row r="280" spans="1:36">
      <c r="A280" s="2" t="s">
        <v>1145</v>
      </c>
      <c r="B280" s="103">
        <v>45125</v>
      </c>
      <c r="C280" s="2" t="s">
        <v>487</v>
      </c>
      <c r="D280" s="6">
        <v>3</v>
      </c>
      <c r="E280" s="6">
        <v>81</v>
      </c>
      <c r="F280" s="6">
        <v>7</v>
      </c>
      <c r="G280" s="8" t="s">
        <v>256</v>
      </c>
      <c r="H280" s="8" t="s">
        <v>256</v>
      </c>
      <c r="I280" s="2" t="s">
        <v>4</v>
      </c>
      <c r="J280" s="2" t="s">
        <v>254</v>
      </c>
      <c r="K280" s="6">
        <v>300</v>
      </c>
      <c r="L280" s="6">
        <v>6</v>
      </c>
      <c r="M280" s="6">
        <v>21</v>
      </c>
      <c r="N280" s="6" t="s">
        <v>493</v>
      </c>
      <c r="O280" s="6" t="s">
        <v>493</v>
      </c>
      <c r="P280" s="6" t="s">
        <v>493</v>
      </c>
      <c r="Q280" s="6" t="s">
        <v>493</v>
      </c>
      <c r="R280" s="8">
        <v>3.26</v>
      </c>
      <c r="S280" s="20">
        <v>45125</v>
      </c>
      <c r="T280" s="20">
        <v>45126</v>
      </c>
      <c r="U280" s="33">
        <v>1</v>
      </c>
      <c r="V280" s="8">
        <v>0.441</v>
      </c>
      <c r="W280" s="8" t="s">
        <v>256</v>
      </c>
      <c r="X280" s="2" t="s">
        <v>33</v>
      </c>
      <c r="Y280" s="2">
        <v>3</v>
      </c>
      <c r="Z280" s="11" t="s">
        <v>125</v>
      </c>
      <c r="AA280" s="20">
        <v>45272</v>
      </c>
      <c r="AB280" s="8">
        <v>8.7542782742360501</v>
      </c>
      <c r="AC280" s="33">
        <v>3</v>
      </c>
      <c r="AD280" s="31" t="s">
        <v>202</v>
      </c>
      <c r="AE280" s="31" t="s">
        <v>203</v>
      </c>
      <c r="AF280" s="31" t="s">
        <v>170</v>
      </c>
      <c r="AG280" s="31" t="s">
        <v>218</v>
      </c>
      <c r="AH280" s="6">
        <v>165</v>
      </c>
      <c r="AI280" s="2" t="s">
        <v>1441</v>
      </c>
      <c r="AJ280" s="2" t="s">
        <v>1696</v>
      </c>
    </row>
    <row r="281" spans="1:36">
      <c r="A281" s="2" t="s">
        <v>1146</v>
      </c>
      <c r="B281" s="103">
        <v>45125</v>
      </c>
      <c r="C281" s="2" t="s">
        <v>487</v>
      </c>
      <c r="D281" s="6">
        <v>3</v>
      </c>
      <c r="E281" s="6">
        <v>82</v>
      </c>
      <c r="F281" s="6">
        <v>7</v>
      </c>
      <c r="G281" s="8" t="s">
        <v>256</v>
      </c>
      <c r="H281" s="8" t="s">
        <v>256</v>
      </c>
      <c r="I281" s="2" t="s">
        <v>4</v>
      </c>
      <c r="J281" s="2" t="s">
        <v>253</v>
      </c>
      <c r="K281" s="6">
        <v>300</v>
      </c>
      <c r="L281" s="6">
        <v>6</v>
      </c>
      <c r="M281" s="6">
        <v>22</v>
      </c>
      <c r="N281" s="6" t="s">
        <v>493</v>
      </c>
      <c r="O281" s="6" t="s">
        <v>493</v>
      </c>
      <c r="P281" s="6" t="s">
        <v>493</v>
      </c>
      <c r="Q281" s="6" t="s">
        <v>493</v>
      </c>
      <c r="R281" s="8">
        <v>3.67</v>
      </c>
      <c r="S281" s="20">
        <v>45125</v>
      </c>
      <c r="T281" s="20">
        <v>45126</v>
      </c>
      <c r="U281" s="33">
        <v>1</v>
      </c>
      <c r="V281" s="8">
        <v>0.93100000000000005</v>
      </c>
      <c r="W281" s="8" t="s">
        <v>256</v>
      </c>
      <c r="X281" s="2" t="s">
        <v>33</v>
      </c>
      <c r="Y281" s="2">
        <v>3</v>
      </c>
      <c r="Z281" s="11" t="s">
        <v>126</v>
      </c>
      <c r="AA281" s="20">
        <v>45272</v>
      </c>
      <c r="AB281" s="8">
        <v>9.3170020113803815</v>
      </c>
      <c r="AC281" s="33">
        <v>3</v>
      </c>
      <c r="AD281" s="31" t="s">
        <v>204</v>
      </c>
      <c r="AE281" s="31" t="s">
        <v>205</v>
      </c>
      <c r="AF281" s="31" t="s">
        <v>170</v>
      </c>
      <c r="AG281" s="31" t="s">
        <v>218</v>
      </c>
      <c r="AH281" s="6">
        <v>177</v>
      </c>
      <c r="AI281" s="2" t="s">
        <v>1442</v>
      </c>
      <c r="AJ281" s="2" t="s">
        <v>1696</v>
      </c>
    </row>
    <row r="282" spans="1:36">
      <c r="A282" s="2" t="s">
        <v>1147</v>
      </c>
      <c r="B282" s="103">
        <v>45125</v>
      </c>
      <c r="C282" s="2" t="s">
        <v>487</v>
      </c>
      <c r="D282" s="6">
        <v>3</v>
      </c>
      <c r="E282" s="6">
        <v>87</v>
      </c>
      <c r="F282" s="6">
        <v>8</v>
      </c>
      <c r="G282" s="8" t="s">
        <v>256</v>
      </c>
      <c r="H282" s="8" t="s">
        <v>256</v>
      </c>
      <c r="I282" s="2" t="s">
        <v>6</v>
      </c>
      <c r="J282" s="2" t="s">
        <v>254</v>
      </c>
      <c r="K282" s="6">
        <v>300</v>
      </c>
      <c r="L282" s="6">
        <v>5</v>
      </c>
      <c r="M282" s="6">
        <v>15</v>
      </c>
      <c r="N282" s="6" t="s">
        <v>493</v>
      </c>
      <c r="O282" s="6" t="s">
        <v>493</v>
      </c>
      <c r="P282" s="6" t="s">
        <v>493</v>
      </c>
      <c r="Q282" s="6" t="s">
        <v>493</v>
      </c>
      <c r="R282" s="8">
        <v>2.27</v>
      </c>
      <c r="S282" s="20">
        <v>45125</v>
      </c>
      <c r="T282" s="20">
        <v>45126</v>
      </c>
      <c r="U282" s="33">
        <v>1</v>
      </c>
      <c r="V282" s="8">
        <v>0.1</v>
      </c>
      <c r="W282" s="8" t="s">
        <v>256</v>
      </c>
      <c r="X282" s="2" t="s">
        <v>33</v>
      </c>
      <c r="Y282" s="2">
        <v>3</v>
      </c>
      <c r="Z282" s="11" t="s">
        <v>127</v>
      </c>
      <c r="AA282" s="20">
        <v>45272</v>
      </c>
      <c r="AB282" s="8">
        <v>2.967677206905774</v>
      </c>
      <c r="AC282" s="33">
        <v>3</v>
      </c>
      <c r="AD282" s="31" t="s">
        <v>206</v>
      </c>
      <c r="AE282" s="31" t="s">
        <v>207</v>
      </c>
      <c r="AF282" s="31" t="s">
        <v>170</v>
      </c>
      <c r="AG282" s="31" t="s">
        <v>218</v>
      </c>
      <c r="AH282" s="6">
        <v>189</v>
      </c>
      <c r="AI282" s="2" t="s">
        <v>1443</v>
      </c>
      <c r="AJ282" s="2" t="s">
        <v>1696</v>
      </c>
    </row>
    <row r="283" spans="1:36">
      <c r="A283" s="2" t="s">
        <v>1148</v>
      </c>
      <c r="B283" s="103">
        <v>45125</v>
      </c>
      <c r="C283" s="2" t="s">
        <v>487</v>
      </c>
      <c r="D283" s="6">
        <v>3</v>
      </c>
      <c r="E283" s="6">
        <v>88</v>
      </c>
      <c r="F283" s="6">
        <v>8</v>
      </c>
      <c r="G283" s="8" t="s">
        <v>256</v>
      </c>
      <c r="H283" s="8" t="s">
        <v>256</v>
      </c>
      <c r="I283" s="2" t="s">
        <v>6</v>
      </c>
      <c r="J283" s="2" t="s">
        <v>253</v>
      </c>
      <c r="K283" s="6">
        <v>300</v>
      </c>
      <c r="L283" s="6">
        <v>5</v>
      </c>
      <c r="M283" s="6">
        <v>16</v>
      </c>
      <c r="N283" s="6" t="s">
        <v>493</v>
      </c>
      <c r="O283" s="6" t="s">
        <v>493</v>
      </c>
      <c r="P283" s="6" t="s">
        <v>493</v>
      </c>
      <c r="Q283" s="6" t="s">
        <v>493</v>
      </c>
      <c r="R283" s="8">
        <v>2.33</v>
      </c>
      <c r="S283" s="20">
        <v>45125</v>
      </c>
      <c r="T283" s="20">
        <v>45126</v>
      </c>
      <c r="U283" s="33">
        <v>1</v>
      </c>
      <c r="V283" s="8">
        <v>0.312</v>
      </c>
      <c r="W283" s="8" t="s">
        <v>256</v>
      </c>
      <c r="X283" s="2" t="s">
        <v>33</v>
      </c>
      <c r="Y283" s="2">
        <v>3</v>
      </c>
      <c r="Z283" s="11" t="s">
        <v>118</v>
      </c>
      <c r="AA283" s="20">
        <v>45272</v>
      </c>
      <c r="AB283" s="8">
        <v>14.683577076058695</v>
      </c>
      <c r="AC283" s="33">
        <v>3</v>
      </c>
      <c r="AD283" s="31" t="s">
        <v>42</v>
      </c>
      <c r="AE283" s="31" t="s">
        <v>193</v>
      </c>
      <c r="AF283" s="31" t="s">
        <v>171</v>
      </c>
      <c r="AG283" s="31" t="s">
        <v>219</v>
      </c>
      <c r="AH283" s="6">
        <v>106</v>
      </c>
      <c r="AI283" s="2" t="s">
        <v>1444</v>
      </c>
      <c r="AJ283" s="2" t="s">
        <v>1696</v>
      </c>
    </row>
    <row r="284" spans="1:36">
      <c r="A284" s="2" t="s">
        <v>1149</v>
      </c>
      <c r="B284" s="103">
        <v>45125</v>
      </c>
      <c r="C284" s="2" t="s">
        <v>487</v>
      </c>
      <c r="D284" s="6">
        <v>3</v>
      </c>
      <c r="E284" s="6">
        <v>89</v>
      </c>
      <c r="F284" s="6">
        <v>8</v>
      </c>
      <c r="G284" s="8" t="s">
        <v>256</v>
      </c>
      <c r="H284" s="8" t="s">
        <v>256</v>
      </c>
      <c r="I284" s="2" t="s">
        <v>6</v>
      </c>
      <c r="J284" s="2" t="s">
        <v>255</v>
      </c>
      <c r="K284" s="6">
        <v>300</v>
      </c>
      <c r="L284" s="6">
        <v>5</v>
      </c>
      <c r="M284" s="6">
        <v>17</v>
      </c>
      <c r="N284" s="6" t="s">
        <v>493</v>
      </c>
      <c r="O284" s="6" t="s">
        <v>493</v>
      </c>
      <c r="P284" s="6" t="s">
        <v>493</v>
      </c>
      <c r="Q284" s="6" t="s">
        <v>493</v>
      </c>
      <c r="R284" s="8">
        <v>3.25</v>
      </c>
      <c r="S284" s="20">
        <v>45125</v>
      </c>
      <c r="T284" s="20">
        <v>45126</v>
      </c>
      <c r="U284" s="33">
        <v>1</v>
      </c>
      <c r="V284" s="8">
        <v>0.61299999999999999</v>
      </c>
      <c r="W284" s="8" t="s">
        <v>256</v>
      </c>
      <c r="X284" s="2" t="s">
        <v>33</v>
      </c>
      <c r="Y284" s="2">
        <v>3</v>
      </c>
      <c r="Z284" s="11" t="s">
        <v>119</v>
      </c>
      <c r="AA284" s="20">
        <v>45272</v>
      </c>
      <c r="AB284" s="8">
        <v>18.985219095377037</v>
      </c>
      <c r="AC284" s="33">
        <v>3</v>
      </c>
      <c r="AD284" s="31" t="s">
        <v>194</v>
      </c>
      <c r="AE284" s="31" t="s">
        <v>195</v>
      </c>
      <c r="AF284" s="31" t="s">
        <v>171</v>
      </c>
      <c r="AG284" s="31" t="s">
        <v>219</v>
      </c>
      <c r="AH284" s="6">
        <v>118</v>
      </c>
      <c r="AI284" s="2" t="s">
        <v>1445</v>
      </c>
      <c r="AJ284" s="2" t="s">
        <v>1696</v>
      </c>
    </row>
    <row r="285" spans="1:36">
      <c r="A285" s="2" t="s">
        <v>1150</v>
      </c>
      <c r="B285" s="103">
        <v>45125</v>
      </c>
      <c r="C285" s="2" t="s">
        <v>487</v>
      </c>
      <c r="D285" s="6">
        <v>3</v>
      </c>
      <c r="E285" s="6">
        <v>91</v>
      </c>
      <c r="F285" s="6">
        <v>8</v>
      </c>
      <c r="G285" s="8" t="s">
        <v>256</v>
      </c>
      <c r="H285" s="8" t="s">
        <v>256</v>
      </c>
      <c r="I285" s="2" t="s">
        <v>6</v>
      </c>
      <c r="J285" s="2" t="s">
        <v>40</v>
      </c>
      <c r="K285" s="6">
        <v>300</v>
      </c>
      <c r="L285" s="6">
        <v>5</v>
      </c>
      <c r="M285" s="6">
        <v>19</v>
      </c>
      <c r="N285" s="6" t="s">
        <v>493</v>
      </c>
      <c r="O285" s="6" t="s">
        <v>493</v>
      </c>
      <c r="P285" s="6" t="s">
        <v>493</v>
      </c>
      <c r="Q285" s="6" t="s">
        <v>493</v>
      </c>
      <c r="R285" s="8">
        <v>1.97</v>
      </c>
      <c r="S285" s="20">
        <v>45125</v>
      </c>
      <c r="T285" s="20">
        <v>45126</v>
      </c>
      <c r="U285" s="33">
        <v>1</v>
      </c>
      <c r="V285" s="8">
        <v>0.15</v>
      </c>
      <c r="W285" s="8" t="s">
        <v>256</v>
      </c>
      <c r="X285" s="2" t="s">
        <v>33</v>
      </c>
      <c r="Y285" s="2">
        <v>3</v>
      </c>
      <c r="Z285" s="11" t="s">
        <v>244</v>
      </c>
      <c r="AA285" s="20">
        <v>45272</v>
      </c>
      <c r="AB285" s="8">
        <v>13.630640604535602</v>
      </c>
      <c r="AC285" s="33">
        <v>3</v>
      </c>
      <c r="AD285" s="31" t="s">
        <v>196</v>
      </c>
      <c r="AE285" s="31" t="s">
        <v>197</v>
      </c>
      <c r="AF285" s="31" t="s">
        <v>171</v>
      </c>
      <c r="AG285" s="31" t="s">
        <v>219</v>
      </c>
      <c r="AH285" s="6">
        <v>130</v>
      </c>
      <c r="AI285" s="2" t="s">
        <v>1446</v>
      </c>
      <c r="AJ285" s="2" t="s">
        <v>1696</v>
      </c>
    </row>
    <row r="286" spans="1:36">
      <c r="A286" s="2" t="s">
        <v>1151</v>
      </c>
      <c r="B286" s="103">
        <v>45125</v>
      </c>
      <c r="C286" s="2" t="s">
        <v>487</v>
      </c>
      <c r="D286" s="6">
        <v>3</v>
      </c>
      <c r="E286" s="6">
        <v>98</v>
      </c>
      <c r="F286" s="6">
        <v>9</v>
      </c>
      <c r="G286" s="8" t="s">
        <v>256</v>
      </c>
      <c r="H286" s="8" t="s">
        <v>256</v>
      </c>
      <c r="I286" s="2" t="s">
        <v>5</v>
      </c>
      <c r="J286" s="2" t="s">
        <v>253</v>
      </c>
      <c r="K286" s="6">
        <v>300</v>
      </c>
      <c r="L286" s="6">
        <v>4</v>
      </c>
      <c r="M286" s="6">
        <v>14</v>
      </c>
      <c r="N286" s="6" t="s">
        <v>493</v>
      </c>
      <c r="O286" s="6" t="s">
        <v>493</v>
      </c>
      <c r="P286" s="6" t="s">
        <v>493</v>
      </c>
      <c r="Q286" s="6" t="s">
        <v>493</v>
      </c>
      <c r="R286" s="8">
        <v>5.81</v>
      </c>
      <c r="S286" s="20">
        <v>45125</v>
      </c>
      <c r="T286" s="20">
        <v>45126</v>
      </c>
      <c r="U286" s="33">
        <v>1</v>
      </c>
      <c r="V286" s="8">
        <v>2.9740000000000002</v>
      </c>
      <c r="W286" s="8" t="s">
        <v>256</v>
      </c>
      <c r="X286" s="2" t="s">
        <v>33</v>
      </c>
      <c r="Y286" s="2">
        <v>3</v>
      </c>
      <c r="Z286" s="11" t="s">
        <v>130</v>
      </c>
      <c r="AA286" s="20">
        <v>45272</v>
      </c>
      <c r="AB286" s="8">
        <v>24.09214285907851</v>
      </c>
      <c r="AC286" s="33">
        <v>3</v>
      </c>
      <c r="AD286" s="31" t="s">
        <v>198</v>
      </c>
      <c r="AE286" s="31" t="s">
        <v>199</v>
      </c>
      <c r="AF286" s="31" t="s">
        <v>171</v>
      </c>
      <c r="AG286" s="31" t="s">
        <v>219</v>
      </c>
      <c r="AH286" s="6">
        <v>142</v>
      </c>
      <c r="AI286" s="2" t="s">
        <v>1447</v>
      </c>
      <c r="AJ286" s="2" t="s">
        <v>1696</v>
      </c>
    </row>
    <row r="287" spans="1:36">
      <c r="A287" s="2" t="s">
        <v>1152</v>
      </c>
      <c r="B287" s="103">
        <v>45125</v>
      </c>
      <c r="C287" s="2" t="s">
        <v>487</v>
      </c>
      <c r="D287" s="6">
        <v>3</v>
      </c>
      <c r="E287" s="6">
        <v>100</v>
      </c>
      <c r="F287" s="6">
        <v>9</v>
      </c>
      <c r="G287" s="8" t="s">
        <v>256</v>
      </c>
      <c r="H287" s="8" t="s">
        <v>256</v>
      </c>
      <c r="I287" s="2" t="s">
        <v>5</v>
      </c>
      <c r="J287" s="2" t="s">
        <v>40</v>
      </c>
      <c r="K287" s="6">
        <v>300</v>
      </c>
      <c r="L287" s="6">
        <v>4</v>
      </c>
      <c r="M287" s="6">
        <v>16</v>
      </c>
      <c r="N287" s="6" t="s">
        <v>493</v>
      </c>
      <c r="O287" s="6" t="s">
        <v>493</v>
      </c>
      <c r="P287" s="6" t="s">
        <v>493</v>
      </c>
      <c r="Q287" s="6" t="s">
        <v>493</v>
      </c>
      <c r="R287" s="8">
        <v>4.71</v>
      </c>
      <c r="S287" s="20">
        <v>45125</v>
      </c>
      <c r="T287" s="20">
        <v>45126</v>
      </c>
      <c r="U287" s="33">
        <v>1</v>
      </c>
      <c r="V287" s="8">
        <v>0.378</v>
      </c>
      <c r="W287" s="8" t="s">
        <v>256</v>
      </c>
      <c r="X287" s="2" t="s">
        <v>33</v>
      </c>
      <c r="Y287" s="2">
        <v>3</v>
      </c>
      <c r="Z287" s="11" t="s">
        <v>131</v>
      </c>
      <c r="AA287" s="20">
        <v>45272</v>
      </c>
      <c r="AB287" s="8">
        <v>17.584767623967551</v>
      </c>
      <c r="AC287" s="33">
        <v>3</v>
      </c>
      <c r="AD287" s="31" t="s">
        <v>200</v>
      </c>
      <c r="AE287" s="31" t="s">
        <v>201</v>
      </c>
      <c r="AF287" s="31" t="s">
        <v>171</v>
      </c>
      <c r="AG287" s="31" t="s">
        <v>219</v>
      </c>
      <c r="AH287" s="6">
        <v>154</v>
      </c>
      <c r="AI287" s="2" t="s">
        <v>1448</v>
      </c>
      <c r="AJ287" s="2" t="s">
        <v>1696</v>
      </c>
    </row>
    <row r="288" spans="1:36">
      <c r="A288" s="2" t="s">
        <v>1153</v>
      </c>
      <c r="B288" s="103">
        <v>45125</v>
      </c>
      <c r="C288" s="2" t="s">
        <v>487</v>
      </c>
      <c r="D288" s="6">
        <v>3</v>
      </c>
      <c r="E288" s="6">
        <v>104</v>
      </c>
      <c r="F288" s="6">
        <v>9</v>
      </c>
      <c r="G288" s="8" t="s">
        <v>256</v>
      </c>
      <c r="H288" s="8" t="s">
        <v>256</v>
      </c>
      <c r="I288" s="2" t="s">
        <v>5</v>
      </c>
      <c r="J288" s="2" t="s">
        <v>254</v>
      </c>
      <c r="K288" s="6">
        <v>300</v>
      </c>
      <c r="L288" s="6">
        <v>4</v>
      </c>
      <c r="M288" s="6">
        <v>20</v>
      </c>
      <c r="N288" s="6" t="s">
        <v>493</v>
      </c>
      <c r="O288" s="6" t="s">
        <v>493</v>
      </c>
      <c r="P288" s="6" t="s">
        <v>493</v>
      </c>
      <c r="Q288" s="6" t="s">
        <v>493</v>
      </c>
      <c r="R288" s="8">
        <v>4.21</v>
      </c>
      <c r="S288" s="20">
        <v>45125</v>
      </c>
      <c r="T288" s="20">
        <v>45126</v>
      </c>
      <c r="U288" s="33">
        <v>1</v>
      </c>
      <c r="V288" s="8">
        <v>1.8839999999999999</v>
      </c>
      <c r="W288" s="8" t="s">
        <v>256</v>
      </c>
      <c r="X288" s="2" t="s">
        <v>33</v>
      </c>
      <c r="Y288" s="2">
        <v>3</v>
      </c>
      <c r="Z288" s="11" t="s">
        <v>132</v>
      </c>
      <c r="AA288" s="20">
        <v>45272</v>
      </c>
      <c r="AB288" s="8">
        <v>28.264115569009693</v>
      </c>
      <c r="AC288" s="33">
        <v>3</v>
      </c>
      <c r="AD288" s="31" t="s">
        <v>202</v>
      </c>
      <c r="AE288" s="31" t="s">
        <v>203</v>
      </c>
      <c r="AF288" s="31" t="s">
        <v>171</v>
      </c>
      <c r="AG288" s="31" t="s">
        <v>219</v>
      </c>
      <c r="AH288" s="6">
        <v>166</v>
      </c>
      <c r="AI288" s="2" t="s">
        <v>1449</v>
      </c>
      <c r="AJ288" s="2" t="s">
        <v>1696</v>
      </c>
    </row>
    <row r="289" spans="1:38">
      <c r="A289" s="2" t="s">
        <v>1154</v>
      </c>
      <c r="B289" s="103">
        <v>45125</v>
      </c>
      <c r="C289" s="2" t="s">
        <v>487</v>
      </c>
      <c r="D289" s="6">
        <v>3</v>
      </c>
      <c r="E289" s="6">
        <v>107</v>
      </c>
      <c r="F289" s="6">
        <v>9</v>
      </c>
      <c r="G289" s="8" t="s">
        <v>256</v>
      </c>
      <c r="H289" s="8" t="s">
        <v>256</v>
      </c>
      <c r="I289" s="2" t="s">
        <v>5</v>
      </c>
      <c r="J289" s="2" t="s">
        <v>255</v>
      </c>
      <c r="K289" s="6">
        <v>300</v>
      </c>
      <c r="L289" s="6">
        <v>4</v>
      </c>
      <c r="M289" s="6">
        <v>23</v>
      </c>
      <c r="N289" s="6" t="s">
        <v>493</v>
      </c>
      <c r="O289" s="6" t="s">
        <v>493</v>
      </c>
      <c r="P289" s="6" t="s">
        <v>493</v>
      </c>
      <c r="Q289" s="6" t="s">
        <v>493</v>
      </c>
      <c r="R289" s="8">
        <v>4.16</v>
      </c>
      <c r="S289" s="20">
        <v>45125</v>
      </c>
      <c r="T289" s="20">
        <v>45126</v>
      </c>
      <c r="U289" s="33">
        <v>1</v>
      </c>
      <c r="V289" s="8">
        <v>1.3280000000000001</v>
      </c>
      <c r="W289" s="8" t="s">
        <v>256</v>
      </c>
      <c r="X289" s="2" t="s">
        <v>33</v>
      </c>
      <c r="Y289" s="2">
        <v>3</v>
      </c>
      <c r="Z289" s="11" t="s">
        <v>133</v>
      </c>
      <c r="AA289" s="20">
        <v>45272</v>
      </c>
      <c r="AB289" s="8">
        <v>27.589545408022133</v>
      </c>
      <c r="AC289" s="33">
        <v>3</v>
      </c>
      <c r="AD289" s="31" t="s">
        <v>204</v>
      </c>
      <c r="AE289" s="31" t="s">
        <v>205</v>
      </c>
      <c r="AF289" s="31" t="s">
        <v>171</v>
      </c>
      <c r="AG289" s="31" t="s">
        <v>219</v>
      </c>
      <c r="AH289" s="6">
        <v>178</v>
      </c>
      <c r="AI289" s="2" t="s">
        <v>1450</v>
      </c>
      <c r="AJ289" s="2" t="s">
        <v>1696</v>
      </c>
    </row>
    <row r="290" spans="1:38">
      <c r="A290" s="5" t="s">
        <v>758</v>
      </c>
      <c r="B290" s="12" t="s">
        <v>256</v>
      </c>
      <c r="C290" s="5" t="s">
        <v>256</v>
      </c>
      <c r="D290" s="8" t="s">
        <v>256</v>
      </c>
      <c r="E290" s="8" t="s">
        <v>256</v>
      </c>
      <c r="F290" s="8" t="s">
        <v>256</v>
      </c>
      <c r="G290" s="8" t="s">
        <v>256</v>
      </c>
      <c r="H290" s="8" t="s">
        <v>256</v>
      </c>
      <c r="I290" s="3" t="s">
        <v>256</v>
      </c>
      <c r="J290" s="3" t="s">
        <v>256</v>
      </c>
      <c r="K290" s="8" t="s">
        <v>256</v>
      </c>
      <c r="L290" s="8" t="s">
        <v>256</v>
      </c>
      <c r="M290" s="8" t="s">
        <v>256</v>
      </c>
      <c r="N290" s="8"/>
      <c r="O290" s="8"/>
      <c r="P290" s="8"/>
      <c r="Q290" s="8"/>
      <c r="R290" s="8" t="s">
        <v>256</v>
      </c>
      <c r="S290" s="27" t="s">
        <v>256</v>
      </c>
      <c r="T290" s="27" t="s">
        <v>256</v>
      </c>
      <c r="U290" s="8" t="s">
        <v>256</v>
      </c>
      <c r="V290" s="8" t="s">
        <v>256</v>
      </c>
      <c r="W290" s="8" t="s">
        <v>256</v>
      </c>
      <c r="X290" s="2" t="s">
        <v>33</v>
      </c>
      <c r="Y290" s="2">
        <v>2</v>
      </c>
      <c r="Z290" s="18" t="s">
        <v>138</v>
      </c>
      <c r="AA290" s="20">
        <v>45268</v>
      </c>
      <c r="AB290" s="8">
        <v>4.4618794153185086E-2</v>
      </c>
      <c r="AC290" s="33">
        <v>2</v>
      </c>
      <c r="AD290" s="31" t="s">
        <v>160</v>
      </c>
      <c r="AE290" s="31" t="s">
        <v>189</v>
      </c>
      <c r="AF290" s="31" t="s">
        <v>238</v>
      </c>
      <c r="AG290" s="31" t="s">
        <v>239</v>
      </c>
      <c r="AH290" s="6">
        <v>264</v>
      </c>
      <c r="AI290" s="2" t="s">
        <v>1451</v>
      </c>
      <c r="AJ290" s="2" t="s">
        <v>1696</v>
      </c>
      <c r="AL290" s="2" t="s">
        <v>1806</v>
      </c>
    </row>
    <row r="291" spans="1:38">
      <c r="A291" s="5" t="s">
        <v>758</v>
      </c>
      <c r="B291" s="12" t="s">
        <v>256</v>
      </c>
      <c r="C291" s="5" t="s">
        <v>256</v>
      </c>
      <c r="D291" s="8" t="s">
        <v>256</v>
      </c>
      <c r="E291" s="8" t="s">
        <v>256</v>
      </c>
      <c r="F291" s="8" t="s">
        <v>256</v>
      </c>
      <c r="G291" s="8" t="s">
        <v>256</v>
      </c>
      <c r="H291" s="8" t="s">
        <v>256</v>
      </c>
      <c r="I291" s="3" t="s">
        <v>256</v>
      </c>
      <c r="J291" s="3" t="s">
        <v>256</v>
      </c>
      <c r="K291" s="8" t="s">
        <v>256</v>
      </c>
      <c r="L291" s="8" t="s">
        <v>256</v>
      </c>
      <c r="M291" s="8" t="s">
        <v>256</v>
      </c>
      <c r="N291" s="8"/>
      <c r="O291" s="8"/>
      <c r="P291" s="8"/>
      <c r="Q291" s="8"/>
      <c r="R291" s="8" t="s">
        <v>256</v>
      </c>
      <c r="S291" s="27" t="s">
        <v>256</v>
      </c>
      <c r="T291" s="27" t="s">
        <v>256</v>
      </c>
      <c r="U291" s="8" t="s">
        <v>256</v>
      </c>
      <c r="V291" s="8" t="s">
        <v>256</v>
      </c>
      <c r="W291" s="8" t="s">
        <v>256</v>
      </c>
      <c r="X291" s="2" t="s">
        <v>33</v>
      </c>
      <c r="Y291" s="2">
        <v>3</v>
      </c>
      <c r="Z291" s="18" t="s">
        <v>138</v>
      </c>
      <c r="AA291" s="20">
        <v>45272</v>
      </c>
      <c r="AB291" s="34">
        <v>0.04</v>
      </c>
      <c r="AC291" s="33">
        <v>3</v>
      </c>
      <c r="AD291" s="35" t="s">
        <v>202</v>
      </c>
      <c r="AE291" s="35" t="s">
        <v>203</v>
      </c>
      <c r="AF291" s="35" t="s">
        <v>167</v>
      </c>
      <c r="AG291" s="35" t="s">
        <v>215</v>
      </c>
      <c r="AH291" s="6">
        <v>168</v>
      </c>
      <c r="AI291" s="2" t="s">
        <v>1452</v>
      </c>
      <c r="AJ291" s="2" t="s">
        <v>1696</v>
      </c>
      <c r="AL291" s="2" t="s">
        <v>1807</v>
      </c>
    </row>
    <row r="292" spans="1:38">
      <c r="A292" s="5" t="s">
        <v>758</v>
      </c>
      <c r="B292" s="12" t="s">
        <v>256</v>
      </c>
      <c r="C292" s="5" t="s">
        <v>256</v>
      </c>
      <c r="D292" s="8" t="s">
        <v>256</v>
      </c>
      <c r="E292" s="8" t="s">
        <v>256</v>
      </c>
      <c r="F292" s="8" t="s">
        <v>256</v>
      </c>
      <c r="G292" s="8" t="s">
        <v>256</v>
      </c>
      <c r="H292" s="8" t="s">
        <v>256</v>
      </c>
      <c r="I292" s="3" t="s">
        <v>256</v>
      </c>
      <c r="J292" s="3" t="s">
        <v>256</v>
      </c>
      <c r="K292" s="8" t="s">
        <v>256</v>
      </c>
      <c r="L292" s="8" t="s">
        <v>256</v>
      </c>
      <c r="M292" s="8" t="s">
        <v>256</v>
      </c>
      <c r="N292" s="8"/>
      <c r="O292" s="8"/>
      <c r="P292" s="8"/>
      <c r="Q292" s="8"/>
      <c r="R292" s="8" t="s">
        <v>256</v>
      </c>
      <c r="S292" s="27" t="s">
        <v>256</v>
      </c>
      <c r="T292" s="27" t="s">
        <v>256</v>
      </c>
      <c r="U292" s="8" t="s">
        <v>256</v>
      </c>
      <c r="V292" s="8" t="s">
        <v>256</v>
      </c>
      <c r="W292" s="8" t="s">
        <v>256</v>
      </c>
      <c r="X292" s="2" t="s">
        <v>34</v>
      </c>
      <c r="Y292" s="2">
        <v>4</v>
      </c>
      <c r="Z292" s="18" t="s">
        <v>138</v>
      </c>
      <c r="AA292" s="20">
        <v>45279</v>
      </c>
      <c r="AB292" s="6">
        <v>0.54100000000000004</v>
      </c>
      <c r="AC292" s="33">
        <v>4</v>
      </c>
      <c r="AD292" s="24" t="s">
        <v>202</v>
      </c>
      <c r="AE292" s="24" t="s">
        <v>203</v>
      </c>
      <c r="AF292" s="24" t="s">
        <v>238</v>
      </c>
      <c r="AG292" s="24" t="s">
        <v>239</v>
      </c>
      <c r="AH292" s="6">
        <v>360</v>
      </c>
      <c r="AI292" s="2" t="s">
        <v>1453</v>
      </c>
      <c r="AJ292" s="2" t="s">
        <v>1696</v>
      </c>
      <c r="AL292" s="2" t="s">
        <v>1808</v>
      </c>
    </row>
    <row r="293" spans="1:38">
      <c r="A293" s="2" t="s">
        <v>1155</v>
      </c>
      <c r="B293" s="20">
        <v>45098</v>
      </c>
      <c r="C293" s="2" t="s">
        <v>487</v>
      </c>
      <c r="D293" s="8" t="s">
        <v>256</v>
      </c>
      <c r="E293" s="6" t="s">
        <v>38</v>
      </c>
      <c r="F293" s="8" t="s">
        <v>256</v>
      </c>
      <c r="G293" s="8" t="s">
        <v>256</v>
      </c>
      <c r="H293" s="8" t="s">
        <v>256</v>
      </c>
      <c r="I293" s="2" t="s">
        <v>5</v>
      </c>
      <c r="J293" s="2" t="s">
        <v>40</v>
      </c>
      <c r="K293" s="6">
        <v>300</v>
      </c>
      <c r="L293" s="8" t="s">
        <v>256</v>
      </c>
      <c r="M293" s="8" t="s">
        <v>256</v>
      </c>
      <c r="N293" s="8"/>
      <c r="O293" s="8"/>
      <c r="P293" s="8"/>
      <c r="Q293" s="8"/>
      <c r="R293" s="6">
        <v>0.8</v>
      </c>
      <c r="S293" s="20">
        <v>45097</v>
      </c>
      <c r="T293" s="20">
        <v>45098</v>
      </c>
      <c r="U293" s="33">
        <v>1</v>
      </c>
      <c r="V293" s="6">
        <v>0.8</v>
      </c>
      <c r="W293" s="8" t="s">
        <v>256</v>
      </c>
      <c r="X293" s="2" t="s">
        <v>33</v>
      </c>
      <c r="Y293" s="2">
        <v>5</v>
      </c>
      <c r="Z293" s="27" t="s">
        <v>256</v>
      </c>
      <c r="AA293" s="20">
        <v>45334</v>
      </c>
      <c r="AB293" s="8">
        <v>41.8</v>
      </c>
      <c r="AC293" s="33">
        <v>1</v>
      </c>
      <c r="AD293" s="31" t="s">
        <v>53</v>
      </c>
      <c r="AE293" s="31" t="s">
        <v>190</v>
      </c>
      <c r="AF293" s="31" t="s">
        <v>167</v>
      </c>
      <c r="AG293" s="31" t="s">
        <v>215</v>
      </c>
      <c r="AH293" s="6">
        <v>84</v>
      </c>
      <c r="AI293" s="2" t="s">
        <v>1454</v>
      </c>
      <c r="AJ293" s="2" t="s">
        <v>1762</v>
      </c>
      <c r="AK293" t="s">
        <v>1809</v>
      </c>
    </row>
    <row r="294" spans="1:38">
      <c r="A294" s="2" t="s">
        <v>1156</v>
      </c>
      <c r="B294" s="20">
        <v>45098</v>
      </c>
      <c r="C294" s="2" t="s">
        <v>487</v>
      </c>
      <c r="D294" s="8" t="s">
        <v>256</v>
      </c>
      <c r="E294" s="6" t="s">
        <v>39</v>
      </c>
      <c r="F294" s="8" t="s">
        <v>256</v>
      </c>
      <c r="G294" s="8" t="s">
        <v>256</v>
      </c>
      <c r="H294" s="8" t="s">
        <v>256</v>
      </c>
      <c r="I294" s="2" t="s">
        <v>5</v>
      </c>
      <c r="J294" s="2" t="s">
        <v>255</v>
      </c>
      <c r="K294" s="6">
        <v>300</v>
      </c>
      <c r="L294" s="8" t="s">
        <v>256</v>
      </c>
      <c r="M294" s="8" t="s">
        <v>256</v>
      </c>
      <c r="N294" s="8"/>
      <c r="O294" s="8"/>
      <c r="P294" s="8"/>
      <c r="Q294" s="8"/>
      <c r="R294" s="6">
        <v>3.93</v>
      </c>
      <c r="S294" s="20">
        <v>45097</v>
      </c>
      <c r="T294" s="20">
        <v>45098</v>
      </c>
      <c r="U294" s="33">
        <v>1</v>
      </c>
      <c r="V294" s="6">
        <v>8.44</v>
      </c>
      <c r="W294" s="8" t="s">
        <v>256</v>
      </c>
      <c r="X294" s="2" t="s">
        <v>33</v>
      </c>
      <c r="Y294" s="2">
        <v>5</v>
      </c>
      <c r="Z294" s="27" t="s">
        <v>256</v>
      </c>
      <c r="AA294" s="20">
        <v>45334</v>
      </c>
      <c r="AB294" s="8">
        <v>55</v>
      </c>
      <c r="AC294" s="33">
        <v>1</v>
      </c>
      <c r="AD294" s="31" t="s">
        <v>162</v>
      </c>
      <c r="AE294" s="31" t="s">
        <v>192</v>
      </c>
      <c r="AF294" s="31" t="s">
        <v>167</v>
      </c>
      <c r="AG294" s="31" t="s">
        <v>215</v>
      </c>
      <c r="AH294" s="6">
        <v>96</v>
      </c>
      <c r="AI294" s="2" t="s">
        <v>1455</v>
      </c>
      <c r="AJ294" s="2" t="s">
        <v>1762</v>
      </c>
      <c r="AK294" t="s">
        <v>1810</v>
      </c>
    </row>
    <row r="295" spans="1:38">
      <c r="A295" s="2" t="s">
        <v>1157</v>
      </c>
      <c r="B295" s="20">
        <v>45098</v>
      </c>
      <c r="C295" s="2" t="s">
        <v>487</v>
      </c>
      <c r="D295" s="6">
        <v>2</v>
      </c>
      <c r="E295" s="6">
        <v>66</v>
      </c>
      <c r="F295" s="6">
        <v>6</v>
      </c>
      <c r="G295" s="8" t="s">
        <v>256</v>
      </c>
      <c r="H295" s="8" t="s">
        <v>256</v>
      </c>
      <c r="I295" s="2" t="s">
        <v>5</v>
      </c>
      <c r="J295" s="2" t="s">
        <v>254</v>
      </c>
      <c r="K295" s="6">
        <v>300</v>
      </c>
      <c r="L295" s="6">
        <v>1</v>
      </c>
      <c r="M295" s="6">
        <v>6</v>
      </c>
      <c r="N295" s="6" t="s">
        <v>493</v>
      </c>
      <c r="O295" s="6" t="s">
        <v>493</v>
      </c>
      <c r="P295" s="6" t="s">
        <v>493</v>
      </c>
      <c r="Q295" s="6" t="s">
        <v>493</v>
      </c>
      <c r="R295" s="6">
        <v>1.88</v>
      </c>
      <c r="S295" s="20">
        <v>45097</v>
      </c>
      <c r="T295" s="20">
        <v>45098</v>
      </c>
      <c r="U295" s="33">
        <v>1</v>
      </c>
      <c r="V295" s="6">
        <v>5.7</v>
      </c>
      <c r="W295" s="8" t="s">
        <v>256</v>
      </c>
      <c r="X295" s="2" t="s">
        <v>33</v>
      </c>
      <c r="Y295" s="2">
        <v>5</v>
      </c>
      <c r="Z295" s="27" t="s">
        <v>256</v>
      </c>
      <c r="AA295" s="20">
        <v>45334</v>
      </c>
      <c r="AB295" s="8">
        <v>37.4</v>
      </c>
      <c r="AC295" s="33">
        <v>2</v>
      </c>
      <c r="AD295" s="31" t="s">
        <v>53</v>
      </c>
      <c r="AE295" s="31" t="s">
        <v>190</v>
      </c>
      <c r="AF295" s="31" t="s">
        <v>238</v>
      </c>
      <c r="AG295" s="31" t="s">
        <v>239</v>
      </c>
      <c r="AH295" s="6">
        <v>276</v>
      </c>
      <c r="AI295" s="2" t="s">
        <v>1456</v>
      </c>
      <c r="AJ295" s="2" t="s">
        <v>1762</v>
      </c>
    </row>
    <row r="296" spans="1:38">
      <c r="A296" s="2" t="s">
        <v>1158</v>
      </c>
      <c r="B296" s="20">
        <v>45098</v>
      </c>
      <c r="C296" s="2" t="s">
        <v>487</v>
      </c>
      <c r="D296" s="6">
        <v>2</v>
      </c>
      <c r="E296" s="6">
        <v>72</v>
      </c>
      <c r="F296" s="6">
        <v>6</v>
      </c>
      <c r="G296" s="8" t="s">
        <v>256</v>
      </c>
      <c r="H296" s="8" t="s">
        <v>256</v>
      </c>
      <c r="I296" s="2" t="s">
        <v>5</v>
      </c>
      <c r="J296" s="2" t="s">
        <v>253</v>
      </c>
      <c r="K296" s="6">
        <v>300</v>
      </c>
      <c r="L296" s="6">
        <v>1</v>
      </c>
      <c r="M296" s="6">
        <v>12</v>
      </c>
      <c r="N296" s="6" t="s">
        <v>493</v>
      </c>
      <c r="O296" s="6" t="s">
        <v>493</v>
      </c>
      <c r="P296" s="6" t="s">
        <v>493</v>
      </c>
      <c r="Q296" s="6" t="s">
        <v>493</v>
      </c>
      <c r="R296" s="6">
        <v>1.44</v>
      </c>
      <c r="S296" s="20">
        <v>45097</v>
      </c>
      <c r="T296" s="20">
        <v>45098</v>
      </c>
      <c r="U296" s="33">
        <v>1</v>
      </c>
      <c r="V296" s="6">
        <v>7.05</v>
      </c>
      <c r="W296" s="8" t="s">
        <v>256</v>
      </c>
      <c r="X296" s="2" t="s">
        <v>33</v>
      </c>
      <c r="Y296" s="2">
        <v>5</v>
      </c>
      <c r="Z296" s="27" t="s">
        <v>256</v>
      </c>
      <c r="AA296" s="20">
        <v>45334</v>
      </c>
      <c r="AB296" s="8">
        <v>37.700000000000003</v>
      </c>
      <c r="AC296" s="33">
        <v>2</v>
      </c>
      <c r="AD296" s="31" t="s">
        <v>162</v>
      </c>
      <c r="AE296" s="31" t="s">
        <v>192</v>
      </c>
      <c r="AF296" s="31" t="s">
        <v>238</v>
      </c>
      <c r="AG296" s="31" t="s">
        <v>239</v>
      </c>
      <c r="AH296" s="6">
        <v>288</v>
      </c>
      <c r="AI296" s="2" t="s">
        <v>1457</v>
      </c>
      <c r="AJ296" s="2" t="s">
        <v>1762</v>
      </c>
    </row>
    <row r="297" spans="1:38">
      <c r="A297" s="2" t="s">
        <v>1159</v>
      </c>
      <c r="B297" s="20">
        <v>45098</v>
      </c>
      <c r="C297" s="2" t="s">
        <v>487</v>
      </c>
      <c r="D297" s="6">
        <v>3</v>
      </c>
      <c r="E297" s="6">
        <v>98</v>
      </c>
      <c r="F297" s="6">
        <v>9</v>
      </c>
      <c r="G297" s="8" t="s">
        <v>256</v>
      </c>
      <c r="H297" s="8" t="s">
        <v>256</v>
      </c>
      <c r="I297" s="2" t="s">
        <v>5</v>
      </c>
      <c r="J297" s="2" t="s">
        <v>253</v>
      </c>
      <c r="K297" s="6">
        <v>300</v>
      </c>
      <c r="L297" s="6">
        <v>4</v>
      </c>
      <c r="M297" s="6">
        <v>14</v>
      </c>
      <c r="N297" s="6" t="s">
        <v>493</v>
      </c>
      <c r="O297" s="6" t="s">
        <v>493</v>
      </c>
      <c r="P297" s="6" t="s">
        <v>493</v>
      </c>
      <c r="Q297" s="6" t="s">
        <v>493</v>
      </c>
      <c r="R297" s="6">
        <v>1.72</v>
      </c>
      <c r="S297" s="20">
        <v>45097</v>
      </c>
      <c r="T297" s="20">
        <v>45098</v>
      </c>
      <c r="U297" s="33">
        <v>1</v>
      </c>
      <c r="V297" s="6">
        <v>4.51</v>
      </c>
      <c r="W297" s="8" t="s">
        <v>256</v>
      </c>
      <c r="X297" s="2" t="s">
        <v>33</v>
      </c>
      <c r="Y297" s="2">
        <v>5</v>
      </c>
      <c r="Z297" s="27" t="s">
        <v>256</v>
      </c>
      <c r="AA297" s="20">
        <v>45334</v>
      </c>
      <c r="AB297" s="8">
        <v>38.700000000000003</v>
      </c>
      <c r="AC297" s="33">
        <v>3</v>
      </c>
      <c r="AD297" s="31" t="s">
        <v>204</v>
      </c>
      <c r="AE297" s="31" t="s">
        <v>205</v>
      </c>
      <c r="AF297" s="31" t="s">
        <v>167</v>
      </c>
      <c r="AG297" s="31" t="s">
        <v>215</v>
      </c>
      <c r="AH297" s="6">
        <v>180</v>
      </c>
      <c r="AI297" s="2" t="s">
        <v>1458</v>
      </c>
      <c r="AJ297" s="2" t="s">
        <v>1762</v>
      </c>
    </row>
    <row r="298" spans="1:38">
      <c r="A298" s="2" t="s">
        <v>1160</v>
      </c>
      <c r="B298" s="20">
        <v>45098</v>
      </c>
      <c r="C298" s="2" t="s">
        <v>487</v>
      </c>
      <c r="D298" s="6">
        <v>3</v>
      </c>
      <c r="E298" s="6">
        <v>100</v>
      </c>
      <c r="F298" s="6">
        <v>9</v>
      </c>
      <c r="G298" s="8" t="s">
        <v>256</v>
      </c>
      <c r="H298" s="8" t="s">
        <v>256</v>
      </c>
      <c r="I298" s="2" t="s">
        <v>5</v>
      </c>
      <c r="J298" s="2" t="s">
        <v>40</v>
      </c>
      <c r="K298" s="6">
        <v>300</v>
      </c>
      <c r="L298" s="6">
        <v>4</v>
      </c>
      <c r="M298" s="6">
        <v>16</v>
      </c>
      <c r="N298" s="6" t="s">
        <v>493</v>
      </c>
      <c r="O298" s="6" t="s">
        <v>493</v>
      </c>
      <c r="P298" s="6" t="s">
        <v>493</v>
      </c>
      <c r="Q298" s="6" t="s">
        <v>493</v>
      </c>
      <c r="R298" s="6">
        <v>2.76</v>
      </c>
      <c r="S298" s="20">
        <v>45097</v>
      </c>
      <c r="T298" s="20">
        <v>45098</v>
      </c>
      <c r="U298" s="33">
        <v>1</v>
      </c>
      <c r="V298" s="6">
        <v>3.53</v>
      </c>
      <c r="W298" s="8" t="s">
        <v>256</v>
      </c>
      <c r="X298" s="2" t="s">
        <v>33</v>
      </c>
      <c r="Y298" s="2">
        <v>5</v>
      </c>
      <c r="Z298" s="27" t="s">
        <v>256</v>
      </c>
      <c r="AA298" s="20">
        <v>45334</v>
      </c>
      <c r="AB298" s="8">
        <v>34.299999999999997</v>
      </c>
      <c r="AC298" s="33">
        <v>3</v>
      </c>
      <c r="AD298" s="31" t="s">
        <v>206</v>
      </c>
      <c r="AE298" s="31" t="s">
        <v>207</v>
      </c>
      <c r="AF298" s="31" t="s">
        <v>167</v>
      </c>
      <c r="AG298" s="31" t="s">
        <v>215</v>
      </c>
      <c r="AH298" s="6">
        <v>192</v>
      </c>
      <c r="AI298" s="2" t="s">
        <v>1459</v>
      </c>
      <c r="AJ298" s="2" t="s">
        <v>1762</v>
      </c>
    </row>
    <row r="299" spans="1:38">
      <c r="A299" s="2" t="s">
        <v>1161</v>
      </c>
      <c r="B299" s="20">
        <v>45098</v>
      </c>
      <c r="C299" s="2" t="s">
        <v>487</v>
      </c>
      <c r="D299" s="6">
        <v>3</v>
      </c>
      <c r="E299" s="6">
        <v>104</v>
      </c>
      <c r="F299" s="6">
        <v>9</v>
      </c>
      <c r="G299" s="8" t="s">
        <v>256</v>
      </c>
      <c r="H299" s="8" t="s">
        <v>256</v>
      </c>
      <c r="I299" s="2" t="s">
        <v>5</v>
      </c>
      <c r="J299" s="2" t="s">
        <v>254</v>
      </c>
      <c r="K299" s="6">
        <v>300</v>
      </c>
      <c r="L299" s="6">
        <v>4</v>
      </c>
      <c r="M299" s="6">
        <v>20</v>
      </c>
      <c r="N299" s="6" t="s">
        <v>493</v>
      </c>
      <c r="O299" s="6" t="s">
        <v>493</v>
      </c>
      <c r="P299" s="6" t="s">
        <v>493</v>
      </c>
      <c r="Q299" s="6" t="s">
        <v>493</v>
      </c>
      <c r="R299" s="6">
        <v>2.25</v>
      </c>
      <c r="S299" s="20">
        <v>45097</v>
      </c>
      <c r="T299" s="20">
        <v>45098</v>
      </c>
      <c r="U299" s="33">
        <v>1</v>
      </c>
      <c r="V299" s="6">
        <v>4.2300000000000004</v>
      </c>
      <c r="W299" s="8" t="s">
        <v>256</v>
      </c>
      <c r="X299" s="2" t="s">
        <v>33</v>
      </c>
      <c r="Y299" s="2">
        <v>5</v>
      </c>
      <c r="Z299" s="27" t="s">
        <v>256</v>
      </c>
      <c r="AA299" s="20">
        <v>45334</v>
      </c>
      <c r="AB299" s="8">
        <v>31.5</v>
      </c>
      <c r="AC299" s="33">
        <v>4</v>
      </c>
      <c r="AD299" s="31" t="s">
        <v>204</v>
      </c>
      <c r="AE299" s="31" t="s">
        <v>205</v>
      </c>
      <c r="AF299" s="31" t="s">
        <v>238</v>
      </c>
      <c r="AG299" s="31" t="s">
        <v>239</v>
      </c>
      <c r="AH299" s="6">
        <v>372</v>
      </c>
      <c r="AI299" s="2" t="s">
        <v>1460</v>
      </c>
      <c r="AJ299" s="2" t="s">
        <v>1762</v>
      </c>
    </row>
    <row r="300" spans="1:38">
      <c r="A300" s="2" t="s">
        <v>1162</v>
      </c>
      <c r="B300" s="20">
        <v>45098</v>
      </c>
      <c r="C300" s="2" t="s">
        <v>487</v>
      </c>
      <c r="D300" s="6">
        <v>3</v>
      </c>
      <c r="E300" s="6">
        <v>107</v>
      </c>
      <c r="F300" s="6">
        <v>9</v>
      </c>
      <c r="G300" s="8" t="s">
        <v>256</v>
      </c>
      <c r="H300" s="8" t="s">
        <v>256</v>
      </c>
      <c r="I300" s="2" t="s">
        <v>5</v>
      </c>
      <c r="J300" s="2" t="s">
        <v>255</v>
      </c>
      <c r="K300" s="6">
        <v>300</v>
      </c>
      <c r="L300" s="6">
        <v>4</v>
      </c>
      <c r="M300" s="6">
        <v>23</v>
      </c>
      <c r="N300" s="6" t="s">
        <v>493</v>
      </c>
      <c r="O300" s="6" t="s">
        <v>493</v>
      </c>
      <c r="P300" s="6" t="s">
        <v>493</v>
      </c>
      <c r="Q300" s="6" t="s">
        <v>493</v>
      </c>
      <c r="R300" s="6">
        <v>0.44</v>
      </c>
      <c r="S300" s="20">
        <v>45097</v>
      </c>
      <c r="T300" s="20">
        <v>45098</v>
      </c>
      <c r="U300" s="33">
        <v>1</v>
      </c>
      <c r="V300" s="6">
        <v>0.92900000000000005</v>
      </c>
      <c r="W300" s="8" t="s">
        <v>256</v>
      </c>
      <c r="X300" s="2" t="s">
        <v>33</v>
      </c>
      <c r="Y300" s="2">
        <v>5</v>
      </c>
      <c r="Z300" s="27" t="s">
        <v>256</v>
      </c>
      <c r="AA300" s="20">
        <v>45334</v>
      </c>
      <c r="AB300" s="8">
        <v>30.7</v>
      </c>
      <c r="AC300" s="33">
        <v>4</v>
      </c>
      <c r="AD300" s="31" t="s">
        <v>206</v>
      </c>
      <c r="AE300" s="31" t="s">
        <v>207</v>
      </c>
      <c r="AF300" s="31" t="s">
        <v>238</v>
      </c>
      <c r="AG300" s="31" t="s">
        <v>239</v>
      </c>
      <c r="AH300" s="6">
        <v>384</v>
      </c>
      <c r="AI300" s="2" t="s">
        <v>1461</v>
      </c>
      <c r="AJ300" s="2" t="s">
        <v>1762</v>
      </c>
    </row>
  </sheetData>
  <autoFilter ref="A1:AK300" xr:uid="{37ABA297-D32A-9544-AB9B-91724AC9CA69}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0793-AACF-EA47-8445-227F76777388}">
  <dimension ref="A1:AU241"/>
  <sheetViews>
    <sheetView topLeftCell="Y1" zoomScaleNormal="100" workbookViewId="0">
      <pane ySplit="1" topLeftCell="A104" activePane="bottomLeft" state="frozen"/>
      <selection activeCell="O1" sqref="O1"/>
      <selection pane="bottomLeft" activeCell="AM125" sqref="AM125"/>
    </sheetView>
  </sheetViews>
  <sheetFormatPr baseColWidth="10" defaultRowHeight="16"/>
  <cols>
    <col min="1" max="1" width="50.6640625" bestFit="1" customWidth="1"/>
    <col min="2" max="2" width="16" style="11" customWidth="1"/>
    <col min="3" max="3" width="16" customWidth="1"/>
    <col min="4" max="8" width="10.83203125" style="7"/>
    <col min="9" max="10" width="10.83203125" style="26"/>
    <col min="11" max="11" width="7" style="7" bestFit="1" customWidth="1"/>
    <col min="12" max="13" width="4.1640625" style="7" bestFit="1" customWidth="1"/>
    <col min="14" max="17" width="4.1640625" style="7" customWidth="1"/>
    <col min="18" max="18" width="15" style="7" bestFit="1" customWidth="1"/>
    <col min="19" max="19" width="11.83203125" style="11" bestFit="1" customWidth="1"/>
    <col min="20" max="20" width="12.6640625" style="11" bestFit="1" customWidth="1"/>
    <col min="21" max="21" width="19" bestFit="1" customWidth="1"/>
    <col min="22" max="22" width="18.6640625" bestFit="1" customWidth="1"/>
    <col min="23" max="23" width="14.6640625" bestFit="1" customWidth="1"/>
    <col min="24" max="24" width="8.83203125" bestFit="1" customWidth="1"/>
    <col min="25" max="25" width="15.33203125" style="7" bestFit="1" customWidth="1"/>
    <col min="26" max="26" width="12.6640625" style="11" bestFit="1" customWidth="1"/>
    <col min="27" max="28" width="11" style="36" customWidth="1"/>
    <col min="29" max="29" width="12.6640625" style="7" bestFit="1" customWidth="1"/>
    <col min="30" max="30" width="8.83203125" style="7" bestFit="1" customWidth="1"/>
    <col min="31" max="31" width="11.1640625" style="26" bestFit="1" customWidth="1"/>
    <col min="32" max="32" width="10.5" style="26" bestFit="1" customWidth="1"/>
    <col min="33" max="33" width="11.33203125" style="26" bestFit="1" customWidth="1"/>
    <col min="34" max="34" width="11" style="26" customWidth="1"/>
    <col min="35" max="35" width="9.5" style="7" bestFit="1" customWidth="1"/>
    <col min="36" max="36" width="28.1640625" bestFit="1" customWidth="1"/>
    <col min="37" max="37" width="16.83203125" bestFit="1" customWidth="1"/>
    <col min="38" max="38" width="13" bestFit="1" customWidth="1"/>
    <col min="39" max="39" width="20.33203125" bestFit="1" customWidth="1"/>
    <col min="40" max="40" width="11" customWidth="1"/>
  </cols>
  <sheetData>
    <row r="1" spans="1:47" s="24" customFormat="1" ht="17" customHeight="1">
      <c r="A1" s="1" t="s">
        <v>732</v>
      </c>
      <c r="B1" s="1" t="s">
        <v>482</v>
      </c>
      <c r="C1" s="1" t="s">
        <v>483</v>
      </c>
      <c r="D1" s="24" t="s">
        <v>231</v>
      </c>
      <c r="E1" s="24" t="s">
        <v>58</v>
      </c>
      <c r="F1" s="24" t="s">
        <v>246</v>
      </c>
      <c r="G1" s="24" t="s">
        <v>488</v>
      </c>
      <c r="H1" s="24" t="s">
        <v>60</v>
      </c>
      <c r="I1" s="24" t="s">
        <v>232</v>
      </c>
      <c r="J1" s="24" t="s">
        <v>59</v>
      </c>
      <c r="K1" s="24" t="s">
        <v>233</v>
      </c>
      <c r="L1" s="24" t="s">
        <v>2</v>
      </c>
      <c r="M1" s="24" t="s">
        <v>3</v>
      </c>
      <c r="N1" s="24" t="s">
        <v>489</v>
      </c>
      <c r="O1" s="24" t="s">
        <v>490</v>
      </c>
      <c r="P1" s="24" t="s">
        <v>491</v>
      </c>
      <c r="Q1" s="24" t="s">
        <v>492</v>
      </c>
      <c r="R1" s="25" t="s">
        <v>8</v>
      </c>
      <c r="S1" s="25" t="s">
        <v>61</v>
      </c>
      <c r="T1" s="25" t="s">
        <v>62</v>
      </c>
      <c r="U1" s="25" t="s">
        <v>242</v>
      </c>
      <c r="V1" s="1" t="s">
        <v>7</v>
      </c>
      <c r="W1" s="1" t="s">
        <v>19</v>
      </c>
      <c r="X1" s="24" t="s">
        <v>22</v>
      </c>
      <c r="Y1" s="1" t="s">
        <v>23</v>
      </c>
      <c r="Z1" s="1" t="s">
        <v>63</v>
      </c>
      <c r="AA1" s="37" t="s">
        <v>24</v>
      </c>
      <c r="AB1" s="37" t="s">
        <v>25</v>
      </c>
      <c r="AC1" s="1" t="s">
        <v>30</v>
      </c>
      <c r="AD1" s="4" t="s">
        <v>64</v>
      </c>
      <c r="AE1" s="1" t="s">
        <v>183</v>
      </c>
      <c r="AF1" s="1" t="s">
        <v>65</v>
      </c>
      <c r="AG1" s="1" t="s">
        <v>182</v>
      </c>
      <c r="AH1" s="1" t="s">
        <v>66</v>
      </c>
      <c r="AI1" s="1" t="s">
        <v>26</v>
      </c>
      <c r="AJ1" s="1" t="s">
        <v>27</v>
      </c>
      <c r="AK1" s="1" t="s">
        <v>28</v>
      </c>
      <c r="AL1" s="1" t="s">
        <v>29</v>
      </c>
      <c r="AM1" s="24" t="s">
        <v>245</v>
      </c>
    </row>
    <row r="2" spans="1:47">
      <c r="A2" s="2" t="s">
        <v>1343</v>
      </c>
      <c r="B2" s="20">
        <v>45111</v>
      </c>
      <c r="C2" s="2" t="s">
        <v>487</v>
      </c>
      <c r="D2" s="6">
        <v>1</v>
      </c>
      <c r="E2" s="6">
        <v>3</v>
      </c>
      <c r="F2" s="6">
        <v>1</v>
      </c>
      <c r="G2" s="6" t="s">
        <v>256</v>
      </c>
      <c r="H2" s="6" t="s">
        <v>256</v>
      </c>
      <c r="I2" s="24" t="s">
        <v>5</v>
      </c>
      <c r="J2" s="24" t="s">
        <v>40</v>
      </c>
      <c r="K2" s="6">
        <v>300</v>
      </c>
      <c r="L2" s="6">
        <v>6</v>
      </c>
      <c r="M2" s="6">
        <v>3</v>
      </c>
      <c r="N2" s="6" t="s">
        <v>493</v>
      </c>
      <c r="O2" s="6" t="s">
        <v>493</v>
      </c>
      <c r="P2" s="6" t="s">
        <v>493</v>
      </c>
      <c r="Q2" s="6" t="s">
        <v>493</v>
      </c>
      <c r="R2" s="8">
        <v>0.52</v>
      </c>
      <c r="S2" s="20">
        <v>45111</v>
      </c>
      <c r="T2" s="20">
        <v>45112</v>
      </c>
      <c r="U2" s="10">
        <v>1</v>
      </c>
      <c r="V2" s="3">
        <v>0.1</v>
      </c>
      <c r="W2" s="3" t="s">
        <v>256</v>
      </c>
      <c r="X2" t="s">
        <v>35</v>
      </c>
      <c r="Y2" s="7">
        <v>1</v>
      </c>
      <c r="Z2" s="11" t="s">
        <v>41</v>
      </c>
      <c r="AA2" s="36">
        <v>45432</v>
      </c>
      <c r="AB2" s="36">
        <v>45436</v>
      </c>
      <c r="AC2" s="29">
        <v>24.653208966499662</v>
      </c>
      <c r="AD2" s="7">
        <v>1</v>
      </c>
      <c r="AE2" s="26" t="s">
        <v>155</v>
      </c>
      <c r="AF2" s="26" t="s">
        <v>184</v>
      </c>
      <c r="AG2" s="26" t="s">
        <v>163</v>
      </c>
      <c r="AH2" s="26" t="s">
        <v>209</v>
      </c>
      <c r="AI2" s="7">
        <v>1</v>
      </c>
      <c r="AJ2" t="s">
        <v>1462</v>
      </c>
      <c r="AK2" t="s">
        <v>1692</v>
      </c>
    </row>
    <row r="3" spans="1:47">
      <c r="A3" s="4" t="s">
        <v>1344</v>
      </c>
      <c r="B3" s="20">
        <v>45111</v>
      </c>
      <c r="C3" s="2" t="s">
        <v>487</v>
      </c>
      <c r="D3" s="6">
        <v>1</v>
      </c>
      <c r="E3" s="6">
        <v>5</v>
      </c>
      <c r="F3" s="6">
        <v>1</v>
      </c>
      <c r="G3" s="6" t="s">
        <v>256</v>
      </c>
      <c r="H3" s="6" t="s">
        <v>256</v>
      </c>
      <c r="I3" s="24" t="s">
        <v>5</v>
      </c>
      <c r="J3" s="24" t="s">
        <v>255</v>
      </c>
      <c r="K3" s="6">
        <v>300</v>
      </c>
      <c r="L3" s="6">
        <v>6</v>
      </c>
      <c r="M3" s="6">
        <v>5</v>
      </c>
      <c r="N3" s="6" t="s">
        <v>493</v>
      </c>
      <c r="O3" s="6" t="s">
        <v>493</v>
      </c>
      <c r="P3" s="6" t="s">
        <v>493</v>
      </c>
      <c r="Q3" s="6" t="s">
        <v>493</v>
      </c>
      <c r="R3" s="8">
        <v>1.51</v>
      </c>
      <c r="S3" s="20">
        <v>45111</v>
      </c>
      <c r="T3" s="20">
        <v>45112</v>
      </c>
      <c r="U3" s="10">
        <v>1</v>
      </c>
      <c r="V3" s="3">
        <v>0.08</v>
      </c>
      <c r="W3" s="3" t="s">
        <v>256</v>
      </c>
      <c r="X3" t="s">
        <v>35</v>
      </c>
      <c r="Y3" s="7">
        <v>1</v>
      </c>
      <c r="Z3" s="11" t="s">
        <v>44</v>
      </c>
      <c r="AA3" s="36">
        <v>45432</v>
      </c>
      <c r="AB3" s="36">
        <v>45436</v>
      </c>
      <c r="AC3" s="29">
        <v>21.06118974578494</v>
      </c>
      <c r="AD3" s="7">
        <v>1</v>
      </c>
      <c r="AE3" s="26" t="s">
        <v>156</v>
      </c>
      <c r="AF3" s="26" t="s">
        <v>185</v>
      </c>
      <c r="AG3" s="26" t="s">
        <v>163</v>
      </c>
      <c r="AH3" s="26" t="s">
        <v>209</v>
      </c>
      <c r="AI3" s="7">
        <v>13</v>
      </c>
      <c r="AJ3" t="s">
        <v>1463</v>
      </c>
      <c r="AK3" t="s">
        <v>1692</v>
      </c>
    </row>
    <row r="4" spans="1:47">
      <c r="A4" s="2" t="s">
        <v>1345</v>
      </c>
      <c r="B4" s="20">
        <v>45111</v>
      </c>
      <c r="C4" s="2" t="s">
        <v>487</v>
      </c>
      <c r="D4" s="6">
        <v>1</v>
      </c>
      <c r="E4" s="6">
        <v>9</v>
      </c>
      <c r="F4" s="6">
        <v>1</v>
      </c>
      <c r="G4" s="6" t="s">
        <v>256</v>
      </c>
      <c r="H4" s="6" t="s">
        <v>256</v>
      </c>
      <c r="I4" s="24" t="s">
        <v>5</v>
      </c>
      <c r="J4" s="24" t="s">
        <v>254</v>
      </c>
      <c r="K4" s="6">
        <v>300</v>
      </c>
      <c r="L4" s="6">
        <v>6</v>
      </c>
      <c r="M4" s="6">
        <v>9</v>
      </c>
      <c r="N4" s="6" t="s">
        <v>493</v>
      </c>
      <c r="O4" s="6" t="s">
        <v>493</v>
      </c>
      <c r="P4" s="6" t="s">
        <v>493</v>
      </c>
      <c r="Q4" s="6" t="s">
        <v>493</v>
      </c>
      <c r="R4" s="8">
        <v>1.91</v>
      </c>
      <c r="S4" s="20">
        <v>45111</v>
      </c>
      <c r="T4" s="20">
        <v>45112</v>
      </c>
      <c r="U4" s="10">
        <v>1</v>
      </c>
      <c r="V4" s="3">
        <v>0.05</v>
      </c>
      <c r="W4" s="3" t="s">
        <v>256</v>
      </c>
      <c r="X4" t="s">
        <v>35</v>
      </c>
      <c r="Y4" s="7">
        <v>1</v>
      </c>
      <c r="Z4" s="11" t="s">
        <v>46</v>
      </c>
      <c r="AA4" s="36">
        <v>45432</v>
      </c>
      <c r="AB4" s="36">
        <v>45436</v>
      </c>
      <c r="AC4" s="29">
        <v>19.227045059998613</v>
      </c>
      <c r="AD4" s="7">
        <v>1</v>
      </c>
      <c r="AE4" s="26" t="s">
        <v>157</v>
      </c>
      <c r="AF4" s="26" t="s">
        <v>186</v>
      </c>
      <c r="AG4" s="26" t="s">
        <v>163</v>
      </c>
      <c r="AH4" s="26" t="s">
        <v>209</v>
      </c>
      <c r="AI4" s="7">
        <v>25</v>
      </c>
      <c r="AJ4" t="s">
        <v>1464</v>
      </c>
      <c r="AK4" t="s">
        <v>1692</v>
      </c>
    </row>
    <row r="5" spans="1:47" s="2" customFormat="1">
      <c r="A5" s="2" t="s">
        <v>1346</v>
      </c>
      <c r="B5" s="20">
        <v>45111</v>
      </c>
      <c r="C5" s="2" t="s">
        <v>487</v>
      </c>
      <c r="D5" s="6">
        <v>1</v>
      </c>
      <c r="E5" s="6">
        <v>10</v>
      </c>
      <c r="F5" s="6">
        <v>1</v>
      </c>
      <c r="G5" s="6" t="s">
        <v>256</v>
      </c>
      <c r="H5" s="6" t="s">
        <v>256</v>
      </c>
      <c r="I5" s="24" t="s">
        <v>5</v>
      </c>
      <c r="J5" s="24" t="s">
        <v>253</v>
      </c>
      <c r="K5" s="6">
        <v>300</v>
      </c>
      <c r="L5" s="6">
        <v>6</v>
      </c>
      <c r="M5" s="6">
        <v>10</v>
      </c>
      <c r="N5" s="6" t="s">
        <v>493</v>
      </c>
      <c r="O5" s="6" t="s">
        <v>493</v>
      </c>
      <c r="P5" s="6" t="s">
        <v>493</v>
      </c>
      <c r="Q5" s="6" t="s">
        <v>493</v>
      </c>
      <c r="R5" s="8">
        <v>0.42</v>
      </c>
      <c r="S5" s="20">
        <v>45111</v>
      </c>
      <c r="T5" s="20">
        <v>45112</v>
      </c>
      <c r="U5" s="10">
        <v>1</v>
      </c>
      <c r="V5" s="3">
        <v>0.16</v>
      </c>
      <c r="W5" s="3" t="s">
        <v>256</v>
      </c>
      <c r="X5" t="s">
        <v>35</v>
      </c>
      <c r="Y5" s="13">
        <v>1</v>
      </c>
      <c r="Z5" s="12" t="s">
        <v>48</v>
      </c>
      <c r="AA5" s="14">
        <v>45432</v>
      </c>
      <c r="AB5" s="14">
        <v>45436</v>
      </c>
      <c r="AC5" s="15">
        <v>20.097656159123851</v>
      </c>
      <c r="AD5" s="13">
        <v>1</v>
      </c>
      <c r="AE5" s="1" t="s">
        <v>158</v>
      </c>
      <c r="AF5" s="24" t="s">
        <v>187</v>
      </c>
      <c r="AG5" s="1" t="s">
        <v>163</v>
      </c>
      <c r="AH5" s="24" t="s">
        <v>209</v>
      </c>
      <c r="AI5" s="13">
        <v>37</v>
      </c>
      <c r="AJ5" s="5" t="s">
        <v>1465</v>
      </c>
      <c r="AK5" t="s">
        <v>1692</v>
      </c>
      <c r="AM5" s="5"/>
      <c r="AN5" s="18"/>
      <c r="AT5" s="18"/>
      <c r="AU5" s="18"/>
    </row>
    <row r="6" spans="1:47" s="2" customFormat="1">
      <c r="A6" s="2" t="s">
        <v>1347</v>
      </c>
      <c r="B6" s="20">
        <v>45111</v>
      </c>
      <c r="C6" s="2" t="s">
        <v>487</v>
      </c>
      <c r="D6" s="6">
        <v>1</v>
      </c>
      <c r="E6" s="6">
        <v>17</v>
      </c>
      <c r="F6" s="6">
        <v>2</v>
      </c>
      <c r="G6" s="6" t="s">
        <v>256</v>
      </c>
      <c r="H6" s="6" t="s">
        <v>256</v>
      </c>
      <c r="I6" s="24" t="s">
        <v>4</v>
      </c>
      <c r="J6" s="24" t="s">
        <v>253</v>
      </c>
      <c r="K6" s="6">
        <v>300</v>
      </c>
      <c r="L6" s="6">
        <v>5</v>
      </c>
      <c r="M6" s="6">
        <v>5</v>
      </c>
      <c r="N6" s="6" t="s">
        <v>493</v>
      </c>
      <c r="O6" s="6" t="s">
        <v>493</v>
      </c>
      <c r="P6" s="6" t="s">
        <v>493</v>
      </c>
      <c r="Q6" s="6" t="s">
        <v>493</v>
      </c>
      <c r="R6" s="8">
        <v>1.83</v>
      </c>
      <c r="S6" s="20">
        <v>45111</v>
      </c>
      <c r="T6" s="20">
        <v>45112</v>
      </c>
      <c r="U6" s="10">
        <v>1</v>
      </c>
      <c r="V6" s="3">
        <v>0.33</v>
      </c>
      <c r="W6" s="3" t="s">
        <v>256</v>
      </c>
      <c r="X6" t="s">
        <v>35</v>
      </c>
      <c r="Y6" s="13">
        <v>1</v>
      </c>
      <c r="Z6" s="12" t="s">
        <v>50</v>
      </c>
      <c r="AA6" s="14">
        <v>45432</v>
      </c>
      <c r="AB6" s="14">
        <v>45436</v>
      </c>
      <c r="AC6" s="15">
        <v>20.009888549339038</v>
      </c>
      <c r="AD6" s="13">
        <v>1</v>
      </c>
      <c r="AE6" s="1" t="s">
        <v>159</v>
      </c>
      <c r="AF6" s="24" t="s">
        <v>188</v>
      </c>
      <c r="AG6" s="1" t="s">
        <v>163</v>
      </c>
      <c r="AH6" s="24" t="s">
        <v>209</v>
      </c>
      <c r="AI6" s="13">
        <v>49</v>
      </c>
      <c r="AJ6" s="5" t="s">
        <v>1466</v>
      </c>
      <c r="AK6" t="s">
        <v>1692</v>
      </c>
      <c r="AM6" s="5"/>
      <c r="AN6" s="18"/>
      <c r="AT6" s="18"/>
      <c r="AU6" s="18"/>
    </row>
    <row r="7" spans="1:47" s="2" customFormat="1">
      <c r="A7" s="2" t="s">
        <v>1348</v>
      </c>
      <c r="B7" s="20">
        <v>45111</v>
      </c>
      <c r="C7" s="2" t="s">
        <v>487</v>
      </c>
      <c r="D7" s="6">
        <v>1</v>
      </c>
      <c r="E7" s="6">
        <v>18</v>
      </c>
      <c r="F7" s="6">
        <v>2</v>
      </c>
      <c r="G7" s="6" t="s">
        <v>256</v>
      </c>
      <c r="H7" s="6" t="s">
        <v>256</v>
      </c>
      <c r="I7" s="24" t="s">
        <v>4</v>
      </c>
      <c r="J7" s="24" t="s">
        <v>40</v>
      </c>
      <c r="K7" s="6">
        <v>300</v>
      </c>
      <c r="L7" s="6">
        <v>5</v>
      </c>
      <c r="M7" s="6">
        <v>6</v>
      </c>
      <c r="N7" s="6" t="s">
        <v>493</v>
      </c>
      <c r="O7" s="6" t="s">
        <v>493</v>
      </c>
      <c r="P7" s="6" t="s">
        <v>493</v>
      </c>
      <c r="Q7" s="6" t="s">
        <v>493</v>
      </c>
      <c r="R7" s="8">
        <v>1.87</v>
      </c>
      <c r="S7" s="20">
        <v>45111</v>
      </c>
      <c r="T7" s="20">
        <v>45112</v>
      </c>
      <c r="U7" s="10">
        <v>1</v>
      </c>
      <c r="V7" s="3">
        <v>0.14000000000000001</v>
      </c>
      <c r="W7" s="3" t="s">
        <v>256</v>
      </c>
      <c r="X7" t="s">
        <v>35</v>
      </c>
      <c r="Y7" s="13">
        <v>1</v>
      </c>
      <c r="Z7" s="12" t="s">
        <v>52</v>
      </c>
      <c r="AA7" s="14">
        <v>45432</v>
      </c>
      <c r="AB7" s="14">
        <v>45436</v>
      </c>
      <c r="AC7" s="15">
        <v>20.551603754710101</v>
      </c>
      <c r="AD7" s="13">
        <v>1</v>
      </c>
      <c r="AE7" s="1" t="s">
        <v>160</v>
      </c>
      <c r="AF7" s="24" t="s">
        <v>189</v>
      </c>
      <c r="AG7" s="1" t="s">
        <v>163</v>
      </c>
      <c r="AH7" s="24" t="s">
        <v>209</v>
      </c>
      <c r="AI7" s="13">
        <v>61</v>
      </c>
      <c r="AJ7" s="5" t="s">
        <v>1467</v>
      </c>
      <c r="AK7" t="s">
        <v>1692</v>
      </c>
      <c r="AM7" s="5"/>
      <c r="AN7" s="18"/>
      <c r="AT7" s="18"/>
      <c r="AU7" s="18"/>
    </row>
    <row r="8" spans="1:47" s="2" customFormat="1">
      <c r="A8" s="4" t="s">
        <v>1349</v>
      </c>
      <c r="B8" s="20">
        <v>45111</v>
      </c>
      <c r="C8" s="2" t="s">
        <v>487</v>
      </c>
      <c r="D8" s="6">
        <v>1</v>
      </c>
      <c r="E8" s="6">
        <v>22</v>
      </c>
      <c r="F8" s="6">
        <v>2</v>
      </c>
      <c r="G8" s="6" t="s">
        <v>256</v>
      </c>
      <c r="H8" s="6" t="s">
        <v>256</v>
      </c>
      <c r="I8" s="24" t="s">
        <v>4</v>
      </c>
      <c r="J8" s="24" t="s">
        <v>254</v>
      </c>
      <c r="K8" s="6">
        <v>300</v>
      </c>
      <c r="L8" s="6">
        <v>5</v>
      </c>
      <c r="M8" s="6">
        <v>10</v>
      </c>
      <c r="N8" s="6" t="s">
        <v>493</v>
      </c>
      <c r="O8" s="6" t="s">
        <v>493</v>
      </c>
      <c r="P8" s="6" t="s">
        <v>493</v>
      </c>
      <c r="Q8" s="6" t="s">
        <v>493</v>
      </c>
      <c r="R8" s="8">
        <v>0.96</v>
      </c>
      <c r="S8" s="20">
        <v>45111</v>
      </c>
      <c r="T8" s="20">
        <v>45112</v>
      </c>
      <c r="U8" s="10">
        <v>1</v>
      </c>
      <c r="V8" s="3">
        <v>7.0000000000000007E-2</v>
      </c>
      <c r="W8" s="3" t="s">
        <v>256</v>
      </c>
      <c r="X8" t="s">
        <v>35</v>
      </c>
      <c r="Y8" s="13">
        <v>1</v>
      </c>
      <c r="Z8" s="12" t="s">
        <v>54</v>
      </c>
      <c r="AA8" s="14">
        <v>45432</v>
      </c>
      <c r="AB8" s="14">
        <v>45436</v>
      </c>
      <c r="AC8" s="15">
        <v>18.689113363475695</v>
      </c>
      <c r="AD8" s="13">
        <v>1</v>
      </c>
      <c r="AE8" s="1" t="s">
        <v>161</v>
      </c>
      <c r="AF8" s="24" t="s">
        <v>190</v>
      </c>
      <c r="AG8" s="1" t="s">
        <v>163</v>
      </c>
      <c r="AH8" s="24" t="s">
        <v>209</v>
      </c>
      <c r="AI8" s="13">
        <v>73</v>
      </c>
      <c r="AJ8" s="5" t="s">
        <v>1468</v>
      </c>
      <c r="AK8" t="s">
        <v>1692</v>
      </c>
      <c r="AM8" s="5"/>
      <c r="AN8" s="18"/>
      <c r="AT8" s="18"/>
      <c r="AU8" s="18"/>
    </row>
    <row r="9" spans="1:47" s="2" customFormat="1">
      <c r="A9" s="2" t="s">
        <v>1350</v>
      </c>
      <c r="B9" s="20">
        <v>45111</v>
      </c>
      <c r="C9" s="2" t="s">
        <v>487</v>
      </c>
      <c r="D9" s="6">
        <v>1</v>
      </c>
      <c r="E9" s="6">
        <v>24</v>
      </c>
      <c r="F9" s="6">
        <v>2</v>
      </c>
      <c r="G9" s="6" t="s">
        <v>256</v>
      </c>
      <c r="H9" s="6" t="s">
        <v>256</v>
      </c>
      <c r="I9" s="24" t="s">
        <v>4</v>
      </c>
      <c r="J9" s="24" t="s">
        <v>255</v>
      </c>
      <c r="K9" s="6">
        <v>300</v>
      </c>
      <c r="L9" s="6">
        <v>5</v>
      </c>
      <c r="M9" s="6">
        <v>12</v>
      </c>
      <c r="N9" s="6" t="s">
        <v>493</v>
      </c>
      <c r="O9" s="6" t="s">
        <v>493</v>
      </c>
      <c r="P9" s="6" t="s">
        <v>493</v>
      </c>
      <c r="Q9" s="6" t="s">
        <v>493</v>
      </c>
      <c r="R9" s="8">
        <v>1.28</v>
      </c>
      <c r="S9" s="20">
        <v>45111</v>
      </c>
      <c r="T9" s="20">
        <v>45112</v>
      </c>
      <c r="U9" s="10">
        <v>1</v>
      </c>
      <c r="V9" s="3">
        <v>0.33</v>
      </c>
      <c r="W9" s="3" t="s">
        <v>256</v>
      </c>
      <c r="X9" t="s">
        <v>35</v>
      </c>
      <c r="Y9" s="13">
        <v>1</v>
      </c>
      <c r="Z9" s="12" t="s">
        <v>56</v>
      </c>
      <c r="AA9" s="14">
        <v>45432</v>
      </c>
      <c r="AB9" s="14">
        <v>45436</v>
      </c>
      <c r="AC9" s="15">
        <v>25.619840377557448</v>
      </c>
      <c r="AD9" s="13">
        <v>1</v>
      </c>
      <c r="AE9" s="1" t="s">
        <v>162</v>
      </c>
      <c r="AF9" s="24" t="s">
        <v>192</v>
      </c>
      <c r="AG9" s="1" t="s">
        <v>163</v>
      </c>
      <c r="AH9" s="24" t="s">
        <v>209</v>
      </c>
      <c r="AI9" s="13">
        <v>85</v>
      </c>
      <c r="AJ9" s="5" t="s">
        <v>1469</v>
      </c>
      <c r="AK9" t="s">
        <v>1692</v>
      </c>
      <c r="AM9" s="5"/>
      <c r="AN9" s="18"/>
      <c r="AT9" s="18"/>
      <c r="AU9" s="18"/>
    </row>
    <row r="10" spans="1:47" s="2" customFormat="1">
      <c r="A10" s="2" t="s">
        <v>1351</v>
      </c>
      <c r="B10" s="20">
        <v>45111</v>
      </c>
      <c r="C10" s="2" t="s">
        <v>487</v>
      </c>
      <c r="D10" s="6">
        <v>1</v>
      </c>
      <c r="E10" s="6">
        <v>25</v>
      </c>
      <c r="F10" s="6">
        <v>3</v>
      </c>
      <c r="G10" s="6" t="s">
        <v>256</v>
      </c>
      <c r="H10" s="6" t="s">
        <v>256</v>
      </c>
      <c r="I10" s="24" t="s">
        <v>6</v>
      </c>
      <c r="J10" s="24" t="s">
        <v>253</v>
      </c>
      <c r="K10" s="6">
        <v>300</v>
      </c>
      <c r="L10" s="6">
        <v>4</v>
      </c>
      <c r="M10" s="6">
        <v>1</v>
      </c>
      <c r="N10" s="6" t="s">
        <v>493</v>
      </c>
      <c r="O10" s="6" t="s">
        <v>493</v>
      </c>
      <c r="P10" s="6" t="s">
        <v>493</v>
      </c>
      <c r="Q10" s="6" t="s">
        <v>493</v>
      </c>
      <c r="R10" s="8">
        <v>0.54</v>
      </c>
      <c r="S10" s="20">
        <v>45111</v>
      </c>
      <c r="T10" s="20">
        <v>45112</v>
      </c>
      <c r="U10" s="10">
        <v>1</v>
      </c>
      <c r="V10" s="3">
        <v>0.03</v>
      </c>
      <c r="W10" s="3" t="s">
        <v>256</v>
      </c>
      <c r="X10" t="s">
        <v>35</v>
      </c>
      <c r="Y10" s="13">
        <v>1</v>
      </c>
      <c r="Z10" s="12" t="s">
        <v>79</v>
      </c>
      <c r="AA10" s="14">
        <v>45432</v>
      </c>
      <c r="AB10" s="14">
        <v>45436</v>
      </c>
      <c r="AC10" s="15">
        <v>21.053806393566713</v>
      </c>
      <c r="AD10" s="13">
        <v>1</v>
      </c>
      <c r="AE10" s="1" t="s">
        <v>155</v>
      </c>
      <c r="AF10" s="24" t="s">
        <v>184</v>
      </c>
      <c r="AG10" s="1" t="s">
        <v>164</v>
      </c>
      <c r="AH10" s="24" t="s">
        <v>210</v>
      </c>
      <c r="AI10" s="13">
        <v>2</v>
      </c>
      <c r="AJ10" s="5" t="s">
        <v>1470</v>
      </c>
      <c r="AK10" t="s">
        <v>1692</v>
      </c>
      <c r="AM10" s="5"/>
      <c r="AN10" s="18"/>
      <c r="AT10" s="18"/>
      <c r="AU10" s="18"/>
    </row>
    <row r="11" spans="1:47" s="2" customFormat="1">
      <c r="A11" s="2" t="s">
        <v>1352</v>
      </c>
      <c r="B11" s="20">
        <v>45111</v>
      </c>
      <c r="C11" s="2" t="s">
        <v>487</v>
      </c>
      <c r="D11" s="6">
        <v>1</v>
      </c>
      <c r="E11" s="6">
        <v>26</v>
      </c>
      <c r="F11" s="6">
        <v>3</v>
      </c>
      <c r="G11" s="6" t="s">
        <v>256</v>
      </c>
      <c r="H11" s="6" t="s">
        <v>256</v>
      </c>
      <c r="I11" s="24" t="s">
        <v>6</v>
      </c>
      <c r="J11" s="24" t="s">
        <v>255</v>
      </c>
      <c r="K11" s="6">
        <v>300</v>
      </c>
      <c r="L11" s="6">
        <v>4</v>
      </c>
      <c r="M11" s="6">
        <v>2</v>
      </c>
      <c r="N11" s="6" t="s">
        <v>493</v>
      </c>
      <c r="O11" s="6" t="s">
        <v>493</v>
      </c>
      <c r="P11" s="6" t="s">
        <v>493</v>
      </c>
      <c r="Q11" s="6" t="s">
        <v>493</v>
      </c>
      <c r="R11" s="8">
        <v>1.22</v>
      </c>
      <c r="S11" s="20">
        <v>45111</v>
      </c>
      <c r="T11" s="20">
        <v>45112</v>
      </c>
      <c r="U11" s="10">
        <v>1</v>
      </c>
      <c r="V11" s="3">
        <v>0.16</v>
      </c>
      <c r="W11" s="3" t="s">
        <v>256</v>
      </c>
      <c r="X11" t="s">
        <v>35</v>
      </c>
      <c r="Y11" s="13">
        <v>1</v>
      </c>
      <c r="Z11" s="12" t="s">
        <v>78</v>
      </c>
      <c r="AA11" s="14">
        <v>45432</v>
      </c>
      <c r="AB11" s="14">
        <v>45436</v>
      </c>
      <c r="AC11" s="15">
        <v>17.280056304488955</v>
      </c>
      <c r="AD11" s="13">
        <v>1</v>
      </c>
      <c r="AE11" s="1" t="s">
        <v>156</v>
      </c>
      <c r="AF11" s="24" t="s">
        <v>185</v>
      </c>
      <c r="AG11" s="1" t="s">
        <v>164</v>
      </c>
      <c r="AH11" s="24" t="s">
        <v>210</v>
      </c>
      <c r="AI11" s="13">
        <v>14</v>
      </c>
      <c r="AJ11" s="5" t="s">
        <v>1471</v>
      </c>
      <c r="AK11" t="s">
        <v>1692</v>
      </c>
      <c r="AM11" s="5"/>
      <c r="AN11" s="18"/>
      <c r="AT11" s="18"/>
      <c r="AU11" s="18"/>
    </row>
    <row r="12" spans="1:47" s="2" customFormat="1">
      <c r="A12" s="2" t="s">
        <v>1353</v>
      </c>
      <c r="B12" s="20">
        <v>45111</v>
      </c>
      <c r="C12" s="2" t="s">
        <v>487</v>
      </c>
      <c r="D12" s="6">
        <v>1</v>
      </c>
      <c r="E12" s="6">
        <v>28</v>
      </c>
      <c r="F12" s="6">
        <v>3</v>
      </c>
      <c r="G12" s="6" t="s">
        <v>256</v>
      </c>
      <c r="H12" s="6" t="s">
        <v>256</v>
      </c>
      <c r="I12" s="24" t="s">
        <v>6</v>
      </c>
      <c r="J12" s="24" t="s">
        <v>254</v>
      </c>
      <c r="K12" s="6">
        <v>300</v>
      </c>
      <c r="L12" s="6">
        <v>4</v>
      </c>
      <c r="M12" s="6">
        <v>4</v>
      </c>
      <c r="N12" s="6" t="s">
        <v>493</v>
      </c>
      <c r="O12" s="6" t="s">
        <v>493</v>
      </c>
      <c r="P12" s="6" t="s">
        <v>493</v>
      </c>
      <c r="Q12" s="6" t="s">
        <v>493</v>
      </c>
      <c r="R12" s="8">
        <v>1.1399999999999999</v>
      </c>
      <c r="S12" s="20">
        <v>45111</v>
      </c>
      <c r="T12" s="20">
        <v>45112</v>
      </c>
      <c r="U12" s="10">
        <v>1</v>
      </c>
      <c r="V12" s="3">
        <v>0.19</v>
      </c>
      <c r="W12" s="3" t="s">
        <v>256</v>
      </c>
      <c r="X12" t="s">
        <v>35</v>
      </c>
      <c r="Y12" s="13">
        <v>1</v>
      </c>
      <c r="Z12" s="12" t="s">
        <v>80</v>
      </c>
      <c r="AA12" s="14">
        <v>45432</v>
      </c>
      <c r="AB12" s="14">
        <v>45436</v>
      </c>
      <c r="AC12" s="15">
        <v>6.45278046269497E-3</v>
      </c>
      <c r="AD12" s="8" t="s">
        <v>256</v>
      </c>
      <c r="AE12" s="31" t="s">
        <v>256</v>
      </c>
      <c r="AF12" s="31" t="s">
        <v>256</v>
      </c>
      <c r="AG12" s="31" t="s">
        <v>256</v>
      </c>
      <c r="AH12" s="31" t="s">
        <v>256</v>
      </c>
      <c r="AI12" s="8" t="s">
        <v>256</v>
      </c>
      <c r="AJ12" s="3"/>
      <c r="AK12" t="s">
        <v>1692</v>
      </c>
      <c r="AL12" s="2" t="s">
        <v>1812</v>
      </c>
      <c r="AM12" s="5"/>
      <c r="AN12" s="18"/>
      <c r="AT12" s="18"/>
      <c r="AU12" s="18"/>
    </row>
    <row r="13" spans="1:47">
      <c r="A13" s="4" t="s">
        <v>1354</v>
      </c>
      <c r="B13" s="20">
        <v>45111</v>
      </c>
      <c r="C13" s="2" t="s">
        <v>487</v>
      </c>
      <c r="D13" s="6">
        <v>1</v>
      </c>
      <c r="E13" s="6">
        <v>35</v>
      </c>
      <c r="F13" s="6">
        <v>3</v>
      </c>
      <c r="G13" s="6" t="s">
        <v>256</v>
      </c>
      <c r="H13" s="6" t="s">
        <v>256</v>
      </c>
      <c r="I13" s="24" t="s">
        <v>6</v>
      </c>
      <c r="J13" s="24" t="s">
        <v>40</v>
      </c>
      <c r="K13" s="6">
        <v>300</v>
      </c>
      <c r="L13" s="6">
        <v>4</v>
      </c>
      <c r="M13" s="6">
        <v>11</v>
      </c>
      <c r="N13" s="6" t="s">
        <v>493</v>
      </c>
      <c r="O13" s="6" t="s">
        <v>493</v>
      </c>
      <c r="P13" s="6" t="s">
        <v>493</v>
      </c>
      <c r="Q13" s="6" t="s">
        <v>493</v>
      </c>
      <c r="R13" s="8">
        <v>0.44</v>
      </c>
      <c r="S13" s="20">
        <v>45111</v>
      </c>
      <c r="T13" s="20">
        <v>45112</v>
      </c>
      <c r="U13" s="10">
        <v>1</v>
      </c>
      <c r="V13" s="3">
        <v>0.09</v>
      </c>
      <c r="W13" s="3" t="s">
        <v>256</v>
      </c>
      <c r="X13" t="s">
        <v>35</v>
      </c>
      <c r="Y13" s="7">
        <v>1</v>
      </c>
      <c r="Z13" s="11" t="s">
        <v>143</v>
      </c>
      <c r="AA13" s="36">
        <v>45432</v>
      </c>
      <c r="AB13" s="36">
        <v>45436</v>
      </c>
      <c r="AC13" s="29">
        <v>16.894995507542408</v>
      </c>
      <c r="AD13" s="7">
        <v>1</v>
      </c>
      <c r="AE13" s="26" t="s">
        <v>158</v>
      </c>
      <c r="AF13" s="26" t="s">
        <v>187</v>
      </c>
      <c r="AG13" s="26" t="s">
        <v>164</v>
      </c>
      <c r="AH13" s="26" t="s">
        <v>210</v>
      </c>
      <c r="AI13" s="7">
        <v>38</v>
      </c>
      <c r="AJ13" t="s">
        <v>1472</v>
      </c>
      <c r="AK13" t="s">
        <v>1692</v>
      </c>
    </row>
    <row r="14" spans="1:47">
      <c r="A14" s="2" t="s">
        <v>1355</v>
      </c>
      <c r="B14" s="20">
        <v>45111</v>
      </c>
      <c r="C14" s="2" t="s">
        <v>487</v>
      </c>
      <c r="D14" s="6">
        <v>2</v>
      </c>
      <c r="E14" s="6">
        <v>37</v>
      </c>
      <c r="F14" s="6">
        <v>4</v>
      </c>
      <c r="G14" s="6" t="s">
        <v>256</v>
      </c>
      <c r="H14" s="6" t="s">
        <v>256</v>
      </c>
      <c r="I14" s="24" t="s">
        <v>4</v>
      </c>
      <c r="J14" s="24" t="s">
        <v>40</v>
      </c>
      <c r="K14" s="6">
        <v>300</v>
      </c>
      <c r="L14" s="6">
        <v>3</v>
      </c>
      <c r="M14" s="6">
        <v>1</v>
      </c>
      <c r="N14" s="6" t="s">
        <v>493</v>
      </c>
      <c r="O14" s="6" t="s">
        <v>493</v>
      </c>
      <c r="P14" s="6" t="s">
        <v>493</v>
      </c>
      <c r="Q14" s="6" t="s">
        <v>493</v>
      </c>
      <c r="R14" s="8">
        <v>1.52</v>
      </c>
      <c r="S14" s="20">
        <v>45111</v>
      </c>
      <c r="T14" s="20">
        <v>45112</v>
      </c>
      <c r="U14" s="10">
        <v>1</v>
      </c>
      <c r="V14" s="3">
        <v>0.1</v>
      </c>
      <c r="W14" s="3" t="s">
        <v>256</v>
      </c>
      <c r="X14" t="s">
        <v>35</v>
      </c>
      <c r="Y14" s="7">
        <v>1</v>
      </c>
      <c r="Z14" s="11" t="s">
        <v>144</v>
      </c>
      <c r="AA14" s="36">
        <v>45432</v>
      </c>
      <c r="AB14" s="36">
        <v>45436</v>
      </c>
      <c r="AC14" s="29">
        <v>18.407101144088998</v>
      </c>
      <c r="AD14" s="7">
        <v>1</v>
      </c>
      <c r="AE14" s="26" t="s">
        <v>159</v>
      </c>
      <c r="AF14" s="26" t="s">
        <v>188</v>
      </c>
      <c r="AG14" s="26" t="s">
        <v>164</v>
      </c>
      <c r="AH14" s="26" t="s">
        <v>210</v>
      </c>
      <c r="AI14" s="7">
        <v>50</v>
      </c>
      <c r="AJ14" t="s">
        <v>1473</v>
      </c>
      <c r="AK14" t="s">
        <v>1692</v>
      </c>
    </row>
    <row r="15" spans="1:47" s="2" customFormat="1">
      <c r="A15" s="2" t="s">
        <v>1356</v>
      </c>
      <c r="B15" s="20">
        <v>45111</v>
      </c>
      <c r="C15" s="2" t="s">
        <v>487</v>
      </c>
      <c r="D15" s="6">
        <v>2</v>
      </c>
      <c r="E15" s="6">
        <v>38</v>
      </c>
      <c r="F15" s="6">
        <v>4</v>
      </c>
      <c r="G15" s="6" t="s">
        <v>256</v>
      </c>
      <c r="H15" s="6" t="s">
        <v>256</v>
      </c>
      <c r="I15" s="24" t="s">
        <v>4</v>
      </c>
      <c r="J15" s="24" t="s">
        <v>255</v>
      </c>
      <c r="K15" s="6">
        <v>300</v>
      </c>
      <c r="L15" s="6">
        <v>3</v>
      </c>
      <c r="M15" s="6">
        <v>2</v>
      </c>
      <c r="N15" s="6" t="s">
        <v>493</v>
      </c>
      <c r="O15" s="6" t="s">
        <v>493</v>
      </c>
      <c r="P15" s="6" t="s">
        <v>493</v>
      </c>
      <c r="Q15" s="6" t="s">
        <v>493</v>
      </c>
      <c r="R15" s="8">
        <v>1.95</v>
      </c>
      <c r="S15" s="20">
        <v>45111</v>
      </c>
      <c r="T15" s="20">
        <v>45112</v>
      </c>
      <c r="U15" s="10">
        <v>1</v>
      </c>
      <c r="V15" s="3">
        <v>0.12</v>
      </c>
      <c r="W15" s="3" t="s">
        <v>256</v>
      </c>
      <c r="X15" t="s">
        <v>35</v>
      </c>
      <c r="Y15" s="13">
        <v>1</v>
      </c>
      <c r="Z15" s="12" t="s">
        <v>145</v>
      </c>
      <c r="AA15" s="14">
        <v>45432</v>
      </c>
      <c r="AB15" s="14">
        <v>45436</v>
      </c>
      <c r="AC15" s="15">
        <v>19.177406403460161</v>
      </c>
      <c r="AD15" s="13">
        <v>1</v>
      </c>
      <c r="AE15" s="1" t="s">
        <v>160</v>
      </c>
      <c r="AF15" s="24" t="s">
        <v>189</v>
      </c>
      <c r="AG15" s="1" t="s">
        <v>164</v>
      </c>
      <c r="AH15" s="24" t="s">
        <v>210</v>
      </c>
      <c r="AI15" s="13">
        <v>62</v>
      </c>
      <c r="AJ15" s="5" t="s">
        <v>1474</v>
      </c>
      <c r="AK15" t="s">
        <v>1692</v>
      </c>
      <c r="AM15" s="5"/>
      <c r="AN15" s="18"/>
      <c r="AT15" s="18"/>
      <c r="AU15" s="18"/>
    </row>
    <row r="16" spans="1:47" s="2" customFormat="1">
      <c r="A16" s="2" t="s">
        <v>1357</v>
      </c>
      <c r="B16" s="20">
        <v>45111</v>
      </c>
      <c r="C16" s="2" t="s">
        <v>487</v>
      </c>
      <c r="D16" s="6">
        <v>2</v>
      </c>
      <c r="E16" s="6">
        <v>41</v>
      </c>
      <c r="F16" s="6">
        <v>4</v>
      </c>
      <c r="G16" s="6" t="s">
        <v>256</v>
      </c>
      <c r="H16" s="6" t="s">
        <v>256</v>
      </c>
      <c r="I16" s="24" t="s">
        <v>4</v>
      </c>
      <c r="J16" s="24" t="s">
        <v>253</v>
      </c>
      <c r="K16" s="6">
        <v>300</v>
      </c>
      <c r="L16" s="6">
        <v>3</v>
      </c>
      <c r="M16" s="6">
        <v>5</v>
      </c>
      <c r="N16" s="6" t="s">
        <v>493</v>
      </c>
      <c r="O16" s="6" t="s">
        <v>493</v>
      </c>
      <c r="P16" s="6" t="s">
        <v>493</v>
      </c>
      <c r="Q16" s="6" t="s">
        <v>493</v>
      </c>
      <c r="R16" s="8">
        <v>1.72</v>
      </c>
      <c r="S16" s="20">
        <v>45111</v>
      </c>
      <c r="T16" s="20">
        <v>45112</v>
      </c>
      <c r="U16" s="10">
        <v>1</v>
      </c>
      <c r="V16" s="3">
        <v>0.42</v>
      </c>
      <c r="W16" s="3" t="s">
        <v>256</v>
      </c>
      <c r="X16" t="s">
        <v>35</v>
      </c>
      <c r="Y16" s="13">
        <v>1</v>
      </c>
      <c r="Z16" s="12" t="s">
        <v>84</v>
      </c>
      <c r="AA16" s="14">
        <v>45432</v>
      </c>
      <c r="AB16" s="14">
        <v>45436</v>
      </c>
      <c r="AC16" s="15">
        <v>16.338685018847752</v>
      </c>
      <c r="AD16" s="13">
        <v>1</v>
      </c>
      <c r="AE16" s="1" t="s">
        <v>161</v>
      </c>
      <c r="AF16" s="24" t="s">
        <v>190</v>
      </c>
      <c r="AG16" s="1" t="s">
        <v>164</v>
      </c>
      <c r="AH16" s="24" t="s">
        <v>210</v>
      </c>
      <c r="AI16" s="13">
        <v>74</v>
      </c>
      <c r="AJ16" s="5" t="s">
        <v>1475</v>
      </c>
      <c r="AK16" t="s">
        <v>1692</v>
      </c>
      <c r="AM16" s="5"/>
      <c r="AN16" s="18"/>
      <c r="AT16" s="18"/>
      <c r="AU16" s="18"/>
    </row>
    <row r="17" spans="1:47" s="2" customFormat="1">
      <c r="A17" s="4" t="s">
        <v>1358</v>
      </c>
      <c r="B17" s="20">
        <v>45111</v>
      </c>
      <c r="C17" s="2" t="s">
        <v>487</v>
      </c>
      <c r="D17" s="6">
        <v>2</v>
      </c>
      <c r="E17" s="6">
        <v>44</v>
      </c>
      <c r="F17" s="6">
        <v>4</v>
      </c>
      <c r="G17" s="6" t="s">
        <v>256</v>
      </c>
      <c r="H17" s="6" t="s">
        <v>256</v>
      </c>
      <c r="I17" s="24" t="s">
        <v>4</v>
      </c>
      <c r="J17" s="24" t="s">
        <v>254</v>
      </c>
      <c r="K17" s="6">
        <v>300</v>
      </c>
      <c r="L17" s="6">
        <v>3</v>
      </c>
      <c r="M17" s="6">
        <v>8</v>
      </c>
      <c r="N17" s="6" t="s">
        <v>493</v>
      </c>
      <c r="O17" s="6" t="s">
        <v>493</v>
      </c>
      <c r="P17" s="6" t="s">
        <v>493</v>
      </c>
      <c r="Q17" s="6" t="s">
        <v>493</v>
      </c>
      <c r="R17" s="8">
        <v>1.86</v>
      </c>
      <c r="S17" s="20">
        <v>45111</v>
      </c>
      <c r="T17" s="20">
        <v>45112</v>
      </c>
      <c r="U17" s="10">
        <v>1</v>
      </c>
      <c r="V17" s="3">
        <v>0.08</v>
      </c>
      <c r="W17" s="3" t="s">
        <v>256</v>
      </c>
      <c r="X17" t="s">
        <v>35</v>
      </c>
      <c r="Y17" s="13">
        <v>1</v>
      </c>
      <c r="Z17" s="12" t="s">
        <v>85</v>
      </c>
      <c r="AA17" s="14">
        <v>45432</v>
      </c>
      <c r="AB17" s="14">
        <v>45436</v>
      </c>
      <c r="AC17" s="15">
        <v>13.612636282845816</v>
      </c>
      <c r="AD17" s="13">
        <v>1</v>
      </c>
      <c r="AE17" s="1" t="s">
        <v>162</v>
      </c>
      <c r="AF17" s="24" t="s">
        <v>192</v>
      </c>
      <c r="AG17" s="1" t="s">
        <v>164</v>
      </c>
      <c r="AH17" s="24" t="s">
        <v>210</v>
      </c>
      <c r="AI17" s="13">
        <v>86</v>
      </c>
      <c r="AJ17" s="5" t="s">
        <v>1476</v>
      </c>
      <c r="AK17" t="s">
        <v>1692</v>
      </c>
      <c r="AM17" s="5"/>
      <c r="AN17" s="18"/>
      <c r="AT17" s="18"/>
      <c r="AU17" s="18"/>
    </row>
    <row r="18" spans="1:47" s="2" customFormat="1">
      <c r="A18" s="2" t="s">
        <v>1359</v>
      </c>
      <c r="B18" s="20">
        <v>45111</v>
      </c>
      <c r="C18" s="2" t="s">
        <v>487</v>
      </c>
      <c r="D18" s="6">
        <v>2</v>
      </c>
      <c r="E18" s="6">
        <v>51</v>
      </c>
      <c r="F18" s="6">
        <v>5</v>
      </c>
      <c r="G18" s="6" t="s">
        <v>256</v>
      </c>
      <c r="H18" s="6" t="s">
        <v>256</v>
      </c>
      <c r="I18" s="24" t="s">
        <v>6</v>
      </c>
      <c r="J18" s="24" t="s">
        <v>40</v>
      </c>
      <c r="K18" s="6">
        <v>300</v>
      </c>
      <c r="L18" s="6">
        <v>2</v>
      </c>
      <c r="M18" s="6">
        <v>3</v>
      </c>
      <c r="N18" s="6" t="s">
        <v>493</v>
      </c>
      <c r="O18" s="6" t="s">
        <v>493</v>
      </c>
      <c r="P18" s="6" t="s">
        <v>493</v>
      </c>
      <c r="Q18" s="6" t="s">
        <v>493</v>
      </c>
      <c r="R18" s="8">
        <v>1.53</v>
      </c>
      <c r="S18" s="20">
        <v>45111</v>
      </c>
      <c r="T18" s="20">
        <v>45112</v>
      </c>
      <c r="U18" s="10">
        <v>1</v>
      </c>
      <c r="V18" s="3">
        <v>0.04</v>
      </c>
      <c r="W18" s="3" t="s">
        <v>256</v>
      </c>
      <c r="X18" t="s">
        <v>35</v>
      </c>
      <c r="Y18" s="13">
        <v>1</v>
      </c>
      <c r="Z18" s="12" t="s">
        <v>81</v>
      </c>
      <c r="AA18" s="14">
        <v>45432</v>
      </c>
      <c r="AB18" s="14">
        <v>45436</v>
      </c>
      <c r="AC18" s="15">
        <v>20.753917400981656</v>
      </c>
      <c r="AD18" s="13">
        <v>1</v>
      </c>
      <c r="AE18" s="1" t="s">
        <v>155</v>
      </c>
      <c r="AF18" s="24" t="s">
        <v>184</v>
      </c>
      <c r="AG18" s="1" t="s">
        <v>165</v>
      </c>
      <c r="AH18" s="24" t="s">
        <v>211</v>
      </c>
      <c r="AI18" s="13">
        <v>3</v>
      </c>
      <c r="AJ18" s="5" t="s">
        <v>1477</v>
      </c>
      <c r="AK18" t="s">
        <v>1692</v>
      </c>
      <c r="AM18" s="5"/>
      <c r="AN18" s="18"/>
      <c r="AT18" s="18"/>
      <c r="AU18" s="18"/>
    </row>
    <row r="19" spans="1:47" s="2" customFormat="1">
      <c r="A19" s="2" t="s">
        <v>1360</v>
      </c>
      <c r="B19" s="20">
        <v>45111</v>
      </c>
      <c r="C19" s="2" t="s">
        <v>487</v>
      </c>
      <c r="D19" s="6">
        <v>2</v>
      </c>
      <c r="E19" s="6">
        <v>53</v>
      </c>
      <c r="F19" s="6">
        <v>5</v>
      </c>
      <c r="G19" s="6" t="s">
        <v>256</v>
      </c>
      <c r="H19" s="6" t="s">
        <v>256</v>
      </c>
      <c r="I19" s="24" t="s">
        <v>6</v>
      </c>
      <c r="J19" s="24" t="s">
        <v>255</v>
      </c>
      <c r="K19" s="6">
        <v>300</v>
      </c>
      <c r="L19" s="6">
        <v>2</v>
      </c>
      <c r="M19" s="6">
        <v>5</v>
      </c>
      <c r="N19" s="6" t="s">
        <v>493</v>
      </c>
      <c r="O19" s="6" t="s">
        <v>493</v>
      </c>
      <c r="P19" s="6" t="s">
        <v>493</v>
      </c>
      <c r="Q19" s="6" t="s">
        <v>493</v>
      </c>
      <c r="R19" s="8">
        <v>2.14</v>
      </c>
      <c r="S19" s="20">
        <v>45111</v>
      </c>
      <c r="T19" s="20">
        <v>45112</v>
      </c>
      <c r="U19" s="10">
        <v>1</v>
      </c>
      <c r="V19" s="3">
        <v>0.12</v>
      </c>
      <c r="W19" s="3" t="s">
        <v>256</v>
      </c>
      <c r="X19" t="s">
        <v>35</v>
      </c>
      <c r="Y19" s="13">
        <v>1</v>
      </c>
      <c r="Z19" s="12" t="s">
        <v>82</v>
      </c>
      <c r="AA19" s="14">
        <v>45432</v>
      </c>
      <c r="AB19" s="14">
        <v>45436</v>
      </c>
      <c r="AC19" s="15">
        <v>17.757023306659391</v>
      </c>
      <c r="AD19" s="13">
        <v>1</v>
      </c>
      <c r="AE19" s="1" t="s">
        <v>156</v>
      </c>
      <c r="AF19" s="24" t="s">
        <v>185</v>
      </c>
      <c r="AG19" s="1" t="s">
        <v>165</v>
      </c>
      <c r="AH19" s="24" t="s">
        <v>211</v>
      </c>
      <c r="AI19" s="13">
        <v>15</v>
      </c>
      <c r="AJ19" s="5" t="s">
        <v>1478</v>
      </c>
      <c r="AK19" t="s">
        <v>1692</v>
      </c>
      <c r="AM19" s="5"/>
      <c r="AN19" s="18"/>
      <c r="AT19" s="18"/>
      <c r="AU19" s="18"/>
    </row>
    <row r="20" spans="1:47" s="2" customFormat="1">
      <c r="A20" s="2" t="s">
        <v>1361</v>
      </c>
      <c r="B20" s="20">
        <v>45111</v>
      </c>
      <c r="C20" s="2" t="s">
        <v>487</v>
      </c>
      <c r="D20" s="6">
        <v>2</v>
      </c>
      <c r="E20" s="6">
        <v>55</v>
      </c>
      <c r="F20" s="6">
        <v>5</v>
      </c>
      <c r="G20" s="6" t="s">
        <v>256</v>
      </c>
      <c r="H20" s="6" t="s">
        <v>256</v>
      </c>
      <c r="I20" s="24" t="s">
        <v>6</v>
      </c>
      <c r="J20" s="24" t="s">
        <v>253</v>
      </c>
      <c r="K20" s="6">
        <v>300</v>
      </c>
      <c r="L20" s="6">
        <v>2</v>
      </c>
      <c r="M20" s="6">
        <v>7</v>
      </c>
      <c r="N20" s="6" t="s">
        <v>493</v>
      </c>
      <c r="O20" s="6" t="s">
        <v>493</v>
      </c>
      <c r="P20" s="6" t="s">
        <v>493</v>
      </c>
      <c r="Q20" s="6" t="s">
        <v>493</v>
      </c>
      <c r="R20" s="8">
        <v>1.1200000000000001</v>
      </c>
      <c r="S20" s="20">
        <v>45111</v>
      </c>
      <c r="T20" s="20">
        <v>45112</v>
      </c>
      <c r="U20" s="10">
        <v>1</v>
      </c>
      <c r="V20" s="3">
        <v>0.12</v>
      </c>
      <c r="W20" s="3" t="s">
        <v>256</v>
      </c>
      <c r="X20" t="s">
        <v>35</v>
      </c>
      <c r="Y20" s="13">
        <v>1</v>
      </c>
      <c r="Z20" s="12" t="s">
        <v>83</v>
      </c>
      <c r="AA20" s="14">
        <v>45432</v>
      </c>
      <c r="AB20" s="14">
        <v>45436</v>
      </c>
      <c r="AC20" s="15">
        <v>18.008289925017955</v>
      </c>
      <c r="AD20" s="13">
        <v>1</v>
      </c>
      <c r="AE20" s="1" t="s">
        <v>157</v>
      </c>
      <c r="AF20" s="24" t="s">
        <v>186</v>
      </c>
      <c r="AG20" s="1" t="s">
        <v>165</v>
      </c>
      <c r="AH20" s="24" t="s">
        <v>211</v>
      </c>
      <c r="AI20" s="13">
        <v>27</v>
      </c>
      <c r="AJ20" s="5" t="s">
        <v>1479</v>
      </c>
      <c r="AK20" t="s">
        <v>1692</v>
      </c>
      <c r="AM20" s="5"/>
      <c r="AN20" s="18"/>
      <c r="AT20" s="18"/>
      <c r="AU20" s="18"/>
    </row>
    <row r="21" spans="1:47" s="2" customFormat="1">
      <c r="A21" s="4" t="s">
        <v>1362</v>
      </c>
      <c r="B21" s="20">
        <v>45111</v>
      </c>
      <c r="C21" s="2" t="s">
        <v>487</v>
      </c>
      <c r="D21" s="6">
        <v>2</v>
      </c>
      <c r="E21" s="6">
        <v>59</v>
      </c>
      <c r="F21" s="6">
        <v>5</v>
      </c>
      <c r="G21" s="6" t="s">
        <v>256</v>
      </c>
      <c r="H21" s="6" t="s">
        <v>256</v>
      </c>
      <c r="I21" s="24" t="s">
        <v>6</v>
      </c>
      <c r="J21" s="24" t="s">
        <v>254</v>
      </c>
      <c r="K21" s="6">
        <v>300</v>
      </c>
      <c r="L21" s="6">
        <v>2</v>
      </c>
      <c r="M21" s="6">
        <v>11</v>
      </c>
      <c r="N21" s="6" t="s">
        <v>493</v>
      </c>
      <c r="O21" s="6" t="s">
        <v>493</v>
      </c>
      <c r="P21" s="6" t="s">
        <v>493</v>
      </c>
      <c r="Q21" s="6" t="s">
        <v>493</v>
      </c>
      <c r="R21" s="8">
        <v>1.49</v>
      </c>
      <c r="S21" s="20">
        <v>45111</v>
      </c>
      <c r="T21" s="20">
        <v>45112</v>
      </c>
      <c r="U21" s="10">
        <v>1</v>
      </c>
      <c r="V21" s="3">
        <v>0.05</v>
      </c>
      <c r="W21" s="3" t="s">
        <v>256</v>
      </c>
      <c r="X21" t="s">
        <v>35</v>
      </c>
      <c r="Y21" s="13">
        <v>1</v>
      </c>
      <c r="Z21" s="12" t="s">
        <v>146</v>
      </c>
      <c r="AA21" s="14">
        <v>45432</v>
      </c>
      <c r="AB21" s="14">
        <v>45436</v>
      </c>
      <c r="AC21" s="15">
        <v>16.874731083129198</v>
      </c>
      <c r="AD21" s="13">
        <v>1</v>
      </c>
      <c r="AE21" s="1" t="s">
        <v>158</v>
      </c>
      <c r="AF21" s="24" t="s">
        <v>187</v>
      </c>
      <c r="AG21" s="1" t="s">
        <v>165</v>
      </c>
      <c r="AH21" s="24" t="s">
        <v>211</v>
      </c>
      <c r="AI21" s="13">
        <v>39</v>
      </c>
      <c r="AJ21" s="5" t="s">
        <v>1480</v>
      </c>
      <c r="AK21" t="s">
        <v>1692</v>
      </c>
      <c r="AM21" s="5"/>
      <c r="AN21" s="18"/>
      <c r="AT21" s="18"/>
      <c r="AU21" s="18"/>
    </row>
    <row r="22" spans="1:47" s="2" customFormat="1">
      <c r="A22" s="4" t="s">
        <v>1363</v>
      </c>
      <c r="B22" s="20">
        <v>45111</v>
      </c>
      <c r="C22" s="2" t="s">
        <v>487</v>
      </c>
      <c r="D22" s="6">
        <v>2</v>
      </c>
      <c r="E22" s="6">
        <v>61</v>
      </c>
      <c r="F22" s="6">
        <v>6</v>
      </c>
      <c r="G22" s="6" t="s">
        <v>256</v>
      </c>
      <c r="H22" s="6" t="s">
        <v>256</v>
      </c>
      <c r="I22" s="24" t="s">
        <v>5</v>
      </c>
      <c r="J22" s="24" t="s">
        <v>40</v>
      </c>
      <c r="K22" s="6">
        <v>300</v>
      </c>
      <c r="L22" s="6">
        <v>1</v>
      </c>
      <c r="M22" s="6">
        <v>1</v>
      </c>
      <c r="N22" s="6" t="s">
        <v>493</v>
      </c>
      <c r="O22" s="6" t="s">
        <v>493</v>
      </c>
      <c r="P22" s="6" t="s">
        <v>493</v>
      </c>
      <c r="Q22" s="6" t="s">
        <v>493</v>
      </c>
      <c r="R22" s="8">
        <v>1.81</v>
      </c>
      <c r="S22" s="20">
        <v>45111</v>
      </c>
      <c r="T22" s="20">
        <v>45112</v>
      </c>
      <c r="U22" s="10">
        <v>1</v>
      </c>
      <c r="V22" s="3">
        <v>0.05</v>
      </c>
      <c r="W22" s="3" t="s">
        <v>256</v>
      </c>
      <c r="X22" t="s">
        <v>35</v>
      </c>
      <c r="Y22" s="13">
        <v>1</v>
      </c>
      <c r="Z22" s="12" t="s">
        <v>89</v>
      </c>
      <c r="AA22" s="14">
        <v>45432</v>
      </c>
      <c r="AB22" s="14">
        <v>45436</v>
      </c>
      <c r="AC22" s="15">
        <v>16.924700337528172</v>
      </c>
      <c r="AD22" s="13">
        <v>1</v>
      </c>
      <c r="AE22" s="1" t="s">
        <v>159</v>
      </c>
      <c r="AF22" s="24" t="s">
        <v>188</v>
      </c>
      <c r="AG22" s="1" t="s">
        <v>165</v>
      </c>
      <c r="AH22" s="24" t="s">
        <v>211</v>
      </c>
      <c r="AI22" s="13">
        <v>51</v>
      </c>
      <c r="AJ22" s="5" t="s">
        <v>1481</v>
      </c>
      <c r="AK22" t="s">
        <v>1692</v>
      </c>
      <c r="AM22" s="5"/>
      <c r="AN22" s="18"/>
      <c r="AT22" s="18"/>
      <c r="AU22" s="18"/>
    </row>
    <row r="23" spans="1:47">
      <c r="A23" s="2" t="s">
        <v>1364</v>
      </c>
      <c r="B23" s="20">
        <v>45111</v>
      </c>
      <c r="C23" s="2" t="s">
        <v>487</v>
      </c>
      <c r="D23" s="6">
        <v>2</v>
      </c>
      <c r="E23" s="6">
        <v>66</v>
      </c>
      <c r="F23" s="6">
        <v>6</v>
      </c>
      <c r="G23" s="6" t="s">
        <v>256</v>
      </c>
      <c r="H23" s="6" t="s">
        <v>256</v>
      </c>
      <c r="I23" s="24" t="s">
        <v>5</v>
      </c>
      <c r="J23" s="24" t="s">
        <v>254</v>
      </c>
      <c r="K23" s="6">
        <v>300</v>
      </c>
      <c r="L23" s="6">
        <v>1</v>
      </c>
      <c r="M23" s="6">
        <v>6</v>
      </c>
      <c r="N23" s="6" t="s">
        <v>493</v>
      </c>
      <c r="O23" s="6" t="s">
        <v>493</v>
      </c>
      <c r="P23" s="6" t="s">
        <v>493</v>
      </c>
      <c r="Q23" s="6" t="s">
        <v>493</v>
      </c>
      <c r="R23" s="8">
        <v>2.57</v>
      </c>
      <c r="S23" s="20">
        <v>45111</v>
      </c>
      <c r="T23" s="20">
        <v>45112</v>
      </c>
      <c r="U23" s="10">
        <v>1</v>
      </c>
      <c r="V23" s="3">
        <v>0.27</v>
      </c>
      <c r="W23" s="3" t="s">
        <v>256</v>
      </c>
      <c r="X23" t="s">
        <v>35</v>
      </c>
      <c r="Y23" s="7">
        <v>1</v>
      </c>
      <c r="Z23" s="11" t="s">
        <v>90</v>
      </c>
      <c r="AA23" s="36">
        <v>45432</v>
      </c>
      <c r="AB23" s="36">
        <v>45436</v>
      </c>
      <c r="AC23" s="29">
        <v>20.368342340696522</v>
      </c>
      <c r="AD23" s="7">
        <v>1</v>
      </c>
      <c r="AE23" s="26" t="s">
        <v>160</v>
      </c>
      <c r="AF23" s="26" t="s">
        <v>189</v>
      </c>
      <c r="AG23" s="26" t="s">
        <v>165</v>
      </c>
      <c r="AH23" s="26" t="s">
        <v>211</v>
      </c>
      <c r="AI23" s="7">
        <v>63</v>
      </c>
      <c r="AJ23" t="s">
        <v>1482</v>
      </c>
      <c r="AK23" t="s">
        <v>1692</v>
      </c>
    </row>
    <row r="24" spans="1:47">
      <c r="A24" s="2" t="s">
        <v>1365</v>
      </c>
      <c r="B24" s="20">
        <v>45111</v>
      </c>
      <c r="C24" s="2" t="s">
        <v>487</v>
      </c>
      <c r="D24" s="6">
        <v>2</v>
      </c>
      <c r="E24" s="6">
        <v>68</v>
      </c>
      <c r="F24" s="6">
        <v>6</v>
      </c>
      <c r="G24" s="6" t="s">
        <v>256</v>
      </c>
      <c r="H24" s="6" t="s">
        <v>256</v>
      </c>
      <c r="I24" s="24" t="s">
        <v>5</v>
      </c>
      <c r="J24" s="24" t="s">
        <v>255</v>
      </c>
      <c r="K24" s="6">
        <v>300</v>
      </c>
      <c r="L24" s="6">
        <v>1</v>
      </c>
      <c r="M24" s="6">
        <v>8</v>
      </c>
      <c r="N24" s="6" t="s">
        <v>493</v>
      </c>
      <c r="O24" s="6" t="s">
        <v>493</v>
      </c>
      <c r="P24" s="6" t="s">
        <v>493</v>
      </c>
      <c r="Q24" s="6" t="s">
        <v>493</v>
      </c>
      <c r="R24" s="8">
        <v>2.65</v>
      </c>
      <c r="S24" s="20">
        <v>45111</v>
      </c>
      <c r="T24" s="20">
        <v>45112</v>
      </c>
      <c r="U24" s="10">
        <v>1</v>
      </c>
      <c r="V24" s="3">
        <v>0.28000000000000003</v>
      </c>
      <c r="W24" s="3" t="s">
        <v>256</v>
      </c>
      <c r="X24" t="s">
        <v>35</v>
      </c>
      <c r="Y24" s="7">
        <v>1</v>
      </c>
      <c r="Z24" s="11" t="s">
        <v>91</v>
      </c>
      <c r="AA24" s="36">
        <v>45432</v>
      </c>
      <c r="AB24" s="36">
        <v>45436</v>
      </c>
      <c r="AC24" s="29">
        <v>19.579131781449835</v>
      </c>
      <c r="AD24" s="7">
        <v>1</v>
      </c>
      <c r="AE24" s="26" t="s">
        <v>162</v>
      </c>
      <c r="AF24" s="26" t="s">
        <v>190</v>
      </c>
      <c r="AG24" s="26" t="s">
        <v>165</v>
      </c>
      <c r="AH24" s="26" t="s">
        <v>211</v>
      </c>
      <c r="AI24" s="7">
        <v>75</v>
      </c>
      <c r="AJ24" t="s">
        <v>1483</v>
      </c>
      <c r="AK24" t="s">
        <v>1692</v>
      </c>
    </row>
    <row r="25" spans="1:47">
      <c r="A25" s="2" t="s">
        <v>1366</v>
      </c>
      <c r="B25" s="20">
        <v>45111</v>
      </c>
      <c r="C25" s="2" t="s">
        <v>487</v>
      </c>
      <c r="D25" s="6">
        <v>2</v>
      </c>
      <c r="E25" s="6">
        <v>72</v>
      </c>
      <c r="F25" s="6">
        <v>6</v>
      </c>
      <c r="G25" s="6" t="s">
        <v>256</v>
      </c>
      <c r="H25" s="6" t="s">
        <v>256</v>
      </c>
      <c r="I25" s="24" t="s">
        <v>5</v>
      </c>
      <c r="J25" s="24" t="s">
        <v>253</v>
      </c>
      <c r="K25" s="6">
        <v>300</v>
      </c>
      <c r="L25" s="6">
        <v>1</v>
      </c>
      <c r="M25" s="6">
        <v>12</v>
      </c>
      <c r="N25" s="6" t="s">
        <v>493</v>
      </c>
      <c r="O25" s="6" t="s">
        <v>493</v>
      </c>
      <c r="P25" s="6" t="s">
        <v>493</v>
      </c>
      <c r="Q25" s="6" t="s">
        <v>493</v>
      </c>
      <c r="R25" s="8">
        <v>2.82</v>
      </c>
      <c r="S25" s="20">
        <v>45111</v>
      </c>
      <c r="T25" s="20">
        <v>45112</v>
      </c>
      <c r="U25" s="10">
        <v>1</v>
      </c>
      <c r="V25" s="3">
        <v>2.1</v>
      </c>
      <c r="W25" s="3" t="s">
        <v>256</v>
      </c>
      <c r="X25" t="s">
        <v>35</v>
      </c>
      <c r="Y25" s="7">
        <v>1</v>
      </c>
      <c r="Z25" s="11" t="s">
        <v>147</v>
      </c>
      <c r="AA25" s="36">
        <v>45432</v>
      </c>
      <c r="AB25" s="36">
        <v>45436</v>
      </c>
      <c r="AC25" s="29">
        <v>20.136985060160239</v>
      </c>
      <c r="AD25" s="7">
        <v>1</v>
      </c>
      <c r="AE25" s="26" t="s">
        <v>162</v>
      </c>
      <c r="AF25" s="26" t="s">
        <v>192</v>
      </c>
      <c r="AG25" s="26" t="s">
        <v>165</v>
      </c>
      <c r="AH25" s="26" t="s">
        <v>211</v>
      </c>
      <c r="AI25" s="7">
        <v>87</v>
      </c>
      <c r="AJ25" t="s">
        <v>1484</v>
      </c>
      <c r="AK25" t="s">
        <v>1692</v>
      </c>
    </row>
    <row r="26" spans="1:47">
      <c r="A26" s="2" t="s">
        <v>1367</v>
      </c>
      <c r="B26" s="20">
        <v>45111</v>
      </c>
      <c r="C26" s="2" t="s">
        <v>487</v>
      </c>
      <c r="D26" s="6">
        <v>3</v>
      </c>
      <c r="E26" s="6">
        <v>75</v>
      </c>
      <c r="F26" s="6">
        <v>7</v>
      </c>
      <c r="G26" s="6" t="s">
        <v>256</v>
      </c>
      <c r="H26" s="6" t="s">
        <v>256</v>
      </c>
      <c r="I26" s="24" t="s">
        <v>4</v>
      </c>
      <c r="J26" s="24" t="s">
        <v>255</v>
      </c>
      <c r="K26" s="6">
        <v>300</v>
      </c>
      <c r="L26" s="6">
        <v>6</v>
      </c>
      <c r="M26" s="6">
        <v>15</v>
      </c>
      <c r="N26" s="6" t="s">
        <v>493</v>
      </c>
      <c r="O26" s="6" t="s">
        <v>493</v>
      </c>
      <c r="P26" s="6" t="s">
        <v>493</v>
      </c>
      <c r="Q26" s="6" t="s">
        <v>493</v>
      </c>
      <c r="R26" s="8">
        <v>1.72</v>
      </c>
      <c r="S26" s="20">
        <v>45111</v>
      </c>
      <c r="T26" s="20">
        <v>45112</v>
      </c>
      <c r="U26" s="10">
        <v>1</v>
      </c>
      <c r="V26" s="3">
        <v>0.93</v>
      </c>
      <c r="W26" s="3" t="s">
        <v>256</v>
      </c>
      <c r="X26" t="s">
        <v>35</v>
      </c>
      <c r="Y26" s="7">
        <v>1</v>
      </c>
      <c r="Z26" s="11" t="s">
        <v>86</v>
      </c>
      <c r="AA26" s="36">
        <v>45432</v>
      </c>
      <c r="AB26" s="36">
        <v>45436</v>
      </c>
      <c r="AC26" s="29">
        <v>25.375430603713323</v>
      </c>
      <c r="AD26" s="7">
        <v>1</v>
      </c>
      <c r="AE26" s="26" t="s">
        <v>155</v>
      </c>
      <c r="AF26" s="26" t="s">
        <v>184</v>
      </c>
      <c r="AG26" s="26" t="s">
        <v>166</v>
      </c>
      <c r="AH26" s="26" t="s">
        <v>212</v>
      </c>
      <c r="AI26" s="7">
        <v>4</v>
      </c>
      <c r="AJ26" t="s">
        <v>1485</v>
      </c>
      <c r="AK26" t="s">
        <v>1692</v>
      </c>
    </row>
    <row r="27" spans="1:47">
      <c r="A27" s="2" t="s">
        <v>1368</v>
      </c>
      <c r="B27" s="20">
        <v>45111</v>
      </c>
      <c r="C27" s="2" t="s">
        <v>487</v>
      </c>
      <c r="D27" s="6">
        <v>3</v>
      </c>
      <c r="E27" s="6">
        <v>80</v>
      </c>
      <c r="F27" s="6">
        <v>7</v>
      </c>
      <c r="G27" s="6" t="s">
        <v>256</v>
      </c>
      <c r="H27" s="6" t="s">
        <v>256</v>
      </c>
      <c r="I27" s="24" t="s">
        <v>4</v>
      </c>
      <c r="J27" s="24" t="s">
        <v>40</v>
      </c>
      <c r="K27" s="6">
        <v>300</v>
      </c>
      <c r="L27" s="6">
        <v>6</v>
      </c>
      <c r="M27" s="6">
        <v>20</v>
      </c>
      <c r="N27" s="6" t="s">
        <v>493</v>
      </c>
      <c r="O27" s="6" t="s">
        <v>493</v>
      </c>
      <c r="P27" s="6" t="s">
        <v>493</v>
      </c>
      <c r="Q27" s="6" t="s">
        <v>493</v>
      </c>
      <c r="R27" s="8">
        <v>1.82</v>
      </c>
      <c r="S27" s="20">
        <v>45111</v>
      </c>
      <c r="T27" s="20">
        <v>45112</v>
      </c>
      <c r="U27" s="10">
        <v>1</v>
      </c>
      <c r="V27" s="3">
        <v>0.15</v>
      </c>
      <c r="W27" s="3" t="s">
        <v>256</v>
      </c>
      <c r="X27" t="s">
        <v>35</v>
      </c>
      <c r="Y27" s="7">
        <v>1</v>
      </c>
      <c r="Z27" s="11" t="s">
        <v>87</v>
      </c>
      <c r="AA27" s="36">
        <v>45432</v>
      </c>
      <c r="AB27" s="36">
        <v>45436</v>
      </c>
      <c r="AC27" s="29">
        <v>20.391520924028367</v>
      </c>
      <c r="AD27" s="7">
        <v>1</v>
      </c>
      <c r="AE27" s="26" t="s">
        <v>156</v>
      </c>
      <c r="AF27" s="26" t="s">
        <v>185</v>
      </c>
      <c r="AG27" s="26" t="s">
        <v>166</v>
      </c>
      <c r="AH27" s="26" t="s">
        <v>212</v>
      </c>
      <c r="AI27" s="7">
        <v>16</v>
      </c>
      <c r="AJ27" t="s">
        <v>1486</v>
      </c>
      <c r="AK27" t="s">
        <v>1692</v>
      </c>
    </row>
    <row r="28" spans="1:47">
      <c r="A28" s="2" t="s">
        <v>1369</v>
      </c>
      <c r="B28" s="20">
        <v>45111</v>
      </c>
      <c r="C28" s="2" t="s">
        <v>487</v>
      </c>
      <c r="D28" s="6">
        <v>3</v>
      </c>
      <c r="E28" s="6">
        <v>81</v>
      </c>
      <c r="F28" s="6">
        <v>7</v>
      </c>
      <c r="G28" s="6" t="s">
        <v>256</v>
      </c>
      <c r="H28" s="6" t="s">
        <v>256</v>
      </c>
      <c r="I28" s="24" t="s">
        <v>4</v>
      </c>
      <c r="J28" s="24" t="s">
        <v>254</v>
      </c>
      <c r="K28" s="6">
        <v>300</v>
      </c>
      <c r="L28" s="6">
        <v>6</v>
      </c>
      <c r="M28" s="6">
        <v>21</v>
      </c>
      <c r="N28" s="6" t="s">
        <v>493</v>
      </c>
      <c r="O28" s="6" t="s">
        <v>493</v>
      </c>
      <c r="P28" s="6" t="s">
        <v>493</v>
      </c>
      <c r="Q28" s="6" t="s">
        <v>493</v>
      </c>
      <c r="R28" s="8">
        <v>1.32</v>
      </c>
      <c r="S28" s="20">
        <v>45111</v>
      </c>
      <c r="T28" s="20">
        <v>45112</v>
      </c>
      <c r="U28" s="10">
        <v>1</v>
      </c>
      <c r="V28" s="3">
        <v>0.41</v>
      </c>
      <c r="W28" s="3" t="s">
        <v>256</v>
      </c>
      <c r="X28" t="s">
        <v>35</v>
      </c>
      <c r="Y28" s="7">
        <v>1</v>
      </c>
      <c r="Z28" s="11" t="s">
        <v>94</v>
      </c>
      <c r="AA28" s="36">
        <v>45432</v>
      </c>
      <c r="AB28" s="36">
        <v>45436</v>
      </c>
      <c r="AC28" s="29">
        <v>19.064219491511103</v>
      </c>
      <c r="AD28" s="7">
        <v>1</v>
      </c>
      <c r="AE28" s="26" t="s">
        <v>157</v>
      </c>
      <c r="AF28" s="26" t="s">
        <v>186</v>
      </c>
      <c r="AG28" s="26" t="s">
        <v>166</v>
      </c>
      <c r="AH28" s="26" t="s">
        <v>212</v>
      </c>
      <c r="AI28" s="7">
        <v>28</v>
      </c>
      <c r="AJ28" t="s">
        <v>1487</v>
      </c>
      <c r="AK28" t="s">
        <v>1692</v>
      </c>
    </row>
    <row r="29" spans="1:47">
      <c r="A29" s="2" t="s">
        <v>1370</v>
      </c>
      <c r="B29" s="20">
        <v>45111</v>
      </c>
      <c r="C29" s="2" t="s">
        <v>487</v>
      </c>
      <c r="D29" s="6">
        <v>3</v>
      </c>
      <c r="E29" s="6">
        <v>82</v>
      </c>
      <c r="F29" s="6">
        <v>7</v>
      </c>
      <c r="G29" s="6" t="s">
        <v>256</v>
      </c>
      <c r="H29" s="6" t="s">
        <v>256</v>
      </c>
      <c r="I29" s="24" t="s">
        <v>4</v>
      </c>
      <c r="J29" s="24" t="s">
        <v>253</v>
      </c>
      <c r="K29" s="6">
        <v>300</v>
      </c>
      <c r="L29" s="6">
        <v>6</v>
      </c>
      <c r="M29" s="6">
        <v>22</v>
      </c>
      <c r="N29" s="6" t="s">
        <v>493</v>
      </c>
      <c r="O29" s="6" t="s">
        <v>493</v>
      </c>
      <c r="P29" s="6" t="s">
        <v>493</v>
      </c>
      <c r="Q29" s="6" t="s">
        <v>493</v>
      </c>
      <c r="R29" s="8">
        <v>2.1</v>
      </c>
      <c r="S29" s="20">
        <v>45111</v>
      </c>
      <c r="T29" s="20">
        <v>45112</v>
      </c>
      <c r="U29" s="10">
        <v>1</v>
      </c>
      <c r="V29" s="3">
        <v>0.5</v>
      </c>
      <c r="W29" s="3" t="s">
        <v>256</v>
      </c>
      <c r="X29" t="s">
        <v>35</v>
      </c>
      <c r="Y29" s="7">
        <v>1</v>
      </c>
      <c r="Z29" s="11" t="s">
        <v>102</v>
      </c>
      <c r="AA29" s="36">
        <v>45432</v>
      </c>
      <c r="AB29" s="36">
        <v>45436</v>
      </c>
      <c r="AC29" s="29">
        <v>20.031536587020337</v>
      </c>
      <c r="AD29" s="7">
        <v>1</v>
      </c>
      <c r="AE29" s="26" t="s">
        <v>158</v>
      </c>
      <c r="AF29" s="26" t="s">
        <v>187</v>
      </c>
      <c r="AG29" s="26" t="s">
        <v>166</v>
      </c>
      <c r="AH29" s="26" t="s">
        <v>212</v>
      </c>
      <c r="AI29" s="7">
        <v>40</v>
      </c>
      <c r="AJ29" t="s">
        <v>1488</v>
      </c>
      <c r="AK29" t="s">
        <v>1692</v>
      </c>
    </row>
    <row r="30" spans="1:47">
      <c r="A30" s="2" t="s">
        <v>1371</v>
      </c>
      <c r="B30" s="20">
        <v>45111</v>
      </c>
      <c r="C30" s="2" t="s">
        <v>487</v>
      </c>
      <c r="D30" s="6">
        <v>3</v>
      </c>
      <c r="E30" s="6">
        <v>87</v>
      </c>
      <c r="F30" s="6">
        <v>8</v>
      </c>
      <c r="G30" s="6" t="s">
        <v>256</v>
      </c>
      <c r="H30" s="6" t="s">
        <v>256</v>
      </c>
      <c r="I30" s="24" t="s">
        <v>6</v>
      </c>
      <c r="J30" s="24" t="s">
        <v>254</v>
      </c>
      <c r="K30" s="6">
        <v>300</v>
      </c>
      <c r="L30" s="6">
        <v>5</v>
      </c>
      <c r="M30" s="6">
        <v>15</v>
      </c>
      <c r="N30" s="6" t="s">
        <v>493</v>
      </c>
      <c r="O30" s="6" t="s">
        <v>493</v>
      </c>
      <c r="P30" s="6" t="s">
        <v>493</v>
      </c>
      <c r="Q30" s="6" t="s">
        <v>493</v>
      </c>
      <c r="R30" s="8">
        <v>1.26</v>
      </c>
      <c r="S30" s="20">
        <v>45111</v>
      </c>
      <c r="T30" s="20">
        <v>45112</v>
      </c>
      <c r="U30" s="10">
        <v>1</v>
      </c>
      <c r="V30" s="3">
        <v>0.2</v>
      </c>
      <c r="W30" s="3" t="s">
        <v>256</v>
      </c>
      <c r="X30" t="s">
        <v>35</v>
      </c>
      <c r="Y30" s="7">
        <v>1</v>
      </c>
      <c r="Z30" s="11" t="s">
        <v>88</v>
      </c>
      <c r="AA30" s="36">
        <v>45432</v>
      </c>
      <c r="AB30" s="36">
        <v>45436</v>
      </c>
      <c r="AC30" s="29">
        <v>18.095543271464187</v>
      </c>
      <c r="AD30" s="7">
        <v>1</v>
      </c>
      <c r="AE30" s="26" t="s">
        <v>159</v>
      </c>
      <c r="AF30" s="26" t="s">
        <v>188</v>
      </c>
      <c r="AG30" s="26" t="s">
        <v>166</v>
      </c>
      <c r="AH30" s="26" t="s">
        <v>212</v>
      </c>
      <c r="AI30" s="7">
        <v>52</v>
      </c>
      <c r="AJ30" t="s">
        <v>1489</v>
      </c>
      <c r="AK30" t="s">
        <v>1692</v>
      </c>
    </row>
    <row r="31" spans="1:47">
      <c r="A31" s="4" t="s">
        <v>1372</v>
      </c>
      <c r="B31" s="20">
        <v>45111</v>
      </c>
      <c r="C31" s="2" t="s">
        <v>487</v>
      </c>
      <c r="D31" s="6">
        <v>3</v>
      </c>
      <c r="E31" s="6">
        <v>88</v>
      </c>
      <c r="F31" s="6">
        <v>8</v>
      </c>
      <c r="G31" s="6" t="s">
        <v>256</v>
      </c>
      <c r="H31" s="6" t="s">
        <v>256</v>
      </c>
      <c r="I31" s="24" t="s">
        <v>6</v>
      </c>
      <c r="J31" s="24" t="s">
        <v>253</v>
      </c>
      <c r="K31" s="6">
        <v>300</v>
      </c>
      <c r="L31" s="6">
        <v>5</v>
      </c>
      <c r="M31" s="6">
        <v>16</v>
      </c>
      <c r="N31" s="6" t="s">
        <v>493</v>
      </c>
      <c r="O31" s="6" t="s">
        <v>493</v>
      </c>
      <c r="P31" s="6" t="s">
        <v>493</v>
      </c>
      <c r="Q31" s="6" t="s">
        <v>493</v>
      </c>
      <c r="R31" s="8">
        <v>1.78</v>
      </c>
      <c r="S31" s="20">
        <v>45111</v>
      </c>
      <c r="T31" s="20">
        <v>45112</v>
      </c>
      <c r="U31" s="10">
        <v>1</v>
      </c>
      <c r="V31" s="3">
        <v>7.0000000000000007E-2</v>
      </c>
      <c r="W31" s="3" t="s">
        <v>256</v>
      </c>
      <c r="X31" t="s">
        <v>35</v>
      </c>
      <c r="Y31" s="7">
        <v>1</v>
      </c>
      <c r="Z31" s="11" t="s">
        <v>148</v>
      </c>
      <c r="AA31" s="36">
        <v>45432</v>
      </c>
      <c r="AB31" s="36">
        <v>45436</v>
      </c>
      <c r="AC31" s="29">
        <v>17.463146297389674</v>
      </c>
      <c r="AD31" s="7">
        <v>1</v>
      </c>
      <c r="AE31" s="26" t="s">
        <v>160</v>
      </c>
      <c r="AF31" s="26" t="s">
        <v>189</v>
      </c>
      <c r="AG31" s="26" t="s">
        <v>166</v>
      </c>
      <c r="AH31" s="26" t="s">
        <v>212</v>
      </c>
      <c r="AI31" s="7">
        <v>64</v>
      </c>
      <c r="AJ31" t="s">
        <v>1490</v>
      </c>
      <c r="AK31" t="s">
        <v>1692</v>
      </c>
    </row>
    <row r="32" spans="1:47">
      <c r="A32" s="2" t="s">
        <v>1373</v>
      </c>
      <c r="B32" s="20">
        <v>45111</v>
      </c>
      <c r="C32" s="2" t="s">
        <v>487</v>
      </c>
      <c r="D32" s="6">
        <v>3</v>
      </c>
      <c r="E32" s="6">
        <v>89</v>
      </c>
      <c r="F32" s="6">
        <v>8</v>
      </c>
      <c r="G32" s="6" t="s">
        <v>256</v>
      </c>
      <c r="H32" s="6" t="s">
        <v>256</v>
      </c>
      <c r="I32" s="24" t="s">
        <v>6</v>
      </c>
      <c r="J32" s="24" t="s">
        <v>255</v>
      </c>
      <c r="K32" s="6">
        <v>300</v>
      </c>
      <c r="L32" s="6">
        <v>5</v>
      </c>
      <c r="M32" s="6">
        <v>17</v>
      </c>
      <c r="N32" s="6" t="s">
        <v>493</v>
      </c>
      <c r="O32" s="6" t="s">
        <v>493</v>
      </c>
      <c r="P32" s="6" t="s">
        <v>493</v>
      </c>
      <c r="Q32" s="6" t="s">
        <v>493</v>
      </c>
      <c r="R32" s="8">
        <v>2.2799999999999998</v>
      </c>
      <c r="S32" s="20">
        <v>45111</v>
      </c>
      <c r="T32" s="20">
        <v>45112</v>
      </c>
      <c r="U32" s="10">
        <v>1</v>
      </c>
      <c r="V32" s="3">
        <v>0.2</v>
      </c>
      <c r="W32" s="3" t="s">
        <v>256</v>
      </c>
      <c r="X32" t="s">
        <v>35</v>
      </c>
      <c r="Y32" s="7">
        <v>1</v>
      </c>
      <c r="Z32" s="11" t="s">
        <v>96</v>
      </c>
      <c r="AA32" s="36">
        <v>45432</v>
      </c>
      <c r="AB32" s="36">
        <v>45436</v>
      </c>
      <c r="AC32" s="29">
        <v>17.302390026621698</v>
      </c>
      <c r="AD32" s="7">
        <v>1</v>
      </c>
      <c r="AE32" s="26" t="s">
        <v>191</v>
      </c>
      <c r="AF32" s="26" t="s">
        <v>190</v>
      </c>
      <c r="AG32" s="26" t="s">
        <v>166</v>
      </c>
      <c r="AH32" s="26" t="s">
        <v>212</v>
      </c>
      <c r="AI32" s="7">
        <v>76</v>
      </c>
      <c r="AJ32" t="s">
        <v>1491</v>
      </c>
      <c r="AK32" t="s">
        <v>1692</v>
      </c>
    </row>
    <row r="33" spans="1:37">
      <c r="A33" s="2" t="s">
        <v>1374</v>
      </c>
      <c r="B33" s="20">
        <v>45111</v>
      </c>
      <c r="C33" s="2" t="s">
        <v>487</v>
      </c>
      <c r="D33" s="6">
        <v>3</v>
      </c>
      <c r="E33" s="6">
        <v>91</v>
      </c>
      <c r="F33" s="6">
        <v>8</v>
      </c>
      <c r="G33" s="6" t="s">
        <v>256</v>
      </c>
      <c r="H33" s="6" t="s">
        <v>256</v>
      </c>
      <c r="I33" s="24" t="s">
        <v>6</v>
      </c>
      <c r="J33" s="24" t="s">
        <v>40</v>
      </c>
      <c r="K33" s="6">
        <v>300</v>
      </c>
      <c r="L33" s="6">
        <v>5</v>
      </c>
      <c r="M33" s="6">
        <v>19</v>
      </c>
      <c r="N33" s="6" t="s">
        <v>493</v>
      </c>
      <c r="O33" s="6" t="s">
        <v>493</v>
      </c>
      <c r="P33" s="6" t="s">
        <v>493</v>
      </c>
      <c r="Q33" s="6" t="s">
        <v>493</v>
      </c>
      <c r="R33" s="8">
        <v>0.45</v>
      </c>
      <c r="S33" s="20">
        <v>45111</v>
      </c>
      <c r="T33" s="20">
        <v>45112</v>
      </c>
      <c r="U33" s="10">
        <v>1</v>
      </c>
      <c r="V33" s="3">
        <v>0.04</v>
      </c>
      <c r="W33" s="3" t="s">
        <v>256</v>
      </c>
      <c r="X33" t="s">
        <v>35</v>
      </c>
      <c r="Y33" s="7">
        <v>1</v>
      </c>
      <c r="Z33" s="11" t="s">
        <v>149</v>
      </c>
      <c r="AA33" s="36">
        <v>45432</v>
      </c>
      <c r="AB33" s="36">
        <v>45436</v>
      </c>
      <c r="AC33" s="29">
        <v>21.906038700520213</v>
      </c>
      <c r="AD33" s="7">
        <v>1</v>
      </c>
      <c r="AE33" s="26" t="s">
        <v>162</v>
      </c>
      <c r="AF33" s="26" t="s">
        <v>192</v>
      </c>
      <c r="AG33" s="26" t="s">
        <v>166</v>
      </c>
      <c r="AH33" s="26" t="s">
        <v>212</v>
      </c>
      <c r="AI33" s="7">
        <v>88</v>
      </c>
      <c r="AJ33" t="s">
        <v>1492</v>
      </c>
      <c r="AK33" t="s">
        <v>1692</v>
      </c>
    </row>
    <row r="34" spans="1:37">
      <c r="A34" s="2" t="s">
        <v>1375</v>
      </c>
      <c r="B34" s="20">
        <v>45111</v>
      </c>
      <c r="C34" s="2" t="s">
        <v>487</v>
      </c>
      <c r="D34" s="6">
        <v>3</v>
      </c>
      <c r="E34" s="6">
        <v>98</v>
      </c>
      <c r="F34" s="6">
        <v>9</v>
      </c>
      <c r="G34" s="6" t="s">
        <v>256</v>
      </c>
      <c r="H34" s="6" t="s">
        <v>256</v>
      </c>
      <c r="I34" s="24" t="s">
        <v>5</v>
      </c>
      <c r="J34" s="24" t="s">
        <v>253</v>
      </c>
      <c r="K34" s="6">
        <v>300</v>
      </c>
      <c r="L34" s="6">
        <v>4</v>
      </c>
      <c r="M34" s="6">
        <v>14</v>
      </c>
      <c r="N34" s="6" t="s">
        <v>493</v>
      </c>
      <c r="O34" s="6" t="s">
        <v>493</v>
      </c>
      <c r="P34" s="6" t="s">
        <v>493</v>
      </c>
      <c r="Q34" s="6" t="s">
        <v>493</v>
      </c>
      <c r="R34" s="8">
        <v>4.5599999999999996</v>
      </c>
      <c r="S34" s="20">
        <v>45111</v>
      </c>
      <c r="T34" s="20">
        <v>45112</v>
      </c>
      <c r="U34" s="10">
        <v>1</v>
      </c>
      <c r="V34" s="3">
        <v>1.42</v>
      </c>
      <c r="W34" s="3" t="s">
        <v>256</v>
      </c>
      <c r="X34" t="s">
        <v>35</v>
      </c>
      <c r="Y34" s="7">
        <v>1</v>
      </c>
      <c r="Z34" s="11" t="s">
        <v>92</v>
      </c>
      <c r="AA34" s="36">
        <v>45432</v>
      </c>
      <c r="AB34" s="36">
        <v>45436</v>
      </c>
      <c r="AC34" s="29">
        <v>27.608043666344965</v>
      </c>
      <c r="AD34" s="7">
        <v>1</v>
      </c>
      <c r="AE34" s="26" t="s">
        <v>155</v>
      </c>
      <c r="AF34" s="26" t="s">
        <v>184</v>
      </c>
      <c r="AG34" s="26" t="s">
        <v>43</v>
      </c>
      <c r="AH34" s="26" t="s">
        <v>213</v>
      </c>
      <c r="AI34" s="7">
        <v>5</v>
      </c>
      <c r="AJ34" t="s">
        <v>1493</v>
      </c>
      <c r="AK34" t="s">
        <v>1692</v>
      </c>
    </row>
    <row r="35" spans="1:37">
      <c r="A35" s="2" t="s">
        <v>1376</v>
      </c>
      <c r="B35" s="20">
        <v>45111</v>
      </c>
      <c r="C35" s="2" t="s">
        <v>487</v>
      </c>
      <c r="D35" s="6">
        <v>3</v>
      </c>
      <c r="E35" s="6">
        <v>100</v>
      </c>
      <c r="F35" s="6">
        <v>9</v>
      </c>
      <c r="G35" s="6" t="s">
        <v>256</v>
      </c>
      <c r="H35" s="6" t="s">
        <v>256</v>
      </c>
      <c r="I35" s="24" t="s">
        <v>5</v>
      </c>
      <c r="J35" s="24" t="s">
        <v>40</v>
      </c>
      <c r="K35" s="6">
        <v>300</v>
      </c>
      <c r="L35" s="6">
        <v>4</v>
      </c>
      <c r="M35" s="6">
        <v>16</v>
      </c>
      <c r="N35" s="6" t="s">
        <v>493</v>
      </c>
      <c r="O35" s="6" t="s">
        <v>493</v>
      </c>
      <c r="P35" s="6" t="s">
        <v>493</v>
      </c>
      <c r="Q35" s="6" t="s">
        <v>493</v>
      </c>
      <c r="R35" s="8">
        <v>1.62</v>
      </c>
      <c r="S35" s="20">
        <v>45111</v>
      </c>
      <c r="T35" s="20">
        <v>45112</v>
      </c>
      <c r="U35" s="10">
        <v>1</v>
      </c>
      <c r="V35" s="3">
        <v>0.25</v>
      </c>
      <c r="W35" s="3" t="s">
        <v>256</v>
      </c>
      <c r="X35" t="s">
        <v>35</v>
      </c>
      <c r="Y35" s="7">
        <v>1</v>
      </c>
      <c r="Z35" s="11" t="s">
        <v>99</v>
      </c>
      <c r="AA35" s="36">
        <v>45432</v>
      </c>
      <c r="AB35" s="36">
        <v>45436</v>
      </c>
      <c r="AC35" s="29">
        <v>20.177183311126136</v>
      </c>
      <c r="AD35" s="7">
        <v>1</v>
      </c>
      <c r="AE35" s="26" t="s">
        <v>156</v>
      </c>
      <c r="AF35" s="26" t="s">
        <v>185</v>
      </c>
      <c r="AG35" s="26" t="s">
        <v>43</v>
      </c>
      <c r="AH35" s="26" t="s">
        <v>213</v>
      </c>
      <c r="AI35" s="7">
        <v>17</v>
      </c>
      <c r="AJ35" t="s">
        <v>1494</v>
      </c>
      <c r="AK35" t="s">
        <v>1692</v>
      </c>
    </row>
    <row r="36" spans="1:37">
      <c r="A36" s="2" t="s">
        <v>1377</v>
      </c>
      <c r="B36" s="20">
        <v>45111</v>
      </c>
      <c r="C36" s="2" t="s">
        <v>487</v>
      </c>
      <c r="D36" s="6">
        <v>3</v>
      </c>
      <c r="E36" s="6">
        <v>104</v>
      </c>
      <c r="F36" s="6">
        <v>9</v>
      </c>
      <c r="G36" s="6" t="s">
        <v>256</v>
      </c>
      <c r="H36" s="6" t="s">
        <v>256</v>
      </c>
      <c r="I36" s="24" t="s">
        <v>5</v>
      </c>
      <c r="J36" s="24" t="s">
        <v>254</v>
      </c>
      <c r="K36" s="6">
        <v>300</v>
      </c>
      <c r="L36" s="6">
        <v>4</v>
      </c>
      <c r="M36" s="6">
        <v>20</v>
      </c>
      <c r="N36" s="6" t="s">
        <v>493</v>
      </c>
      <c r="O36" s="6" t="s">
        <v>493</v>
      </c>
      <c r="P36" s="6" t="s">
        <v>493</v>
      </c>
      <c r="Q36" s="6" t="s">
        <v>493</v>
      </c>
      <c r="R36" s="8">
        <v>2.35</v>
      </c>
      <c r="S36" s="20">
        <v>45111</v>
      </c>
      <c r="T36" s="20">
        <v>45112</v>
      </c>
      <c r="U36" s="10">
        <v>1</v>
      </c>
      <c r="V36" s="3">
        <v>0.57999999999999996</v>
      </c>
      <c r="W36" s="3" t="s">
        <v>256</v>
      </c>
      <c r="X36" t="s">
        <v>35</v>
      </c>
      <c r="Y36" s="7">
        <v>1</v>
      </c>
      <c r="Z36" s="11" t="s">
        <v>100</v>
      </c>
      <c r="AA36" s="36">
        <v>45432</v>
      </c>
      <c r="AB36" s="36">
        <v>45436</v>
      </c>
      <c r="AC36" s="29">
        <v>19.16950878790335</v>
      </c>
      <c r="AD36" s="7">
        <v>1</v>
      </c>
      <c r="AE36" s="26" t="s">
        <v>157</v>
      </c>
      <c r="AF36" s="26" t="s">
        <v>186</v>
      </c>
      <c r="AG36" s="26" t="s">
        <v>43</v>
      </c>
      <c r="AH36" s="26" t="s">
        <v>213</v>
      </c>
      <c r="AI36" s="7">
        <v>29</v>
      </c>
      <c r="AJ36" t="s">
        <v>1495</v>
      </c>
      <c r="AK36" t="s">
        <v>1692</v>
      </c>
    </row>
    <row r="37" spans="1:37">
      <c r="A37" s="2" t="s">
        <v>1378</v>
      </c>
      <c r="B37" s="20">
        <v>45111</v>
      </c>
      <c r="C37" s="2" t="s">
        <v>487</v>
      </c>
      <c r="D37" s="6">
        <v>3</v>
      </c>
      <c r="E37" s="6">
        <v>107</v>
      </c>
      <c r="F37" s="6">
        <v>9</v>
      </c>
      <c r="G37" s="6" t="s">
        <v>256</v>
      </c>
      <c r="H37" s="6" t="s">
        <v>256</v>
      </c>
      <c r="I37" s="24" t="s">
        <v>5</v>
      </c>
      <c r="J37" s="24" t="s">
        <v>255</v>
      </c>
      <c r="K37" s="6">
        <v>300</v>
      </c>
      <c r="L37" s="6">
        <v>4</v>
      </c>
      <c r="M37" s="6">
        <v>23</v>
      </c>
      <c r="N37" s="6" t="s">
        <v>493</v>
      </c>
      <c r="O37" s="6" t="s">
        <v>493</v>
      </c>
      <c r="P37" s="6" t="s">
        <v>493</v>
      </c>
      <c r="Q37" s="6" t="s">
        <v>493</v>
      </c>
      <c r="R37" s="8">
        <v>2.25</v>
      </c>
      <c r="S37" s="20">
        <v>45111</v>
      </c>
      <c r="T37" s="20">
        <v>45112</v>
      </c>
      <c r="U37" s="10">
        <v>1</v>
      </c>
      <c r="V37" s="3">
        <v>0.82</v>
      </c>
      <c r="W37" s="3" t="s">
        <v>256</v>
      </c>
      <c r="X37" t="s">
        <v>35</v>
      </c>
      <c r="Y37" s="7">
        <v>1</v>
      </c>
      <c r="Z37" s="11" t="s">
        <v>141</v>
      </c>
      <c r="AA37" s="36">
        <v>45432</v>
      </c>
      <c r="AB37" s="36">
        <v>45436</v>
      </c>
      <c r="AC37" s="29">
        <v>18.833217297565746</v>
      </c>
      <c r="AD37" s="7">
        <v>1</v>
      </c>
      <c r="AE37" s="26" t="s">
        <v>158</v>
      </c>
      <c r="AF37" s="26" t="s">
        <v>187</v>
      </c>
      <c r="AG37" s="26" t="s">
        <v>43</v>
      </c>
      <c r="AH37" s="26" t="s">
        <v>213</v>
      </c>
      <c r="AI37" s="7">
        <v>41</v>
      </c>
      <c r="AJ37" t="s">
        <v>1496</v>
      </c>
      <c r="AK37" t="s">
        <v>1692</v>
      </c>
    </row>
    <row r="38" spans="1:37">
      <c r="A38" s="2" t="s">
        <v>1379</v>
      </c>
      <c r="B38" s="20">
        <v>45118</v>
      </c>
      <c r="C38" s="2" t="s">
        <v>487</v>
      </c>
      <c r="D38" s="6">
        <v>1</v>
      </c>
      <c r="E38" s="6">
        <v>3</v>
      </c>
      <c r="F38" s="6">
        <v>1</v>
      </c>
      <c r="G38" s="6" t="s">
        <v>256</v>
      </c>
      <c r="H38" s="6" t="s">
        <v>256</v>
      </c>
      <c r="I38" s="24" t="s">
        <v>5</v>
      </c>
      <c r="J38" s="24" t="s">
        <v>40</v>
      </c>
      <c r="K38" s="6">
        <v>300</v>
      </c>
      <c r="L38" s="6">
        <v>6</v>
      </c>
      <c r="M38" s="6">
        <v>3</v>
      </c>
      <c r="N38" s="6" t="s">
        <v>493</v>
      </c>
      <c r="O38" s="6" t="s">
        <v>493</v>
      </c>
      <c r="P38" s="6" t="s">
        <v>493</v>
      </c>
      <c r="Q38" s="6" t="s">
        <v>493</v>
      </c>
      <c r="R38" s="8">
        <v>2.0499999999999998</v>
      </c>
      <c r="S38" s="20">
        <v>45118</v>
      </c>
      <c r="T38" s="20">
        <v>45119</v>
      </c>
      <c r="U38" s="10">
        <v>1</v>
      </c>
      <c r="V38" s="3">
        <v>0.4</v>
      </c>
      <c r="W38" s="3" t="s">
        <v>256</v>
      </c>
      <c r="X38" t="s">
        <v>35</v>
      </c>
      <c r="Y38" s="7">
        <v>1</v>
      </c>
      <c r="Z38" s="11" t="s">
        <v>101</v>
      </c>
      <c r="AA38" s="36">
        <v>45432</v>
      </c>
      <c r="AB38" s="36">
        <v>45436</v>
      </c>
      <c r="AC38" s="29">
        <v>19.900485146238125</v>
      </c>
      <c r="AD38" s="7">
        <v>1</v>
      </c>
      <c r="AE38" s="26" t="s">
        <v>159</v>
      </c>
      <c r="AF38" s="26" t="s">
        <v>188</v>
      </c>
      <c r="AG38" s="26" t="s">
        <v>43</v>
      </c>
      <c r="AH38" s="26" t="s">
        <v>213</v>
      </c>
      <c r="AI38" s="7">
        <v>53</v>
      </c>
      <c r="AJ38" t="s">
        <v>1497</v>
      </c>
      <c r="AK38" t="s">
        <v>1692</v>
      </c>
    </row>
    <row r="39" spans="1:37">
      <c r="A39" s="2" t="s">
        <v>1380</v>
      </c>
      <c r="B39" s="20">
        <v>45118</v>
      </c>
      <c r="C39" s="2" t="s">
        <v>487</v>
      </c>
      <c r="D39" s="6">
        <v>1</v>
      </c>
      <c r="E39" s="6">
        <v>5</v>
      </c>
      <c r="F39" s="6">
        <v>1</v>
      </c>
      <c r="G39" s="6" t="s">
        <v>256</v>
      </c>
      <c r="H39" s="6" t="s">
        <v>256</v>
      </c>
      <c r="I39" s="24" t="s">
        <v>5</v>
      </c>
      <c r="J39" s="24" t="s">
        <v>255</v>
      </c>
      <c r="K39" s="6">
        <v>300</v>
      </c>
      <c r="L39" s="6">
        <v>6</v>
      </c>
      <c r="M39" s="6">
        <v>5</v>
      </c>
      <c r="N39" s="6" t="s">
        <v>493</v>
      </c>
      <c r="O39" s="6" t="s">
        <v>493</v>
      </c>
      <c r="P39" s="6" t="s">
        <v>493</v>
      </c>
      <c r="Q39" s="6" t="s">
        <v>493</v>
      </c>
      <c r="R39" s="8">
        <v>4.09</v>
      </c>
      <c r="S39" s="20">
        <v>45118</v>
      </c>
      <c r="T39" s="20">
        <v>45119</v>
      </c>
      <c r="U39" s="10">
        <v>1</v>
      </c>
      <c r="V39" s="3">
        <v>1.98</v>
      </c>
      <c r="W39" s="3" t="s">
        <v>256</v>
      </c>
      <c r="X39" t="s">
        <v>35</v>
      </c>
      <c r="Y39" s="7">
        <v>1</v>
      </c>
      <c r="Z39" s="11" t="s">
        <v>93</v>
      </c>
      <c r="AA39" s="36">
        <v>45432</v>
      </c>
      <c r="AB39" s="36">
        <v>45436</v>
      </c>
      <c r="AC39" s="29">
        <v>20.601230166883351</v>
      </c>
      <c r="AD39" s="7">
        <v>1</v>
      </c>
      <c r="AE39" s="26" t="s">
        <v>160</v>
      </c>
      <c r="AF39" s="26" t="s">
        <v>189</v>
      </c>
      <c r="AG39" s="26" t="s">
        <v>43</v>
      </c>
      <c r="AH39" s="26" t="s">
        <v>213</v>
      </c>
      <c r="AI39" s="7">
        <v>65</v>
      </c>
      <c r="AJ39" t="s">
        <v>1498</v>
      </c>
      <c r="AK39" t="s">
        <v>1692</v>
      </c>
    </row>
    <row r="40" spans="1:37">
      <c r="A40" s="2" t="s">
        <v>1381</v>
      </c>
      <c r="B40" s="20">
        <v>45118</v>
      </c>
      <c r="C40" s="2" t="s">
        <v>487</v>
      </c>
      <c r="D40" s="6">
        <v>1</v>
      </c>
      <c r="E40" s="6">
        <v>9</v>
      </c>
      <c r="F40" s="6">
        <v>1</v>
      </c>
      <c r="G40" s="6" t="s">
        <v>256</v>
      </c>
      <c r="H40" s="6" t="s">
        <v>256</v>
      </c>
      <c r="I40" s="24" t="s">
        <v>5</v>
      </c>
      <c r="J40" s="24" t="s">
        <v>254</v>
      </c>
      <c r="K40" s="6">
        <v>300</v>
      </c>
      <c r="L40" s="6">
        <v>6</v>
      </c>
      <c r="M40" s="6">
        <v>9</v>
      </c>
      <c r="N40" s="6" t="s">
        <v>493</v>
      </c>
      <c r="O40" s="6" t="s">
        <v>493</v>
      </c>
      <c r="P40" s="6" t="s">
        <v>493</v>
      </c>
      <c r="Q40" s="6" t="s">
        <v>493</v>
      </c>
      <c r="R40" s="8">
        <v>3.79</v>
      </c>
      <c r="S40" s="20">
        <v>45118</v>
      </c>
      <c r="T40" s="20">
        <v>45119</v>
      </c>
      <c r="U40" s="10">
        <v>1</v>
      </c>
      <c r="V40" s="3">
        <v>1.85</v>
      </c>
      <c r="W40" s="3" t="s">
        <v>256</v>
      </c>
      <c r="X40" t="s">
        <v>35</v>
      </c>
      <c r="Y40" s="7">
        <v>1</v>
      </c>
      <c r="Z40" s="11" t="s">
        <v>104</v>
      </c>
      <c r="AA40" s="36">
        <v>45432</v>
      </c>
      <c r="AB40" s="36">
        <v>45436</v>
      </c>
      <c r="AC40" s="29">
        <v>16.063541888340694</v>
      </c>
      <c r="AD40" s="7">
        <v>1</v>
      </c>
      <c r="AE40" s="26" t="s">
        <v>42</v>
      </c>
      <c r="AF40" s="26" t="s">
        <v>190</v>
      </c>
      <c r="AG40" s="26" t="s">
        <v>43</v>
      </c>
      <c r="AH40" s="26" t="s">
        <v>213</v>
      </c>
      <c r="AI40" s="7">
        <v>77</v>
      </c>
      <c r="AJ40" t="s">
        <v>1499</v>
      </c>
      <c r="AK40" t="s">
        <v>1692</v>
      </c>
    </row>
    <row r="41" spans="1:37">
      <c r="A41" s="2" t="s">
        <v>1382</v>
      </c>
      <c r="B41" s="20">
        <v>45118</v>
      </c>
      <c r="C41" s="2" t="s">
        <v>487</v>
      </c>
      <c r="D41" s="6">
        <v>1</v>
      </c>
      <c r="E41" s="6">
        <v>10</v>
      </c>
      <c r="F41" s="6">
        <v>1</v>
      </c>
      <c r="G41" s="6" t="s">
        <v>256</v>
      </c>
      <c r="H41" s="6" t="s">
        <v>256</v>
      </c>
      <c r="I41" s="24" t="s">
        <v>5</v>
      </c>
      <c r="J41" s="24" t="s">
        <v>253</v>
      </c>
      <c r="K41" s="6">
        <v>300</v>
      </c>
      <c r="L41" s="6">
        <v>6</v>
      </c>
      <c r="M41" s="6">
        <v>10</v>
      </c>
      <c r="N41" s="6" t="s">
        <v>493</v>
      </c>
      <c r="O41" s="6" t="s">
        <v>493</v>
      </c>
      <c r="P41" s="6" t="s">
        <v>493</v>
      </c>
      <c r="Q41" s="6" t="s">
        <v>493</v>
      </c>
      <c r="R41" s="8">
        <v>3.64</v>
      </c>
      <c r="S41" s="20">
        <v>45118</v>
      </c>
      <c r="T41" s="20">
        <v>45119</v>
      </c>
      <c r="U41" s="10">
        <v>1</v>
      </c>
      <c r="V41" s="3">
        <v>3.03</v>
      </c>
      <c r="W41" s="3" t="s">
        <v>256</v>
      </c>
      <c r="X41" t="s">
        <v>35</v>
      </c>
      <c r="Y41" s="7">
        <v>1</v>
      </c>
      <c r="Z41" s="11" t="s">
        <v>243</v>
      </c>
      <c r="AA41" s="36">
        <v>45432</v>
      </c>
      <c r="AB41" s="36">
        <v>45436</v>
      </c>
      <c r="AC41" s="29">
        <v>21.181417167726497</v>
      </c>
      <c r="AD41" s="7">
        <v>1</v>
      </c>
      <c r="AE41" s="26" t="s">
        <v>162</v>
      </c>
      <c r="AF41" s="26" t="s">
        <v>192</v>
      </c>
      <c r="AG41" s="26" t="s">
        <v>43</v>
      </c>
      <c r="AH41" s="26" t="s">
        <v>213</v>
      </c>
      <c r="AI41" s="7">
        <v>89</v>
      </c>
      <c r="AJ41" t="s">
        <v>1500</v>
      </c>
      <c r="AK41" t="s">
        <v>1692</v>
      </c>
    </row>
    <row r="42" spans="1:37">
      <c r="A42" s="2" t="s">
        <v>1383</v>
      </c>
      <c r="B42" s="20">
        <v>45118</v>
      </c>
      <c r="C42" s="2" t="s">
        <v>487</v>
      </c>
      <c r="D42" s="6">
        <v>1</v>
      </c>
      <c r="E42" s="6">
        <v>17</v>
      </c>
      <c r="F42" s="6">
        <v>2</v>
      </c>
      <c r="G42" s="6" t="s">
        <v>256</v>
      </c>
      <c r="H42" s="6" t="s">
        <v>256</v>
      </c>
      <c r="I42" s="24" t="s">
        <v>4</v>
      </c>
      <c r="J42" s="24" t="s">
        <v>253</v>
      </c>
      <c r="K42" s="6">
        <v>300</v>
      </c>
      <c r="L42" s="6">
        <v>5</v>
      </c>
      <c r="M42" s="6">
        <v>5</v>
      </c>
      <c r="N42" s="6" t="s">
        <v>493</v>
      </c>
      <c r="O42" s="6" t="s">
        <v>493</v>
      </c>
      <c r="P42" s="6" t="s">
        <v>493</v>
      </c>
      <c r="Q42" s="6" t="s">
        <v>493</v>
      </c>
      <c r="R42" s="8">
        <v>2.63</v>
      </c>
      <c r="S42" s="20">
        <v>45118</v>
      </c>
      <c r="T42" s="20">
        <v>45119</v>
      </c>
      <c r="U42" s="10">
        <v>1</v>
      </c>
      <c r="V42" s="3">
        <v>0.84</v>
      </c>
      <c r="W42" s="3" t="s">
        <v>256</v>
      </c>
      <c r="X42" t="s">
        <v>35</v>
      </c>
      <c r="Y42" s="7">
        <v>1</v>
      </c>
      <c r="Z42" s="11" t="s">
        <v>95</v>
      </c>
      <c r="AA42" s="36">
        <v>45432</v>
      </c>
      <c r="AB42" s="36">
        <v>45436</v>
      </c>
      <c r="AC42" s="29">
        <v>23.116369712240274</v>
      </c>
      <c r="AD42" s="7">
        <v>1</v>
      </c>
      <c r="AE42" s="26" t="s">
        <v>155</v>
      </c>
      <c r="AF42" s="26" t="s">
        <v>184</v>
      </c>
      <c r="AG42" s="26" t="s">
        <v>168</v>
      </c>
      <c r="AH42" s="26" t="s">
        <v>216</v>
      </c>
      <c r="AI42" s="7">
        <v>6</v>
      </c>
      <c r="AJ42" t="s">
        <v>1501</v>
      </c>
      <c r="AK42" t="s">
        <v>1692</v>
      </c>
    </row>
    <row r="43" spans="1:37">
      <c r="A43" s="2" t="s">
        <v>1384</v>
      </c>
      <c r="B43" s="20">
        <v>45118</v>
      </c>
      <c r="C43" s="2" t="s">
        <v>487</v>
      </c>
      <c r="D43" s="6">
        <v>1</v>
      </c>
      <c r="E43" s="6">
        <v>18</v>
      </c>
      <c r="F43" s="6">
        <v>2</v>
      </c>
      <c r="G43" s="6" t="s">
        <v>256</v>
      </c>
      <c r="H43" s="6" t="s">
        <v>256</v>
      </c>
      <c r="I43" s="24" t="s">
        <v>4</v>
      </c>
      <c r="J43" s="24" t="s">
        <v>40</v>
      </c>
      <c r="K43" s="6">
        <v>300</v>
      </c>
      <c r="L43" s="6">
        <v>5</v>
      </c>
      <c r="M43" s="6">
        <v>6</v>
      </c>
      <c r="N43" s="6" t="s">
        <v>493</v>
      </c>
      <c r="O43" s="6" t="s">
        <v>493</v>
      </c>
      <c r="P43" s="6" t="s">
        <v>493</v>
      </c>
      <c r="Q43" s="6" t="s">
        <v>493</v>
      </c>
      <c r="R43" s="8">
        <v>2.09</v>
      </c>
      <c r="S43" s="20">
        <v>45118</v>
      </c>
      <c r="T43" s="20">
        <v>45119</v>
      </c>
      <c r="U43" s="10">
        <v>1</v>
      </c>
      <c r="V43" s="3">
        <v>1.87</v>
      </c>
      <c r="W43" s="3" t="s">
        <v>256</v>
      </c>
      <c r="X43" t="s">
        <v>35</v>
      </c>
      <c r="Y43" s="7">
        <v>1</v>
      </c>
      <c r="Z43" s="11" t="s">
        <v>106</v>
      </c>
      <c r="AA43" s="36">
        <v>45432</v>
      </c>
      <c r="AB43" s="36">
        <v>45436</v>
      </c>
      <c r="AC43" s="29">
        <v>19.558181672585185</v>
      </c>
      <c r="AD43" s="7">
        <v>1</v>
      </c>
      <c r="AE43" s="26" t="s">
        <v>156</v>
      </c>
      <c r="AF43" s="26" t="s">
        <v>185</v>
      </c>
      <c r="AG43" s="26" t="s">
        <v>168</v>
      </c>
      <c r="AH43" s="26" t="s">
        <v>216</v>
      </c>
      <c r="AI43" s="7">
        <v>18</v>
      </c>
      <c r="AJ43" t="s">
        <v>1502</v>
      </c>
      <c r="AK43" t="s">
        <v>1692</v>
      </c>
    </row>
    <row r="44" spans="1:37">
      <c r="A44" s="2" t="s">
        <v>1385</v>
      </c>
      <c r="B44" s="20">
        <v>45118</v>
      </c>
      <c r="C44" s="2" t="s">
        <v>487</v>
      </c>
      <c r="D44" s="6">
        <v>1</v>
      </c>
      <c r="E44" s="6">
        <v>22</v>
      </c>
      <c r="F44" s="6">
        <v>2</v>
      </c>
      <c r="G44" s="6" t="s">
        <v>256</v>
      </c>
      <c r="H44" s="6" t="s">
        <v>256</v>
      </c>
      <c r="I44" s="24" t="s">
        <v>4</v>
      </c>
      <c r="J44" s="24" t="s">
        <v>254</v>
      </c>
      <c r="K44" s="6">
        <v>300</v>
      </c>
      <c r="L44" s="6">
        <v>5</v>
      </c>
      <c r="M44" s="6">
        <v>10</v>
      </c>
      <c r="N44" s="6" t="s">
        <v>493</v>
      </c>
      <c r="O44" s="6" t="s">
        <v>493</v>
      </c>
      <c r="P44" s="6" t="s">
        <v>493</v>
      </c>
      <c r="Q44" s="6" t="s">
        <v>493</v>
      </c>
      <c r="R44" s="8">
        <v>1.97</v>
      </c>
      <c r="S44" s="20">
        <v>45118</v>
      </c>
      <c r="T44" s="20">
        <v>45119</v>
      </c>
      <c r="U44" s="10">
        <v>1</v>
      </c>
      <c r="V44" s="3">
        <v>2.12</v>
      </c>
      <c r="W44" s="3" t="s">
        <v>256</v>
      </c>
      <c r="X44" t="s">
        <v>35</v>
      </c>
      <c r="Y44" s="7">
        <v>1</v>
      </c>
      <c r="Z44" s="11" t="s">
        <v>107</v>
      </c>
      <c r="AA44" s="36">
        <v>45432</v>
      </c>
      <c r="AB44" s="36">
        <v>45436</v>
      </c>
      <c r="AC44" s="29">
        <v>20.00680296930754</v>
      </c>
      <c r="AD44" s="7">
        <v>1</v>
      </c>
      <c r="AE44" s="26" t="s">
        <v>157</v>
      </c>
      <c r="AF44" s="26" t="s">
        <v>186</v>
      </c>
      <c r="AG44" s="26" t="s">
        <v>168</v>
      </c>
      <c r="AH44" s="26" t="s">
        <v>216</v>
      </c>
      <c r="AI44" s="7">
        <v>30</v>
      </c>
      <c r="AJ44" t="s">
        <v>1503</v>
      </c>
      <c r="AK44" t="s">
        <v>1692</v>
      </c>
    </row>
    <row r="45" spans="1:37">
      <c r="A45" s="2" t="s">
        <v>1386</v>
      </c>
      <c r="B45" s="20">
        <v>45118</v>
      </c>
      <c r="C45" s="2" t="s">
        <v>487</v>
      </c>
      <c r="D45" s="6">
        <v>1</v>
      </c>
      <c r="E45" s="6">
        <v>24</v>
      </c>
      <c r="F45" s="6">
        <v>2</v>
      </c>
      <c r="G45" s="6" t="s">
        <v>256</v>
      </c>
      <c r="H45" s="6" t="s">
        <v>256</v>
      </c>
      <c r="I45" s="24" t="s">
        <v>4</v>
      </c>
      <c r="J45" s="24" t="s">
        <v>255</v>
      </c>
      <c r="K45" s="6">
        <v>300</v>
      </c>
      <c r="L45" s="6">
        <v>5</v>
      </c>
      <c r="M45" s="6">
        <v>12</v>
      </c>
      <c r="N45" s="6" t="s">
        <v>493</v>
      </c>
      <c r="O45" s="6" t="s">
        <v>493</v>
      </c>
      <c r="P45" s="6" t="s">
        <v>493</v>
      </c>
      <c r="Q45" s="6" t="s">
        <v>493</v>
      </c>
      <c r="R45" s="8">
        <v>2.86</v>
      </c>
      <c r="S45" s="20">
        <v>45118</v>
      </c>
      <c r="T45" s="20">
        <v>45119</v>
      </c>
      <c r="U45" s="10">
        <v>1</v>
      </c>
      <c r="V45" s="3">
        <v>0.76</v>
      </c>
      <c r="W45" s="3" t="s">
        <v>256</v>
      </c>
      <c r="X45" t="s">
        <v>35</v>
      </c>
      <c r="Y45" s="7">
        <v>1</v>
      </c>
      <c r="Z45" s="11" t="s">
        <v>97</v>
      </c>
      <c r="AA45" s="36">
        <v>45432</v>
      </c>
      <c r="AB45" s="36">
        <v>45436</v>
      </c>
      <c r="AC45" s="29">
        <v>18.801271748747585</v>
      </c>
      <c r="AD45" s="7">
        <v>1</v>
      </c>
      <c r="AE45" s="26" t="s">
        <v>158</v>
      </c>
      <c r="AF45" s="26" t="s">
        <v>187</v>
      </c>
      <c r="AG45" s="26" t="s">
        <v>168</v>
      </c>
      <c r="AH45" s="26" t="s">
        <v>216</v>
      </c>
      <c r="AI45" s="7">
        <v>42</v>
      </c>
      <c r="AJ45" t="s">
        <v>1504</v>
      </c>
      <c r="AK45" t="s">
        <v>1692</v>
      </c>
    </row>
    <row r="46" spans="1:37">
      <c r="A46" s="2" t="s">
        <v>1387</v>
      </c>
      <c r="B46" s="20">
        <v>45118</v>
      </c>
      <c r="C46" s="2" t="s">
        <v>487</v>
      </c>
      <c r="D46" s="6">
        <v>1</v>
      </c>
      <c r="E46" s="6">
        <v>25</v>
      </c>
      <c r="F46" s="6">
        <v>3</v>
      </c>
      <c r="G46" s="6" t="s">
        <v>256</v>
      </c>
      <c r="H46" s="6" t="s">
        <v>256</v>
      </c>
      <c r="I46" s="24" t="s">
        <v>6</v>
      </c>
      <c r="J46" s="24" t="s">
        <v>253</v>
      </c>
      <c r="K46" s="6">
        <v>300</v>
      </c>
      <c r="L46" s="6">
        <v>4</v>
      </c>
      <c r="M46" s="6">
        <v>1</v>
      </c>
      <c r="N46" s="6" t="s">
        <v>493</v>
      </c>
      <c r="O46" s="6" t="s">
        <v>493</v>
      </c>
      <c r="P46" s="6" t="s">
        <v>493</v>
      </c>
      <c r="Q46" s="6" t="s">
        <v>493</v>
      </c>
      <c r="R46" s="8">
        <v>1.37</v>
      </c>
      <c r="S46" s="20">
        <v>45118</v>
      </c>
      <c r="T46" s="20">
        <v>45119</v>
      </c>
      <c r="U46" s="10">
        <v>1</v>
      </c>
      <c r="V46" s="3">
        <v>0.24</v>
      </c>
      <c r="W46" s="3" t="s">
        <v>256</v>
      </c>
      <c r="X46" t="s">
        <v>35</v>
      </c>
      <c r="Y46" s="7">
        <v>1</v>
      </c>
      <c r="Z46" s="11" t="s">
        <v>98</v>
      </c>
      <c r="AA46" s="36">
        <v>45432</v>
      </c>
      <c r="AB46" s="36">
        <v>45436</v>
      </c>
      <c r="AC46" s="29">
        <v>19.006511798302981</v>
      </c>
      <c r="AD46" s="7">
        <v>1</v>
      </c>
      <c r="AE46" s="26" t="s">
        <v>159</v>
      </c>
      <c r="AF46" s="26" t="s">
        <v>188</v>
      </c>
      <c r="AG46" s="26" t="s">
        <v>168</v>
      </c>
      <c r="AH46" s="26" t="s">
        <v>216</v>
      </c>
      <c r="AI46" s="7">
        <v>54</v>
      </c>
      <c r="AJ46" t="s">
        <v>1505</v>
      </c>
      <c r="AK46" t="s">
        <v>1692</v>
      </c>
    </row>
    <row r="47" spans="1:37">
      <c r="A47" s="2" t="s">
        <v>1388</v>
      </c>
      <c r="B47" s="20">
        <v>45118</v>
      </c>
      <c r="C47" s="2" t="s">
        <v>487</v>
      </c>
      <c r="D47" s="6">
        <v>1</v>
      </c>
      <c r="E47" s="6">
        <v>26</v>
      </c>
      <c r="F47" s="6">
        <v>3</v>
      </c>
      <c r="G47" s="6" t="s">
        <v>256</v>
      </c>
      <c r="H47" s="6" t="s">
        <v>256</v>
      </c>
      <c r="I47" s="24" t="s">
        <v>6</v>
      </c>
      <c r="J47" s="24" t="s">
        <v>255</v>
      </c>
      <c r="K47" s="6">
        <v>300</v>
      </c>
      <c r="L47" s="6">
        <v>4</v>
      </c>
      <c r="M47" s="6">
        <v>2</v>
      </c>
      <c r="N47" s="6" t="s">
        <v>493</v>
      </c>
      <c r="O47" s="6" t="s">
        <v>493</v>
      </c>
      <c r="P47" s="6" t="s">
        <v>493</v>
      </c>
      <c r="Q47" s="6" t="s">
        <v>493</v>
      </c>
      <c r="R47" s="8">
        <v>2.6</v>
      </c>
      <c r="S47" s="20">
        <v>45118</v>
      </c>
      <c r="T47" s="20">
        <v>45119</v>
      </c>
      <c r="U47" s="10">
        <v>1</v>
      </c>
      <c r="V47" s="3">
        <v>0.35</v>
      </c>
      <c r="W47" s="3" t="s">
        <v>256</v>
      </c>
      <c r="X47" t="s">
        <v>35</v>
      </c>
      <c r="Y47" s="7">
        <v>1</v>
      </c>
      <c r="Z47" s="11" t="s">
        <v>109</v>
      </c>
      <c r="AA47" s="36">
        <v>45432</v>
      </c>
      <c r="AB47" s="36">
        <v>45436</v>
      </c>
      <c r="AC47" s="29">
        <v>21.142945372254417</v>
      </c>
      <c r="AD47" s="7">
        <v>1</v>
      </c>
      <c r="AE47" s="26" t="s">
        <v>160</v>
      </c>
      <c r="AF47" s="26" t="s">
        <v>189</v>
      </c>
      <c r="AG47" s="26" t="s">
        <v>168</v>
      </c>
      <c r="AH47" s="26" t="s">
        <v>216</v>
      </c>
      <c r="AI47" s="7">
        <v>66</v>
      </c>
      <c r="AJ47" t="s">
        <v>1506</v>
      </c>
      <c r="AK47" t="s">
        <v>1692</v>
      </c>
    </row>
    <row r="48" spans="1:37">
      <c r="A48" s="2" t="s">
        <v>1389</v>
      </c>
      <c r="B48" s="20">
        <v>45118</v>
      </c>
      <c r="C48" s="2" t="s">
        <v>487</v>
      </c>
      <c r="D48" s="6">
        <v>1</v>
      </c>
      <c r="E48" s="6">
        <v>28</v>
      </c>
      <c r="F48" s="6">
        <v>3</v>
      </c>
      <c r="G48" s="6" t="s">
        <v>256</v>
      </c>
      <c r="H48" s="6" t="s">
        <v>256</v>
      </c>
      <c r="I48" s="24" t="s">
        <v>6</v>
      </c>
      <c r="J48" s="24" t="s">
        <v>254</v>
      </c>
      <c r="K48" s="6">
        <v>300</v>
      </c>
      <c r="L48" s="6">
        <v>4</v>
      </c>
      <c r="M48" s="6">
        <v>4</v>
      </c>
      <c r="N48" s="6" t="s">
        <v>493</v>
      </c>
      <c r="O48" s="6" t="s">
        <v>493</v>
      </c>
      <c r="P48" s="6" t="s">
        <v>493</v>
      </c>
      <c r="Q48" s="6" t="s">
        <v>493</v>
      </c>
      <c r="R48" s="8">
        <v>1.77</v>
      </c>
      <c r="S48" s="20">
        <v>45118</v>
      </c>
      <c r="T48" s="20">
        <v>45119</v>
      </c>
      <c r="U48" s="10">
        <v>1</v>
      </c>
      <c r="V48" s="3">
        <v>0.21</v>
      </c>
      <c r="W48" s="3" t="s">
        <v>256</v>
      </c>
      <c r="X48" t="s">
        <v>35</v>
      </c>
      <c r="Y48" s="7">
        <v>1</v>
      </c>
      <c r="Z48" s="11" t="s">
        <v>110</v>
      </c>
      <c r="AA48" s="36">
        <v>45432</v>
      </c>
      <c r="AB48" s="36">
        <v>45436</v>
      </c>
      <c r="AC48" s="29">
        <v>17.371778844234779</v>
      </c>
      <c r="AD48" s="7">
        <v>1</v>
      </c>
      <c r="AE48" s="26" t="s">
        <v>45</v>
      </c>
      <c r="AF48" s="26" t="s">
        <v>190</v>
      </c>
      <c r="AG48" s="26" t="s">
        <v>168</v>
      </c>
      <c r="AH48" s="26" t="s">
        <v>216</v>
      </c>
      <c r="AI48" s="7">
        <v>78</v>
      </c>
      <c r="AJ48" t="s">
        <v>1507</v>
      </c>
      <c r="AK48" t="s">
        <v>1692</v>
      </c>
    </row>
    <row r="49" spans="1:37">
      <c r="A49" s="2" t="s">
        <v>1390</v>
      </c>
      <c r="B49" s="20">
        <v>45118</v>
      </c>
      <c r="C49" s="2" t="s">
        <v>487</v>
      </c>
      <c r="D49" s="6">
        <v>1</v>
      </c>
      <c r="E49" s="6">
        <v>35</v>
      </c>
      <c r="F49" s="6">
        <v>3</v>
      </c>
      <c r="G49" s="6" t="s">
        <v>256</v>
      </c>
      <c r="H49" s="6" t="s">
        <v>256</v>
      </c>
      <c r="I49" s="24" t="s">
        <v>6</v>
      </c>
      <c r="J49" s="24" t="s">
        <v>40</v>
      </c>
      <c r="K49" s="6">
        <v>300</v>
      </c>
      <c r="L49" s="6">
        <v>4</v>
      </c>
      <c r="M49" s="6">
        <v>11</v>
      </c>
      <c r="N49" s="6" t="s">
        <v>493</v>
      </c>
      <c r="O49" s="6" t="s">
        <v>493</v>
      </c>
      <c r="P49" s="6" t="s">
        <v>493</v>
      </c>
      <c r="Q49" s="6" t="s">
        <v>493</v>
      </c>
      <c r="R49" s="8">
        <v>0.97</v>
      </c>
      <c r="S49" s="20">
        <v>45118</v>
      </c>
      <c r="T49" s="20">
        <v>45119</v>
      </c>
      <c r="U49" s="10">
        <v>1</v>
      </c>
      <c r="V49" s="3">
        <v>0.13</v>
      </c>
      <c r="W49" s="3" t="s">
        <v>256</v>
      </c>
      <c r="X49" t="s">
        <v>35</v>
      </c>
      <c r="Y49" s="7">
        <v>1</v>
      </c>
      <c r="Z49" s="11" t="s">
        <v>150</v>
      </c>
      <c r="AA49" s="36">
        <v>45432</v>
      </c>
      <c r="AB49" s="36">
        <v>45436</v>
      </c>
      <c r="AC49" s="29">
        <v>16.19303829474195</v>
      </c>
      <c r="AD49" s="7">
        <v>1</v>
      </c>
      <c r="AE49" s="26" t="s">
        <v>162</v>
      </c>
      <c r="AF49" s="26" t="s">
        <v>192</v>
      </c>
      <c r="AG49" s="26" t="s">
        <v>168</v>
      </c>
      <c r="AH49" s="26" t="s">
        <v>216</v>
      </c>
      <c r="AI49" s="7">
        <v>90</v>
      </c>
      <c r="AJ49" t="s">
        <v>1508</v>
      </c>
      <c r="AK49" t="s">
        <v>1692</v>
      </c>
    </row>
    <row r="50" spans="1:37">
      <c r="A50" s="2" t="s">
        <v>1391</v>
      </c>
      <c r="B50" s="20">
        <v>45118</v>
      </c>
      <c r="C50" s="2" t="s">
        <v>487</v>
      </c>
      <c r="D50" s="6">
        <v>2</v>
      </c>
      <c r="E50" s="6">
        <v>37</v>
      </c>
      <c r="F50" s="6">
        <v>4</v>
      </c>
      <c r="G50" s="6" t="s">
        <v>256</v>
      </c>
      <c r="H50" s="6" t="s">
        <v>256</v>
      </c>
      <c r="I50" s="24" t="s">
        <v>4</v>
      </c>
      <c r="J50" s="24" t="s">
        <v>40</v>
      </c>
      <c r="K50" s="6">
        <v>300</v>
      </c>
      <c r="L50" s="6">
        <v>3</v>
      </c>
      <c r="M50" s="6">
        <v>1</v>
      </c>
      <c r="N50" s="6" t="s">
        <v>493</v>
      </c>
      <c r="O50" s="6" t="s">
        <v>493</v>
      </c>
      <c r="P50" s="6" t="s">
        <v>493</v>
      </c>
      <c r="Q50" s="6" t="s">
        <v>493</v>
      </c>
      <c r="R50" s="8">
        <v>1.25</v>
      </c>
      <c r="S50" s="20">
        <v>45118</v>
      </c>
      <c r="T50" s="20">
        <v>45119</v>
      </c>
      <c r="U50" s="10">
        <v>1</v>
      </c>
      <c r="V50" s="3">
        <v>3.33</v>
      </c>
      <c r="W50" s="3" t="s">
        <v>256</v>
      </c>
      <c r="X50" t="s">
        <v>35</v>
      </c>
      <c r="Y50" s="7">
        <v>1</v>
      </c>
      <c r="Z50" s="11" t="s">
        <v>103</v>
      </c>
      <c r="AA50" s="36">
        <v>45432</v>
      </c>
      <c r="AB50" s="36">
        <v>45436</v>
      </c>
      <c r="AC50" s="29">
        <v>17.277656408908904</v>
      </c>
      <c r="AD50" s="7">
        <v>1</v>
      </c>
      <c r="AE50" s="26" t="s">
        <v>155</v>
      </c>
      <c r="AF50" s="26" t="s">
        <v>184</v>
      </c>
      <c r="AG50" s="26" t="s">
        <v>169</v>
      </c>
      <c r="AH50" s="26" t="s">
        <v>217</v>
      </c>
      <c r="AI50" s="7">
        <v>7</v>
      </c>
      <c r="AJ50" t="s">
        <v>1509</v>
      </c>
      <c r="AK50" t="s">
        <v>1692</v>
      </c>
    </row>
    <row r="51" spans="1:37">
      <c r="A51" s="2" t="s">
        <v>1392</v>
      </c>
      <c r="B51" s="20">
        <v>45118</v>
      </c>
      <c r="C51" s="2" t="s">
        <v>487</v>
      </c>
      <c r="D51" s="6">
        <v>2</v>
      </c>
      <c r="E51" s="6">
        <v>38</v>
      </c>
      <c r="F51" s="6">
        <v>4</v>
      </c>
      <c r="G51" s="6" t="s">
        <v>256</v>
      </c>
      <c r="H51" s="6" t="s">
        <v>256</v>
      </c>
      <c r="I51" s="24" t="s">
        <v>4</v>
      </c>
      <c r="J51" s="24" t="s">
        <v>255</v>
      </c>
      <c r="K51" s="6">
        <v>300</v>
      </c>
      <c r="L51" s="6">
        <v>3</v>
      </c>
      <c r="M51" s="6">
        <v>2</v>
      </c>
      <c r="N51" s="6" t="s">
        <v>493</v>
      </c>
      <c r="O51" s="6" t="s">
        <v>493</v>
      </c>
      <c r="P51" s="6" t="s">
        <v>493</v>
      </c>
      <c r="Q51" s="6" t="s">
        <v>493</v>
      </c>
      <c r="R51" s="8">
        <v>3.07</v>
      </c>
      <c r="S51" s="20">
        <v>45118</v>
      </c>
      <c r="T51" s="20">
        <v>45119</v>
      </c>
      <c r="U51" s="10">
        <v>1</v>
      </c>
      <c r="V51" s="3">
        <v>7.34</v>
      </c>
      <c r="W51" s="3" t="s">
        <v>256</v>
      </c>
      <c r="X51" t="s">
        <v>35</v>
      </c>
      <c r="Y51" s="7">
        <v>1</v>
      </c>
      <c r="Z51" s="11" t="s">
        <v>112</v>
      </c>
      <c r="AA51" s="36">
        <v>45432</v>
      </c>
      <c r="AB51" s="36">
        <v>45436</v>
      </c>
      <c r="AC51" s="29">
        <v>19.319967547534464</v>
      </c>
      <c r="AD51" s="7">
        <v>1</v>
      </c>
      <c r="AE51" s="26" t="s">
        <v>156</v>
      </c>
      <c r="AF51" s="26" t="s">
        <v>185</v>
      </c>
      <c r="AG51" s="26" t="s">
        <v>169</v>
      </c>
      <c r="AH51" s="26" t="s">
        <v>217</v>
      </c>
      <c r="AI51" s="7">
        <v>19</v>
      </c>
      <c r="AJ51" t="s">
        <v>1510</v>
      </c>
      <c r="AK51" t="s">
        <v>1692</v>
      </c>
    </row>
    <row r="52" spans="1:37">
      <c r="A52" s="2" t="s">
        <v>1393</v>
      </c>
      <c r="B52" s="20">
        <v>45118</v>
      </c>
      <c r="C52" s="2" t="s">
        <v>487</v>
      </c>
      <c r="D52" s="6">
        <v>2</v>
      </c>
      <c r="E52" s="6">
        <v>41</v>
      </c>
      <c r="F52" s="6">
        <v>4</v>
      </c>
      <c r="G52" s="6" t="s">
        <v>256</v>
      </c>
      <c r="H52" s="6" t="s">
        <v>256</v>
      </c>
      <c r="I52" s="24" t="s">
        <v>4</v>
      </c>
      <c r="J52" s="24" t="s">
        <v>253</v>
      </c>
      <c r="K52" s="6">
        <v>300</v>
      </c>
      <c r="L52" s="6">
        <v>3</v>
      </c>
      <c r="M52" s="6">
        <v>5</v>
      </c>
      <c r="N52" s="6" t="s">
        <v>493</v>
      </c>
      <c r="O52" s="6" t="s">
        <v>493</v>
      </c>
      <c r="P52" s="6" t="s">
        <v>493</v>
      </c>
      <c r="Q52" s="6" t="s">
        <v>493</v>
      </c>
      <c r="R52" s="8">
        <v>1.94</v>
      </c>
      <c r="S52" s="20">
        <v>45118</v>
      </c>
      <c r="T52" s="20">
        <v>45119</v>
      </c>
      <c r="U52" s="10">
        <v>1</v>
      </c>
      <c r="V52" s="3">
        <v>1.95</v>
      </c>
      <c r="W52" s="3" t="s">
        <v>256</v>
      </c>
      <c r="X52" t="s">
        <v>35</v>
      </c>
      <c r="Y52" s="7">
        <v>1</v>
      </c>
      <c r="Z52" s="11" t="s">
        <v>151</v>
      </c>
      <c r="AA52" s="36">
        <v>45432</v>
      </c>
      <c r="AB52" s="36">
        <v>45436</v>
      </c>
      <c r="AC52" s="29">
        <v>20.449400038349353</v>
      </c>
      <c r="AD52" s="7">
        <v>1</v>
      </c>
      <c r="AE52" s="26" t="s">
        <v>157</v>
      </c>
      <c r="AF52" s="26" t="s">
        <v>186</v>
      </c>
      <c r="AG52" s="26" t="s">
        <v>169</v>
      </c>
      <c r="AH52" s="26" t="s">
        <v>217</v>
      </c>
      <c r="AI52" s="7">
        <v>31</v>
      </c>
      <c r="AJ52" t="s">
        <v>1511</v>
      </c>
      <c r="AK52" t="s">
        <v>1692</v>
      </c>
    </row>
    <row r="53" spans="1:37">
      <c r="A53" s="2" t="s">
        <v>1394</v>
      </c>
      <c r="B53" s="20">
        <v>45118</v>
      </c>
      <c r="C53" s="2" t="s">
        <v>487</v>
      </c>
      <c r="D53" s="6">
        <v>2</v>
      </c>
      <c r="E53" s="6">
        <v>44</v>
      </c>
      <c r="F53" s="6">
        <v>4</v>
      </c>
      <c r="G53" s="6" t="s">
        <v>256</v>
      </c>
      <c r="H53" s="6" t="s">
        <v>256</v>
      </c>
      <c r="I53" s="24" t="s">
        <v>4</v>
      </c>
      <c r="J53" s="24" t="s">
        <v>254</v>
      </c>
      <c r="K53" s="6">
        <v>300</v>
      </c>
      <c r="L53" s="6">
        <v>3</v>
      </c>
      <c r="M53" s="6">
        <v>8</v>
      </c>
      <c r="N53" s="6" t="s">
        <v>493</v>
      </c>
      <c r="O53" s="6" t="s">
        <v>493</v>
      </c>
      <c r="P53" s="6" t="s">
        <v>493</v>
      </c>
      <c r="Q53" s="6" t="s">
        <v>493</v>
      </c>
      <c r="R53" s="8">
        <v>2.0699999999999998</v>
      </c>
      <c r="S53" s="20">
        <v>45118</v>
      </c>
      <c r="T53" s="20">
        <v>45119</v>
      </c>
      <c r="U53" s="10">
        <v>1</v>
      </c>
      <c r="V53" s="3">
        <v>0.8</v>
      </c>
      <c r="W53" s="3" t="s">
        <v>256</v>
      </c>
      <c r="X53" t="s">
        <v>35</v>
      </c>
      <c r="Y53" s="7">
        <v>1</v>
      </c>
      <c r="Z53" s="11" t="s">
        <v>152</v>
      </c>
      <c r="AA53" s="36">
        <v>45432</v>
      </c>
      <c r="AB53" s="36">
        <v>45436</v>
      </c>
      <c r="AC53" s="29">
        <v>19.755352685470911</v>
      </c>
      <c r="AD53" s="7">
        <v>1</v>
      </c>
      <c r="AE53" s="26" t="s">
        <v>158</v>
      </c>
      <c r="AF53" s="26" t="s">
        <v>187</v>
      </c>
      <c r="AG53" s="26" t="s">
        <v>169</v>
      </c>
      <c r="AH53" s="26" t="s">
        <v>217</v>
      </c>
      <c r="AI53" s="7">
        <v>43</v>
      </c>
      <c r="AJ53" t="s">
        <v>1512</v>
      </c>
      <c r="AK53" t="s">
        <v>1692</v>
      </c>
    </row>
    <row r="54" spans="1:37">
      <c r="A54" s="2" t="s">
        <v>1395</v>
      </c>
      <c r="B54" s="20">
        <v>45118</v>
      </c>
      <c r="C54" s="2" t="s">
        <v>487</v>
      </c>
      <c r="D54" s="6">
        <v>2</v>
      </c>
      <c r="E54" s="6">
        <v>51</v>
      </c>
      <c r="F54" s="6">
        <v>5</v>
      </c>
      <c r="G54" s="6" t="s">
        <v>256</v>
      </c>
      <c r="H54" s="6" t="s">
        <v>256</v>
      </c>
      <c r="I54" s="24" t="s">
        <v>6</v>
      </c>
      <c r="J54" s="24" t="s">
        <v>40</v>
      </c>
      <c r="K54" s="6">
        <v>300</v>
      </c>
      <c r="L54" s="6">
        <v>2</v>
      </c>
      <c r="M54" s="6">
        <v>3</v>
      </c>
      <c r="N54" s="6" t="s">
        <v>493</v>
      </c>
      <c r="O54" s="6" t="s">
        <v>493</v>
      </c>
      <c r="P54" s="6" t="s">
        <v>493</v>
      </c>
      <c r="Q54" s="6" t="s">
        <v>493</v>
      </c>
      <c r="R54" s="8">
        <v>1.42</v>
      </c>
      <c r="S54" s="20">
        <v>45118</v>
      </c>
      <c r="T54" s="20">
        <v>45119</v>
      </c>
      <c r="U54" s="10">
        <v>1</v>
      </c>
      <c r="V54" s="3">
        <v>0.14000000000000001</v>
      </c>
      <c r="W54" s="3" t="s">
        <v>256</v>
      </c>
      <c r="X54" t="s">
        <v>35</v>
      </c>
      <c r="Y54" s="7">
        <v>1</v>
      </c>
      <c r="Z54" s="11" t="s">
        <v>105</v>
      </c>
      <c r="AA54" s="36">
        <v>45432</v>
      </c>
      <c r="AB54" s="36">
        <v>45436</v>
      </c>
      <c r="AC54" s="29">
        <v>19.697302150037064</v>
      </c>
      <c r="AD54" s="7">
        <v>1</v>
      </c>
      <c r="AE54" s="26" t="s">
        <v>159</v>
      </c>
      <c r="AF54" s="26" t="s">
        <v>188</v>
      </c>
      <c r="AG54" s="26" t="s">
        <v>169</v>
      </c>
      <c r="AH54" s="26" t="s">
        <v>217</v>
      </c>
      <c r="AI54" s="7">
        <v>55</v>
      </c>
      <c r="AJ54" t="s">
        <v>1513</v>
      </c>
      <c r="AK54" t="s">
        <v>1692</v>
      </c>
    </row>
    <row r="55" spans="1:37">
      <c r="A55" s="2" t="s">
        <v>1396</v>
      </c>
      <c r="B55" s="20">
        <v>45118</v>
      </c>
      <c r="C55" s="2" t="s">
        <v>487</v>
      </c>
      <c r="D55" s="6">
        <v>2</v>
      </c>
      <c r="E55" s="6">
        <v>53</v>
      </c>
      <c r="F55" s="6">
        <v>5</v>
      </c>
      <c r="G55" s="6" t="s">
        <v>256</v>
      </c>
      <c r="H55" s="6" t="s">
        <v>256</v>
      </c>
      <c r="I55" s="24" t="s">
        <v>6</v>
      </c>
      <c r="J55" s="24" t="s">
        <v>255</v>
      </c>
      <c r="K55" s="6">
        <v>300</v>
      </c>
      <c r="L55" s="6">
        <v>2</v>
      </c>
      <c r="M55" s="6">
        <v>5</v>
      </c>
      <c r="N55" s="6" t="s">
        <v>493</v>
      </c>
      <c r="O55" s="6" t="s">
        <v>493</v>
      </c>
      <c r="P55" s="6" t="s">
        <v>493</v>
      </c>
      <c r="Q55" s="6" t="s">
        <v>493</v>
      </c>
      <c r="R55" s="8">
        <v>2.82</v>
      </c>
      <c r="S55" s="20">
        <v>45118</v>
      </c>
      <c r="T55" s="20">
        <v>45119</v>
      </c>
      <c r="U55" s="10">
        <v>1</v>
      </c>
      <c r="V55" s="3">
        <v>0.47</v>
      </c>
      <c r="W55" s="3" t="s">
        <v>256</v>
      </c>
      <c r="X55" t="s">
        <v>35</v>
      </c>
      <c r="Y55" s="7">
        <v>1</v>
      </c>
      <c r="Z55" s="11" t="s">
        <v>116</v>
      </c>
      <c r="AA55" s="36">
        <v>45432</v>
      </c>
      <c r="AB55" s="36">
        <v>45436</v>
      </c>
      <c r="AC55" s="29">
        <v>18.561331168203047</v>
      </c>
      <c r="AD55" s="7">
        <v>1</v>
      </c>
      <c r="AE55" s="26" t="s">
        <v>160</v>
      </c>
      <c r="AF55" s="26" t="s">
        <v>189</v>
      </c>
      <c r="AG55" s="26" t="s">
        <v>169</v>
      </c>
      <c r="AH55" s="26" t="s">
        <v>217</v>
      </c>
      <c r="AI55" s="7">
        <v>67</v>
      </c>
      <c r="AJ55" t="s">
        <v>1514</v>
      </c>
      <c r="AK55" t="s">
        <v>1692</v>
      </c>
    </row>
    <row r="56" spans="1:37">
      <c r="A56" s="2" t="s">
        <v>1397</v>
      </c>
      <c r="B56" s="20">
        <v>45118</v>
      </c>
      <c r="C56" s="2" t="s">
        <v>487</v>
      </c>
      <c r="D56" s="6">
        <v>2</v>
      </c>
      <c r="E56" s="6">
        <v>55</v>
      </c>
      <c r="F56" s="6">
        <v>5</v>
      </c>
      <c r="G56" s="6" t="s">
        <v>256</v>
      </c>
      <c r="H56" s="6" t="s">
        <v>256</v>
      </c>
      <c r="I56" s="24" t="s">
        <v>6</v>
      </c>
      <c r="J56" s="24" t="s">
        <v>253</v>
      </c>
      <c r="K56" s="6">
        <v>300</v>
      </c>
      <c r="L56" s="6">
        <v>2</v>
      </c>
      <c r="M56" s="6">
        <v>7</v>
      </c>
      <c r="N56" s="6" t="s">
        <v>493</v>
      </c>
      <c r="O56" s="6" t="s">
        <v>493</v>
      </c>
      <c r="P56" s="6" t="s">
        <v>493</v>
      </c>
      <c r="Q56" s="6" t="s">
        <v>493</v>
      </c>
      <c r="R56" s="8">
        <v>1.92</v>
      </c>
      <c r="S56" s="20">
        <v>45118</v>
      </c>
      <c r="T56" s="20">
        <v>45119</v>
      </c>
      <c r="U56" s="10">
        <v>1</v>
      </c>
      <c r="V56" s="3">
        <v>0.42</v>
      </c>
      <c r="W56" s="3" t="s">
        <v>256</v>
      </c>
      <c r="X56" t="s">
        <v>35</v>
      </c>
      <c r="Y56" s="7">
        <v>1</v>
      </c>
      <c r="Z56" s="11" t="s">
        <v>117</v>
      </c>
      <c r="AA56" s="36">
        <v>45432</v>
      </c>
      <c r="AB56" s="36">
        <v>45436</v>
      </c>
      <c r="AC56" s="29">
        <v>19.348129587504477</v>
      </c>
      <c r="AD56" s="7">
        <v>1</v>
      </c>
      <c r="AE56" s="26" t="s">
        <v>240</v>
      </c>
      <c r="AF56" s="26" t="s">
        <v>190</v>
      </c>
      <c r="AG56" s="26" t="s">
        <v>169</v>
      </c>
      <c r="AH56" s="26" t="s">
        <v>217</v>
      </c>
      <c r="AI56" s="7">
        <v>79</v>
      </c>
      <c r="AJ56" t="s">
        <v>1515</v>
      </c>
      <c r="AK56" t="s">
        <v>1692</v>
      </c>
    </row>
    <row r="57" spans="1:37">
      <c r="A57" s="2" t="s">
        <v>1398</v>
      </c>
      <c r="B57" s="20">
        <v>45118</v>
      </c>
      <c r="C57" s="2" t="s">
        <v>487</v>
      </c>
      <c r="D57" s="6">
        <v>2</v>
      </c>
      <c r="E57" s="6">
        <v>59</v>
      </c>
      <c r="F57" s="6">
        <v>5</v>
      </c>
      <c r="G57" s="6" t="s">
        <v>256</v>
      </c>
      <c r="H57" s="6" t="s">
        <v>256</v>
      </c>
      <c r="I57" s="24" t="s">
        <v>6</v>
      </c>
      <c r="J57" s="24" t="s">
        <v>254</v>
      </c>
      <c r="K57" s="6">
        <v>300</v>
      </c>
      <c r="L57" s="6">
        <v>2</v>
      </c>
      <c r="M57" s="6">
        <v>11</v>
      </c>
      <c r="N57" s="6" t="s">
        <v>493</v>
      </c>
      <c r="O57" s="6" t="s">
        <v>493</v>
      </c>
      <c r="P57" s="6" t="s">
        <v>493</v>
      </c>
      <c r="Q57" s="6" t="s">
        <v>493</v>
      </c>
      <c r="R57" s="8">
        <v>1.71</v>
      </c>
      <c r="S57" s="20">
        <v>45118</v>
      </c>
      <c r="T57" s="20">
        <v>45119</v>
      </c>
      <c r="U57" s="10">
        <v>1</v>
      </c>
      <c r="V57" s="3">
        <v>0.36</v>
      </c>
      <c r="W57" s="3" t="s">
        <v>256</v>
      </c>
      <c r="X57" t="s">
        <v>35</v>
      </c>
      <c r="Y57" s="7">
        <v>1</v>
      </c>
      <c r="Z57" s="11" t="s">
        <v>142</v>
      </c>
      <c r="AA57" s="36">
        <v>45432</v>
      </c>
      <c r="AB57" s="36">
        <v>45436</v>
      </c>
      <c r="AC57" s="29">
        <v>24.231904848548222</v>
      </c>
      <c r="AD57" s="7">
        <v>1</v>
      </c>
      <c r="AE57" s="26" t="s">
        <v>162</v>
      </c>
      <c r="AF57" s="26" t="s">
        <v>192</v>
      </c>
      <c r="AG57" s="26" t="s">
        <v>169</v>
      </c>
      <c r="AH57" s="26" t="s">
        <v>217</v>
      </c>
      <c r="AI57" s="7">
        <v>91</v>
      </c>
      <c r="AJ57" t="s">
        <v>1516</v>
      </c>
      <c r="AK57" t="s">
        <v>1692</v>
      </c>
    </row>
    <row r="58" spans="1:37">
      <c r="A58" s="2" t="s">
        <v>1399</v>
      </c>
      <c r="B58" s="20">
        <v>45118</v>
      </c>
      <c r="C58" s="2" t="s">
        <v>487</v>
      </c>
      <c r="D58" s="6">
        <v>2</v>
      </c>
      <c r="E58" s="6">
        <v>61</v>
      </c>
      <c r="F58" s="6">
        <v>6</v>
      </c>
      <c r="G58" s="6" t="s">
        <v>256</v>
      </c>
      <c r="H58" s="6" t="s">
        <v>256</v>
      </c>
      <c r="I58" s="24" t="s">
        <v>5</v>
      </c>
      <c r="J58" s="24" t="s">
        <v>40</v>
      </c>
      <c r="K58" s="6">
        <v>300</v>
      </c>
      <c r="L58" s="6">
        <v>1</v>
      </c>
      <c r="M58" s="6">
        <v>1</v>
      </c>
      <c r="N58" s="6" t="s">
        <v>493</v>
      </c>
      <c r="O58" s="6" t="s">
        <v>493</v>
      </c>
      <c r="P58" s="6" t="s">
        <v>493</v>
      </c>
      <c r="Q58" s="6" t="s">
        <v>493</v>
      </c>
      <c r="R58" s="8">
        <v>1.65</v>
      </c>
      <c r="S58" s="20">
        <v>45118</v>
      </c>
      <c r="T58" s="20">
        <v>45119</v>
      </c>
      <c r="U58" s="10">
        <v>1</v>
      </c>
      <c r="V58" s="3">
        <v>4.18</v>
      </c>
      <c r="W58" s="3" t="s">
        <v>256</v>
      </c>
      <c r="X58" t="s">
        <v>35</v>
      </c>
      <c r="Y58" s="7">
        <v>1</v>
      </c>
      <c r="Z58" s="11" t="s">
        <v>108</v>
      </c>
      <c r="AA58" s="36">
        <v>45432</v>
      </c>
      <c r="AB58" s="36">
        <v>45436</v>
      </c>
      <c r="AC58" s="29">
        <v>19.25177867771141</v>
      </c>
      <c r="AD58" s="7">
        <v>1</v>
      </c>
      <c r="AE58" s="26" t="s">
        <v>155</v>
      </c>
      <c r="AF58" s="26" t="s">
        <v>184</v>
      </c>
      <c r="AG58" s="26" t="s">
        <v>172</v>
      </c>
      <c r="AH58" s="26" t="s">
        <v>220</v>
      </c>
      <c r="AI58" s="7">
        <v>8</v>
      </c>
      <c r="AJ58" t="s">
        <v>1517</v>
      </c>
      <c r="AK58" t="s">
        <v>1692</v>
      </c>
    </row>
    <row r="59" spans="1:37">
      <c r="A59" s="2" t="s">
        <v>1400</v>
      </c>
      <c r="B59" s="20">
        <v>45118</v>
      </c>
      <c r="C59" s="2" t="s">
        <v>487</v>
      </c>
      <c r="D59" s="6">
        <v>2</v>
      </c>
      <c r="E59" s="6">
        <v>66</v>
      </c>
      <c r="F59" s="6">
        <v>6</v>
      </c>
      <c r="G59" s="6" t="s">
        <v>256</v>
      </c>
      <c r="H59" s="6" t="s">
        <v>256</v>
      </c>
      <c r="I59" s="24" t="s">
        <v>5</v>
      </c>
      <c r="J59" s="24" t="s">
        <v>254</v>
      </c>
      <c r="K59" s="6">
        <v>300</v>
      </c>
      <c r="L59" s="6">
        <v>1</v>
      </c>
      <c r="M59" s="6">
        <v>6</v>
      </c>
      <c r="N59" s="6" t="s">
        <v>493</v>
      </c>
      <c r="O59" s="6" t="s">
        <v>493</v>
      </c>
      <c r="P59" s="6" t="s">
        <v>493</v>
      </c>
      <c r="Q59" s="6" t="s">
        <v>493</v>
      </c>
      <c r="R59" s="8">
        <v>3.24</v>
      </c>
      <c r="S59" s="20">
        <v>45118</v>
      </c>
      <c r="T59" s="20">
        <v>45119</v>
      </c>
      <c r="U59" s="10">
        <v>1</v>
      </c>
      <c r="V59" s="3">
        <v>2.87</v>
      </c>
      <c r="W59" s="3" t="s">
        <v>256</v>
      </c>
      <c r="X59" t="s">
        <v>35</v>
      </c>
      <c r="Y59" s="7">
        <v>1</v>
      </c>
      <c r="Z59" s="11" t="s">
        <v>153</v>
      </c>
      <c r="AA59" s="36">
        <v>45432</v>
      </c>
      <c r="AB59" s="36">
        <v>45436</v>
      </c>
      <c r="AC59" s="29">
        <v>20.028781604849357</v>
      </c>
      <c r="AD59" s="7">
        <v>1</v>
      </c>
      <c r="AE59" s="26" t="s">
        <v>156</v>
      </c>
      <c r="AF59" s="26" t="s">
        <v>185</v>
      </c>
      <c r="AG59" s="26" t="s">
        <v>172</v>
      </c>
      <c r="AH59" s="26" t="s">
        <v>220</v>
      </c>
      <c r="AI59" s="7">
        <v>20</v>
      </c>
      <c r="AJ59" t="s">
        <v>1518</v>
      </c>
      <c r="AK59" t="s">
        <v>1692</v>
      </c>
    </row>
    <row r="60" spans="1:37">
      <c r="A60" s="2" t="s">
        <v>1401</v>
      </c>
      <c r="B60" s="20">
        <v>45118</v>
      </c>
      <c r="C60" s="2" t="s">
        <v>487</v>
      </c>
      <c r="D60" s="6">
        <v>2</v>
      </c>
      <c r="E60" s="6">
        <v>68</v>
      </c>
      <c r="F60" s="6">
        <v>6</v>
      </c>
      <c r="G60" s="6" t="s">
        <v>256</v>
      </c>
      <c r="H60" s="6" t="s">
        <v>256</v>
      </c>
      <c r="I60" s="24" t="s">
        <v>5</v>
      </c>
      <c r="J60" s="24" t="s">
        <v>255</v>
      </c>
      <c r="K60" s="6">
        <v>300</v>
      </c>
      <c r="L60" s="6">
        <v>1</v>
      </c>
      <c r="M60" s="6">
        <v>8</v>
      </c>
      <c r="N60" s="6" t="s">
        <v>493</v>
      </c>
      <c r="O60" s="6" t="s">
        <v>493</v>
      </c>
      <c r="P60" s="6" t="s">
        <v>493</v>
      </c>
      <c r="Q60" s="6" t="s">
        <v>493</v>
      </c>
      <c r="R60" s="8">
        <v>3.1</v>
      </c>
      <c r="S60" s="20">
        <v>45118</v>
      </c>
      <c r="T60" s="20">
        <v>45119</v>
      </c>
      <c r="U60" s="10">
        <v>1</v>
      </c>
      <c r="V60" s="3">
        <v>2.75</v>
      </c>
      <c r="W60" s="3" t="s">
        <v>256</v>
      </c>
      <c r="X60" t="s">
        <v>35</v>
      </c>
      <c r="Y60" s="7">
        <v>1</v>
      </c>
      <c r="Z60" s="11" t="s">
        <v>139</v>
      </c>
      <c r="AA60" s="36">
        <v>45432</v>
      </c>
      <c r="AB60" s="36">
        <v>45436</v>
      </c>
      <c r="AC60" s="29">
        <v>20.051286748094959</v>
      </c>
      <c r="AD60" s="7">
        <v>1</v>
      </c>
      <c r="AE60" s="26" t="s">
        <v>157</v>
      </c>
      <c r="AF60" s="26" t="s">
        <v>186</v>
      </c>
      <c r="AG60" s="26" t="s">
        <v>172</v>
      </c>
      <c r="AH60" s="26" t="s">
        <v>220</v>
      </c>
      <c r="AI60" s="7">
        <v>32</v>
      </c>
      <c r="AJ60" t="s">
        <v>1519</v>
      </c>
      <c r="AK60" t="s">
        <v>1692</v>
      </c>
    </row>
    <row r="61" spans="1:37">
      <c r="A61" s="2" t="s">
        <v>1402</v>
      </c>
      <c r="B61" s="20">
        <v>45118</v>
      </c>
      <c r="C61" s="2" t="s">
        <v>487</v>
      </c>
      <c r="D61" s="6">
        <v>2</v>
      </c>
      <c r="E61" s="6">
        <v>72</v>
      </c>
      <c r="F61" s="6">
        <v>6</v>
      </c>
      <c r="G61" s="6" t="s">
        <v>256</v>
      </c>
      <c r="H61" s="6" t="s">
        <v>256</v>
      </c>
      <c r="I61" s="24" t="s">
        <v>5</v>
      </c>
      <c r="J61" s="24" t="s">
        <v>253</v>
      </c>
      <c r="K61" s="6">
        <v>300</v>
      </c>
      <c r="L61" s="6">
        <v>1</v>
      </c>
      <c r="M61" s="6">
        <v>12</v>
      </c>
      <c r="N61" s="6" t="s">
        <v>493</v>
      </c>
      <c r="O61" s="6" t="s">
        <v>493</v>
      </c>
      <c r="P61" s="6" t="s">
        <v>493</v>
      </c>
      <c r="Q61" s="6" t="s">
        <v>493</v>
      </c>
      <c r="R61" s="8">
        <v>3.48</v>
      </c>
      <c r="S61" s="20">
        <v>45118</v>
      </c>
      <c r="T61" s="20">
        <v>45119</v>
      </c>
      <c r="U61" s="10">
        <v>1</v>
      </c>
      <c r="V61" s="3">
        <v>2.73</v>
      </c>
      <c r="W61" s="3" t="s">
        <v>256</v>
      </c>
      <c r="X61" t="s">
        <v>35</v>
      </c>
      <c r="Y61" s="7">
        <v>1</v>
      </c>
      <c r="Z61" s="11" t="s">
        <v>140</v>
      </c>
      <c r="AA61" s="36">
        <v>45432</v>
      </c>
      <c r="AB61" s="36">
        <v>45436</v>
      </c>
      <c r="AC61" s="29">
        <v>18.429594042969395</v>
      </c>
      <c r="AD61" s="7">
        <v>1</v>
      </c>
      <c r="AE61" s="26" t="s">
        <v>158</v>
      </c>
      <c r="AF61" s="26" t="s">
        <v>187</v>
      </c>
      <c r="AG61" s="26" t="s">
        <v>172</v>
      </c>
      <c r="AH61" s="26" t="s">
        <v>220</v>
      </c>
      <c r="AI61" s="7">
        <v>44</v>
      </c>
      <c r="AJ61" t="s">
        <v>1520</v>
      </c>
      <c r="AK61" t="s">
        <v>1692</v>
      </c>
    </row>
    <row r="62" spans="1:37">
      <c r="A62" s="2" t="s">
        <v>1403</v>
      </c>
      <c r="B62" s="20">
        <v>45118</v>
      </c>
      <c r="C62" s="2" t="s">
        <v>487</v>
      </c>
      <c r="D62" s="6">
        <v>3</v>
      </c>
      <c r="E62" s="6">
        <v>75</v>
      </c>
      <c r="F62" s="6">
        <v>7</v>
      </c>
      <c r="G62" s="6" t="s">
        <v>256</v>
      </c>
      <c r="H62" s="6" t="s">
        <v>256</v>
      </c>
      <c r="I62" s="24" t="s">
        <v>4</v>
      </c>
      <c r="J62" s="24" t="s">
        <v>255</v>
      </c>
      <c r="K62" s="6">
        <v>300</v>
      </c>
      <c r="L62" s="6">
        <v>6</v>
      </c>
      <c r="M62" s="6">
        <v>15</v>
      </c>
      <c r="N62" s="6" t="s">
        <v>493</v>
      </c>
      <c r="O62" s="6" t="s">
        <v>493</v>
      </c>
      <c r="P62" s="6" t="s">
        <v>493</v>
      </c>
      <c r="Q62" s="6" t="s">
        <v>493</v>
      </c>
      <c r="R62" s="8">
        <v>4.54</v>
      </c>
      <c r="S62" s="20">
        <v>45118</v>
      </c>
      <c r="T62" s="20">
        <v>45119</v>
      </c>
      <c r="U62" s="10">
        <v>1</v>
      </c>
      <c r="V62" s="3">
        <v>1.8</v>
      </c>
      <c r="W62" s="3" t="s">
        <v>256</v>
      </c>
      <c r="X62" t="s">
        <v>35</v>
      </c>
      <c r="Y62" s="7">
        <v>1</v>
      </c>
      <c r="Z62" s="11" t="s">
        <v>120</v>
      </c>
      <c r="AA62" s="36">
        <v>45432</v>
      </c>
      <c r="AB62" s="36">
        <v>45436</v>
      </c>
      <c r="AC62" s="29">
        <v>21.097077980198904</v>
      </c>
      <c r="AD62" s="7">
        <v>1</v>
      </c>
      <c r="AE62" s="26" t="s">
        <v>159</v>
      </c>
      <c r="AF62" s="26" t="s">
        <v>188</v>
      </c>
      <c r="AG62" s="26" t="s">
        <v>172</v>
      </c>
      <c r="AH62" s="26" t="s">
        <v>220</v>
      </c>
      <c r="AI62" s="7">
        <v>56</v>
      </c>
      <c r="AJ62" t="s">
        <v>1521</v>
      </c>
      <c r="AK62" t="s">
        <v>1692</v>
      </c>
    </row>
    <row r="63" spans="1:37">
      <c r="A63" s="2" t="s">
        <v>1404</v>
      </c>
      <c r="B63" s="20">
        <v>45118</v>
      </c>
      <c r="C63" s="2" t="s">
        <v>487</v>
      </c>
      <c r="D63" s="6">
        <v>3</v>
      </c>
      <c r="E63" s="6">
        <v>80</v>
      </c>
      <c r="F63" s="6">
        <v>7</v>
      </c>
      <c r="G63" s="6" t="s">
        <v>256</v>
      </c>
      <c r="H63" s="6" t="s">
        <v>256</v>
      </c>
      <c r="I63" s="24" t="s">
        <v>4</v>
      </c>
      <c r="J63" s="24" t="s">
        <v>40</v>
      </c>
      <c r="K63" s="6">
        <v>300</v>
      </c>
      <c r="L63" s="6">
        <v>6</v>
      </c>
      <c r="M63" s="6">
        <v>20</v>
      </c>
      <c r="N63" s="6" t="s">
        <v>493</v>
      </c>
      <c r="O63" s="6" t="s">
        <v>493</v>
      </c>
      <c r="P63" s="6" t="s">
        <v>493</v>
      </c>
      <c r="Q63" s="6" t="s">
        <v>493</v>
      </c>
      <c r="R63" s="8">
        <v>2.88</v>
      </c>
      <c r="S63" s="20">
        <v>45118</v>
      </c>
      <c r="T63" s="20">
        <v>45119</v>
      </c>
      <c r="U63" s="10">
        <v>1</v>
      </c>
      <c r="V63" s="3">
        <v>0.45</v>
      </c>
      <c r="W63" s="3" t="s">
        <v>256</v>
      </c>
      <c r="X63" t="s">
        <v>35</v>
      </c>
      <c r="Y63" s="7">
        <v>1</v>
      </c>
      <c r="Z63" s="11" t="s">
        <v>121</v>
      </c>
      <c r="AA63" s="36">
        <v>45432</v>
      </c>
      <c r="AB63" s="36">
        <v>45436</v>
      </c>
      <c r="AC63" s="29">
        <v>18.653910813513175</v>
      </c>
      <c r="AD63" s="7">
        <v>1</v>
      </c>
      <c r="AE63" s="26" t="s">
        <v>160</v>
      </c>
      <c r="AF63" s="26" t="s">
        <v>189</v>
      </c>
      <c r="AG63" s="26" t="s">
        <v>172</v>
      </c>
      <c r="AH63" s="26" t="s">
        <v>220</v>
      </c>
      <c r="AI63" s="7">
        <v>68</v>
      </c>
      <c r="AJ63" t="s">
        <v>1522</v>
      </c>
      <c r="AK63" t="s">
        <v>1692</v>
      </c>
    </row>
    <row r="64" spans="1:37">
      <c r="A64" s="2" t="s">
        <v>1405</v>
      </c>
      <c r="B64" s="20">
        <v>45118</v>
      </c>
      <c r="C64" s="2" t="s">
        <v>487</v>
      </c>
      <c r="D64" s="6">
        <v>3</v>
      </c>
      <c r="E64" s="6">
        <v>81</v>
      </c>
      <c r="F64" s="6">
        <v>7</v>
      </c>
      <c r="G64" s="6" t="s">
        <v>256</v>
      </c>
      <c r="H64" s="6" t="s">
        <v>256</v>
      </c>
      <c r="I64" s="24" t="s">
        <v>4</v>
      </c>
      <c r="J64" s="24" t="s">
        <v>254</v>
      </c>
      <c r="K64" s="6">
        <v>300</v>
      </c>
      <c r="L64" s="6">
        <v>6</v>
      </c>
      <c r="M64" s="6">
        <v>21</v>
      </c>
      <c r="N64" s="6" t="s">
        <v>493</v>
      </c>
      <c r="O64" s="6" t="s">
        <v>493</v>
      </c>
      <c r="P64" s="6" t="s">
        <v>493</v>
      </c>
      <c r="Q64" s="6" t="s">
        <v>493</v>
      </c>
      <c r="R64" s="8">
        <v>3.26</v>
      </c>
      <c r="S64" s="20">
        <v>45118</v>
      </c>
      <c r="T64" s="20">
        <v>45119</v>
      </c>
      <c r="U64" s="10">
        <v>1</v>
      </c>
      <c r="V64" s="3">
        <v>0.43</v>
      </c>
      <c r="W64" s="3" t="s">
        <v>256</v>
      </c>
      <c r="X64" t="s">
        <v>35</v>
      </c>
      <c r="Y64" s="7">
        <v>1</v>
      </c>
      <c r="Z64" s="11" t="s">
        <v>122</v>
      </c>
      <c r="AA64" s="36">
        <v>45432</v>
      </c>
      <c r="AB64" s="36">
        <v>45436</v>
      </c>
      <c r="AC64" s="29">
        <v>19.126567799131678</v>
      </c>
      <c r="AD64" s="7">
        <v>1</v>
      </c>
      <c r="AE64" s="26" t="s">
        <v>47</v>
      </c>
      <c r="AF64" s="26" t="s">
        <v>190</v>
      </c>
      <c r="AG64" s="26" t="s">
        <v>172</v>
      </c>
      <c r="AH64" s="26" t="s">
        <v>220</v>
      </c>
      <c r="AI64" s="7">
        <v>80</v>
      </c>
      <c r="AJ64" t="s">
        <v>1523</v>
      </c>
      <c r="AK64" t="s">
        <v>1692</v>
      </c>
    </row>
    <row r="65" spans="1:37">
      <c r="A65" s="2" t="s">
        <v>1406</v>
      </c>
      <c r="B65" s="20">
        <v>45118</v>
      </c>
      <c r="C65" s="2" t="s">
        <v>487</v>
      </c>
      <c r="D65" s="6">
        <v>3</v>
      </c>
      <c r="E65" s="6">
        <v>82</v>
      </c>
      <c r="F65" s="6">
        <v>7</v>
      </c>
      <c r="G65" s="6" t="s">
        <v>256</v>
      </c>
      <c r="H65" s="6" t="s">
        <v>256</v>
      </c>
      <c r="I65" s="24" t="s">
        <v>4</v>
      </c>
      <c r="J65" s="24" t="s">
        <v>253</v>
      </c>
      <c r="K65" s="6">
        <v>300</v>
      </c>
      <c r="L65" s="6">
        <v>6</v>
      </c>
      <c r="M65" s="6">
        <v>22</v>
      </c>
      <c r="N65" s="6" t="s">
        <v>493</v>
      </c>
      <c r="O65" s="6" t="s">
        <v>493</v>
      </c>
      <c r="P65" s="6" t="s">
        <v>493</v>
      </c>
      <c r="Q65" s="6" t="s">
        <v>493</v>
      </c>
      <c r="R65" s="8">
        <v>3.67</v>
      </c>
      <c r="S65" s="20">
        <v>45118</v>
      </c>
      <c r="T65" s="20">
        <v>45119</v>
      </c>
      <c r="U65" s="10">
        <v>1</v>
      </c>
      <c r="V65" s="3">
        <v>3.55</v>
      </c>
      <c r="W65" s="3" t="s">
        <v>256</v>
      </c>
      <c r="X65" t="s">
        <v>35</v>
      </c>
      <c r="Y65" s="7">
        <v>1</v>
      </c>
      <c r="Z65" s="11" t="s">
        <v>154</v>
      </c>
      <c r="AA65" s="36">
        <v>45432</v>
      </c>
      <c r="AB65" s="36">
        <v>45436</v>
      </c>
      <c r="AC65" s="29">
        <v>22.439844045969267</v>
      </c>
      <c r="AD65" s="7">
        <v>1</v>
      </c>
      <c r="AE65" s="26" t="s">
        <v>162</v>
      </c>
      <c r="AF65" s="26" t="s">
        <v>192</v>
      </c>
      <c r="AG65" s="26" t="s">
        <v>172</v>
      </c>
      <c r="AH65" s="26" t="s">
        <v>220</v>
      </c>
      <c r="AI65" s="7">
        <v>92</v>
      </c>
      <c r="AJ65" t="s">
        <v>1524</v>
      </c>
      <c r="AK65" t="s">
        <v>1692</v>
      </c>
    </row>
    <row r="66" spans="1:37">
      <c r="A66" s="2" t="s">
        <v>1407</v>
      </c>
      <c r="B66" s="20">
        <v>45118</v>
      </c>
      <c r="C66" s="2" t="s">
        <v>487</v>
      </c>
      <c r="D66" s="6">
        <v>3</v>
      </c>
      <c r="E66" s="6">
        <v>87</v>
      </c>
      <c r="F66" s="6">
        <v>8</v>
      </c>
      <c r="G66" s="6" t="s">
        <v>256</v>
      </c>
      <c r="H66" s="6" t="s">
        <v>256</v>
      </c>
      <c r="I66" s="24" t="s">
        <v>6</v>
      </c>
      <c r="J66" s="24" t="s">
        <v>254</v>
      </c>
      <c r="K66" s="6">
        <v>300</v>
      </c>
      <c r="L66" s="6">
        <v>5</v>
      </c>
      <c r="M66" s="6">
        <v>15</v>
      </c>
      <c r="N66" s="6" t="s">
        <v>493</v>
      </c>
      <c r="O66" s="6" t="s">
        <v>493</v>
      </c>
      <c r="P66" s="6" t="s">
        <v>493</v>
      </c>
      <c r="Q66" s="6" t="s">
        <v>493</v>
      </c>
      <c r="R66" s="8">
        <v>2.27</v>
      </c>
      <c r="S66" s="20">
        <v>45118</v>
      </c>
      <c r="T66" s="20">
        <v>45119</v>
      </c>
      <c r="U66" s="10">
        <v>1</v>
      </c>
      <c r="V66" s="3">
        <v>0.12</v>
      </c>
      <c r="W66" s="3" t="s">
        <v>256</v>
      </c>
      <c r="X66" t="s">
        <v>35</v>
      </c>
      <c r="Y66" s="7">
        <v>1</v>
      </c>
      <c r="Z66" s="11" t="s">
        <v>113</v>
      </c>
      <c r="AA66" s="36">
        <v>45432</v>
      </c>
      <c r="AB66" s="36">
        <v>45436</v>
      </c>
      <c r="AC66" s="29">
        <v>18.5156474416256</v>
      </c>
      <c r="AD66" s="7">
        <v>1</v>
      </c>
      <c r="AE66" s="26" t="s">
        <v>155</v>
      </c>
      <c r="AF66" s="26" t="s">
        <v>184</v>
      </c>
      <c r="AG66" s="26" t="s">
        <v>170</v>
      </c>
      <c r="AH66" s="26" t="s">
        <v>218</v>
      </c>
      <c r="AI66" s="7">
        <v>9</v>
      </c>
      <c r="AJ66" t="s">
        <v>1525</v>
      </c>
      <c r="AK66" t="s">
        <v>1692</v>
      </c>
    </row>
    <row r="67" spans="1:37">
      <c r="A67" s="2" t="s">
        <v>1408</v>
      </c>
      <c r="B67" s="20">
        <v>45118</v>
      </c>
      <c r="C67" s="2" t="s">
        <v>487</v>
      </c>
      <c r="D67" s="6">
        <v>3</v>
      </c>
      <c r="E67" s="6">
        <v>88</v>
      </c>
      <c r="F67" s="6">
        <v>8</v>
      </c>
      <c r="G67" s="6" t="s">
        <v>256</v>
      </c>
      <c r="H67" s="6" t="s">
        <v>256</v>
      </c>
      <c r="I67" s="24" t="s">
        <v>6</v>
      </c>
      <c r="J67" s="24" t="s">
        <v>253</v>
      </c>
      <c r="K67" s="6">
        <v>300</v>
      </c>
      <c r="L67" s="6">
        <v>5</v>
      </c>
      <c r="M67" s="6">
        <v>16</v>
      </c>
      <c r="N67" s="6" t="s">
        <v>493</v>
      </c>
      <c r="O67" s="6" t="s">
        <v>493</v>
      </c>
      <c r="P67" s="6" t="s">
        <v>493</v>
      </c>
      <c r="Q67" s="6" t="s">
        <v>493</v>
      </c>
      <c r="R67" s="8">
        <v>2.33</v>
      </c>
      <c r="S67" s="20">
        <v>45118</v>
      </c>
      <c r="T67" s="20">
        <v>45119</v>
      </c>
      <c r="U67" s="10">
        <v>1</v>
      </c>
      <c r="V67" s="3">
        <v>2.34</v>
      </c>
      <c r="W67" s="3" t="s">
        <v>256</v>
      </c>
      <c r="X67" t="s">
        <v>35</v>
      </c>
      <c r="Y67" s="7">
        <v>1</v>
      </c>
      <c r="Z67" s="11" t="s">
        <v>114</v>
      </c>
      <c r="AA67" s="36">
        <v>45432</v>
      </c>
      <c r="AB67" s="36">
        <v>45436</v>
      </c>
      <c r="AC67" s="29">
        <v>20.143511306814162</v>
      </c>
      <c r="AD67" s="7">
        <v>1</v>
      </c>
      <c r="AE67" s="26" t="s">
        <v>156</v>
      </c>
      <c r="AF67" s="26" t="s">
        <v>185</v>
      </c>
      <c r="AG67" s="26" t="s">
        <v>170</v>
      </c>
      <c r="AH67" s="26" t="s">
        <v>218</v>
      </c>
      <c r="AI67" s="7">
        <v>21</v>
      </c>
      <c r="AJ67" t="s">
        <v>1526</v>
      </c>
      <c r="AK67" t="s">
        <v>1692</v>
      </c>
    </row>
    <row r="68" spans="1:37">
      <c r="A68" s="2" t="s">
        <v>1409</v>
      </c>
      <c r="B68" s="20">
        <v>45118</v>
      </c>
      <c r="C68" s="2" t="s">
        <v>487</v>
      </c>
      <c r="D68" s="6">
        <v>3</v>
      </c>
      <c r="E68" s="6">
        <v>89</v>
      </c>
      <c r="F68" s="6">
        <v>8</v>
      </c>
      <c r="G68" s="6" t="s">
        <v>256</v>
      </c>
      <c r="H68" s="6" t="s">
        <v>256</v>
      </c>
      <c r="I68" s="24" t="s">
        <v>6</v>
      </c>
      <c r="J68" s="24" t="s">
        <v>255</v>
      </c>
      <c r="K68" s="6">
        <v>300</v>
      </c>
      <c r="L68" s="6">
        <v>5</v>
      </c>
      <c r="M68" s="6">
        <v>17</v>
      </c>
      <c r="N68" s="6" t="s">
        <v>493</v>
      </c>
      <c r="O68" s="6" t="s">
        <v>493</v>
      </c>
      <c r="P68" s="6" t="s">
        <v>493</v>
      </c>
      <c r="Q68" s="6" t="s">
        <v>493</v>
      </c>
      <c r="R68" s="8">
        <v>3.25</v>
      </c>
      <c r="S68" s="20">
        <v>45118</v>
      </c>
      <c r="T68" s="20">
        <v>45119</v>
      </c>
      <c r="U68" s="10">
        <v>1</v>
      </c>
      <c r="V68" s="3">
        <v>1.24</v>
      </c>
      <c r="W68" s="3" t="s">
        <v>256</v>
      </c>
      <c r="X68" t="s">
        <v>35</v>
      </c>
      <c r="Y68" s="7">
        <v>1</v>
      </c>
      <c r="Z68" s="11" t="s">
        <v>115</v>
      </c>
      <c r="AA68" s="36">
        <v>45432</v>
      </c>
      <c r="AB68" s="36">
        <v>45436</v>
      </c>
      <c r="AC68" s="29">
        <v>19.235971202232587</v>
      </c>
      <c r="AD68" s="7">
        <v>1</v>
      </c>
      <c r="AE68" s="26" t="s">
        <v>157</v>
      </c>
      <c r="AF68" s="26" t="s">
        <v>186</v>
      </c>
      <c r="AG68" s="26" t="s">
        <v>170</v>
      </c>
      <c r="AH68" s="26" t="s">
        <v>218</v>
      </c>
      <c r="AI68" s="7">
        <v>33</v>
      </c>
      <c r="AJ68" t="s">
        <v>1527</v>
      </c>
      <c r="AK68" t="s">
        <v>1692</v>
      </c>
    </row>
    <row r="69" spans="1:37">
      <c r="A69" s="2" t="s">
        <v>1410</v>
      </c>
      <c r="B69" s="20">
        <v>45118</v>
      </c>
      <c r="C69" s="2" t="s">
        <v>487</v>
      </c>
      <c r="D69" s="6">
        <v>3</v>
      </c>
      <c r="E69" s="6">
        <v>91</v>
      </c>
      <c r="F69" s="6">
        <v>8</v>
      </c>
      <c r="G69" s="6" t="s">
        <v>256</v>
      </c>
      <c r="H69" s="6" t="s">
        <v>256</v>
      </c>
      <c r="I69" s="24" t="s">
        <v>6</v>
      </c>
      <c r="J69" s="24" t="s">
        <v>40</v>
      </c>
      <c r="K69" s="6">
        <v>300</v>
      </c>
      <c r="L69" s="6">
        <v>5</v>
      </c>
      <c r="M69" s="6">
        <v>19</v>
      </c>
      <c r="N69" s="6" t="s">
        <v>493</v>
      </c>
      <c r="O69" s="6" t="s">
        <v>493</v>
      </c>
      <c r="P69" s="6" t="s">
        <v>493</v>
      </c>
      <c r="Q69" s="6" t="s">
        <v>493</v>
      </c>
      <c r="R69" s="8">
        <v>1.97</v>
      </c>
      <c r="S69" s="20">
        <v>45118</v>
      </c>
      <c r="T69" s="20">
        <v>45119</v>
      </c>
      <c r="U69" s="10">
        <v>1</v>
      </c>
      <c r="V69" s="3">
        <v>0.97</v>
      </c>
      <c r="W69" s="3" t="s">
        <v>256</v>
      </c>
      <c r="X69" t="s">
        <v>35</v>
      </c>
      <c r="Y69" s="7">
        <v>1</v>
      </c>
      <c r="Z69" s="11" t="s">
        <v>123</v>
      </c>
      <c r="AA69" s="36">
        <v>45432</v>
      </c>
      <c r="AB69" s="36">
        <v>45436</v>
      </c>
      <c r="AC69" s="29">
        <v>17.655860361341013</v>
      </c>
      <c r="AD69" s="7">
        <v>1</v>
      </c>
      <c r="AE69" s="26" t="s">
        <v>158</v>
      </c>
      <c r="AF69" s="26" t="s">
        <v>187</v>
      </c>
      <c r="AG69" s="26" t="s">
        <v>170</v>
      </c>
      <c r="AH69" s="26" t="s">
        <v>218</v>
      </c>
      <c r="AI69" s="7">
        <v>45</v>
      </c>
      <c r="AJ69" t="s">
        <v>1528</v>
      </c>
      <c r="AK69" t="s">
        <v>1692</v>
      </c>
    </row>
    <row r="70" spans="1:37">
      <c r="A70" s="2" t="s">
        <v>1411</v>
      </c>
      <c r="B70" s="20">
        <v>45118</v>
      </c>
      <c r="C70" s="2" t="s">
        <v>487</v>
      </c>
      <c r="D70" s="6">
        <v>3</v>
      </c>
      <c r="E70" s="6">
        <v>98</v>
      </c>
      <c r="F70" s="6">
        <v>9</v>
      </c>
      <c r="G70" s="6" t="s">
        <v>256</v>
      </c>
      <c r="H70" s="6" t="s">
        <v>256</v>
      </c>
      <c r="I70" s="24" t="s">
        <v>5</v>
      </c>
      <c r="J70" s="24" t="s">
        <v>253</v>
      </c>
      <c r="K70" s="6">
        <v>300</v>
      </c>
      <c r="L70" s="6">
        <v>4</v>
      </c>
      <c r="M70" s="6">
        <v>14</v>
      </c>
      <c r="N70" s="6" t="s">
        <v>493</v>
      </c>
      <c r="O70" s="6" t="s">
        <v>493</v>
      </c>
      <c r="P70" s="6" t="s">
        <v>493</v>
      </c>
      <c r="Q70" s="6" t="s">
        <v>493</v>
      </c>
      <c r="R70" s="8">
        <v>5.81</v>
      </c>
      <c r="S70" s="20">
        <v>45118</v>
      </c>
      <c r="T70" s="20">
        <v>45119</v>
      </c>
      <c r="U70" s="10">
        <v>1</v>
      </c>
      <c r="V70" s="3">
        <v>8.81</v>
      </c>
      <c r="W70" s="3" t="s">
        <v>256</v>
      </c>
      <c r="X70" t="s">
        <v>35</v>
      </c>
      <c r="Y70" s="7">
        <v>1</v>
      </c>
      <c r="Z70" s="11" t="s">
        <v>124</v>
      </c>
      <c r="AA70" s="36">
        <v>45432</v>
      </c>
      <c r="AB70" s="36">
        <v>45436</v>
      </c>
      <c r="AC70" s="29">
        <v>18.014816171671878</v>
      </c>
      <c r="AD70" s="7">
        <v>1</v>
      </c>
      <c r="AE70" s="26" t="s">
        <v>159</v>
      </c>
      <c r="AF70" s="26" t="s">
        <v>188</v>
      </c>
      <c r="AG70" s="26" t="s">
        <v>170</v>
      </c>
      <c r="AH70" s="26" t="s">
        <v>218</v>
      </c>
      <c r="AI70" s="7">
        <v>57</v>
      </c>
      <c r="AJ70" t="s">
        <v>1529</v>
      </c>
      <c r="AK70" t="s">
        <v>1692</v>
      </c>
    </row>
    <row r="71" spans="1:37">
      <c r="A71" s="2" t="s">
        <v>1412</v>
      </c>
      <c r="B71" s="20">
        <v>45118</v>
      </c>
      <c r="C71" s="2" t="s">
        <v>487</v>
      </c>
      <c r="D71" s="6">
        <v>3</v>
      </c>
      <c r="E71" s="6">
        <v>100</v>
      </c>
      <c r="F71" s="6">
        <v>9</v>
      </c>
      <c r="G71" s="6" t="s">
        <v>256</v>
      </c>
      <c r="H71" s="6" t="s">
        <v>256</v>
      </c>
      <c r="I71" s="24" t="s">
        <v>5</v>
      </c>
      <c r="J71" s="24" t="s">
        <v>40</v>
      </c>
      <c r="K71" s="6">
        <v>300</v>
      </c>
      <c r="L71" s="6">
        <v>4</v>
      </c>
      <c r="M71" s="6">
        <v>16</v>
      </c>
      <c r="N71" s="6" t="s">
        <v>493</v>
      </c>
      <c r="O71" s="6" t="s">
        <v>493</v>
      </c>
      <c r="P71" s="6" t="s">
        <v>493</v>
      </c>
      <c r="Q71" s="6" t="s">
        <v>493</v>
      </c>
      <c r="R71" s="8">
        <v>4.71</v>
      </c>
      <c r="S71" s="20">
        <v>45118</v>
      </c>
      <c r="T71" s="20">
        <v>45119</v>
      </c>
      <c r="U71" s="10">
        <v>1</v>
      </c>
      <c r="V71" s="3">
        <v>1.56</v>
      </c>
      <c r="W71" s="3" t="s">
        <v>256</v>
      </c>
      <c r="X71" t="s">
        <v>35</v>
      </c>
      <c r="Y71" s="7">
        <v>1</v>
      </c>
      <c r="Z71" s="11" t="s">
        <v>125</v>
      </c>
      <c r="AA71" s="36">
        <v>45432</v>
      </c>
      <c r="AB71" s="36">
        <v>45436</v>
      </c>
      <c r="AC71" s="29">
        <v>21.974227570343267</v>
      </c>
      <c r="AD71" s="7">
        <v>1</v>
      </c>
      <c r="AE71" s="26" t="s">
        <v>160</v>
      </c>
      <c r="AF71" s="26" t="s">
        <v>189</v>
      </c>
      <c r="AG71" s="26" t="s">
        <v>170</v>
      </c>
      <c r="AH71" s="26" t="s">
        <v>218</v>
      </c>
      <c r="AI71" s="7">
        <v>69</v>
      </c>
      <c r="AJ71" t="s">
        <v>1530</v>
      </c>
      <c r="AK71" t="s">
        <v>1692</v>
      </c>
    </row>
    <row r="72" spans="1:37">
      <c r="A72" s="2" t="s">
        <v>1413</v>
      </c>
      <c r="B72" s="20">
        <v>45118</v>
      </c>
      <c r="C72" s="2" t="s">
        <v>487</v>
      </c>
      <c r="D72" s="6">
        <v>3</v>
      </c>
      <c r="E72" s="6">
        <v>104</v>
      </c>
      <c r="F72" s="6">
        <v>9</v>
      </c>
      <c r="G72" s="6" t="s">
        <v>256</v>
      </c>
      <c r="H72" s="6" t="s">
        <v>256</v>
      </c>
      <c r="I72" s="24" t="s">
        <v>5</v>
      </c>
      <c r="J72" s="24" t="s">
        <v>254</v>
      </c>
      <c r="K72" s="6">
        <v>300</v>
      </c>
      <c r="L72" s="6">
        <v>4</v>
      </c>
      <c r="M72" s="6">
        <v>20</v>
      </c>
      <c r="N72" s="6" t="s">
        <v>493</v>
      </c>
      <c r="O72" s="6" t="s">
        <v>493</v>
      </c>
      <c r="P72" s="6" t="s">
        <v>493</v>
      </c>
      <c r="Q72" s="6" t="s">
        <v>493</v>
      </c>
      <c r="R72" s="8">
        <v>4.21</v>
      </c>
      <c r="S72" s="20">
        <v>45118</v>
      </c>
      <c r="T72" s="20">
        <v>45119</v>
      </c>
      <c r="U72" s="10">
        <v>1</v>
      </c>
      <c r="V72" s="3">
        <v>1.78</v>
      </c>
      <c r="W72" s="3" t="s">
        <v>256</v>
      </c>
      <c r="X72" t="s">
        <v>35</v>
      </c>
      <c r="Y72" s="7">
        <v>1</v>
      </c>
      <c r="Z72" s="11" t="s">
        <v>126</v>
      </c>
      <c r="AA72" s="36">
        <v>45432</v>
      </c>
      <c r="AB72" s="36">
        <v>45436</v>
      </c>
      <c r="AC72" s="29">
        <v>19.631011156820687</v>
      </c>
      <c r="AD72" s="7">
        <v>1</v>
      </c>
      <c r="AE72" s="26" t="s">
        <v>208</v>
      </c>
      <c r="AF72" s="26" t="s">
        <v>190</v>
      </c>
      <c r="AG72" s="26" t="s">
        <v>170</v>
      </c>
      <c r="AH72" s="26" t="s">
        <v>218</v>
      </c>
      <c r="AI72" s="7">
        <v>81</v>
      </c>
      <c r="AJ72" t="s">
        <v>1531</v>
      </c>
      <c r="AK72" t="s">
        <v>1692</v>
      </c>
    </row>
    <row r="73" spans="1:37">
      <c r="A73" s="2" t="s">
        <v>1414</v>
      </c>
      <c r="B73" s="20">
        <v>45118</v>
      </c>
      <c r="C73" s="2" t="s">
        <v>487</v>
      </c>
      <c r="D73" s="6">
        <v>3</v>
      </c>
      <c r="E73" s="6">
        <v>107</v>
      </c>
      <c r="F73" s="6">
        <v>9</v>
      </c>
      <c r="G73" s="6" t="s">
        <v>256</v>
      </c>
      <c r="H73" s="6" t="s">
        <v>256</v>
      </c>
      <c r="I73" s="24" t="s">
        <v>5</v>
      </c>
      <c r="J73" s="24" t="s">
        <v>255</v>
      </c>
      <c r="K73" s="6">
        <v>300</v>
      </c>
      <c r="L73" s="6">
        <v>4</v>
      </c>
      <c r="M73" s="6">
        <v>23</v>
      </c>
      <c r="N73" s="6" t="s">
        <v>493</v>
      </c>
      <c r="O73" s="6" t="s">
        <v>493</v>
      </c>
      <c r="P73" s="6" t="s">
        <v>493</v>
      </c>
      <c r="Q73" s="6" t="s">
        <v>493</v>
      </c>
      <c r="R73" s="8">
        <v>4.16</v>
      </c>
      <c r="S73" s="20">
        <v>45118</v>
      </c>
      <c r="T73" s="20">
        <v>45119</v>
      </c>
      <c r="U73" s="10">
        <v>1</v>
      </c>
      <c r="V73" s="3">
        <v>6.73</v>
      </c>
      <c r="W73" s="3" t="s">
        <v>256</v>
      </c>
      <c r="X73" t="s">
        <v>35</v>
      </c>
      <c r="Y73" s="7">
        <v>1</v>
      </c>
      <c r="Z73" s="11" t="s">
        <v>127</v>
      </c>
      <c r="AA73" s="36">
        <v>45432</v>
      </c>
      <c r="AB73" s="36">
        <v>45436</v>
      </c>
      <c r="AC73" s="29">
        <v>24.06496517335205</v>
      </c>
      <c r="AD73" s="7">
        <v>1</v>
      </c>
      <c r="AE73" s="26" t="s">
        <v>162</v>
      </c>
      <c r="AF73" s="26" t="s">
        <v>192</v>
      </c>
      <c r="AG73" s="26" t="s">
        <v>170</v>
      </c>
      <c r="AH73" s="26" t="s">
        <v>218</v>
      </c>
      <c r="AI73" s="7">
        <v>93</v>
      </c>
      <c r="AJ73" t="s">
        <v>1532</v>
      </c>
      <c r="AK73" t="s">
        <v>1692</v>
      </c>
    </row>
    <row r="74" spans="1:37">
      <c r="A74" s="4" t="s">
        <v>1415</v>
      </c>
      <c r="B74" s="103">
        <v>45125</v>
      </c>
      <c r="C74" s="2" t="s">
        <v>487</v>
      </c>
      <c r="D74" s="6">
        <v>1</v>
      </c>
      <c r="E74" s="6">
        <v>3</v>
      </c>
      <c r="F74" s="6">
        <v>1</v>
      </c>
      <c r="G74" s="6" t="s">
        <v>256</v>
      </c>
      <c r="H74" s="6" t="s">
        <v>256</v>
      </c>
      <c r="I74" s="24" t="s">
        <v>5</v>
      </c>
      <c r="J74" s="24" t="s">
        <v>40</v>
      </c>
      <c r="K74" s="6">
        <v>300</v>
      </c>
      <c r="L74" s="6">
        <v>6</v>
      </c>
      <c r="M74" s="6">
        <v>3</v>
      </c>
      <c r="N74" s="6" t="s">
        <v>493</v>
      </c>
      <c r="O74" s="6" t="s">
        <v>493</v>
      </c>
      <c r="P74" s="6" t="s">
        <v>493</v>
      </c>
      <c r="Q74" s="6" t="s">
        <v>493</v>
      </c>
      <c r="R74" s="8">
        <v>2.0499999999999998</v>
      </c>
      <c r="S74" s="20">
        <v>45125</v>
      </c>
      <c r="T74" s="20">
        <v>45126</v>
      </c>
      <c r="U74" s="10">
        <v>1</v>
      </c>
      <c r="V74" s="3">
        <v>7.3999999999999996E-2</v>
      </c>
      <c r="W74" s="3" t="s">
        <v>256</v>
      </c>
      <c r="X74" t="s">
        <v>35</v>
      </c>
      <c r="Y74" s="7">
        <v>1</v>
      </c>
      <c r="Z74" s="11" t="s">
        <v>118</v>
      </c>
      <c r="AA74" s="36">
        <v>45432</v>
      </c>
      <c r="AB74" s="36">
        <v>45436</v>
      </c>
      <c r="AC74" s="29">
        <v>22.237175313106786</v>
      </c>
      <c r="AD74" s="7">
        <v>1</v>
      </c>
      <c r="AE74" s="26" t="s">
        <v>155</v>
      </c>
      <c r="AF74" s="26" t="s">
        <v>184</v>
      </c>
      <c r="AG74" s="26" t="s">
        <v>171</v>
      </c>
      <c r="AH74" s="26" t="s">
        <v>219</v>
      </c>
      <c r="AI74" s="7">
        <v>10</v>
      </c>
      <c r="AJ74" t="s">
        <v>1533</v>
      </c>
      <c r="AK74" t="s">
        <v>1692</v>
      </c>
    </row>
    <row r="75" spans="1:37">
      <c r="A75" s="2" t="s">
        <v>1416</v>
      </c>
      <c r="B75" s="103">
        <v>45125</v>
      </c>
      <c r="C75" s="2" t="s">
        <v>487</v>
      </c>
      <c r="D75" s="6">
        <v>1</v>
      </c>
      <c r="E75" s="6">
        <v>5</v>
      </c>
      <c r="F75" s="6">
        <v>1</v>
      </c>
      <c r="G75" s="6" t="s">
        <v>256</v>
      </c>
      <c r="H75" s="6" t="s">
        <v>256</v>
      </c>
      <c r="I75" s="24" t="s">
        <v>5</v>
      </c>
      <c r="J75" s="24" t="s">
        <v>255</v>
      </c>
      <c r="K75" s="6">
        <v>300</v>
      </c>
      <c r="L75" s="6">
        <v>6</v>
      </c>
      <c r="M75" s="6">
        <v>5</v>
      </c>
      <c r="N75" s="6" t="s">
        <v>493</v>
      </c>
      <c r="O75" s="6" t="s">
        <v>493</v>
      </c>
      <c r="P75" s="6" t="s">
        <v>493</v>
      </c>
      <c r="Q75" s="6" t="s">
        <v>493</v>
      </c>
      <c r="R75" s="8">
        <v>4.09</v>
      </c>
      <c r="S75" s="20">
        <v>45125</v>
      </c>
      <c r="T75" s="20">
        <v>45126</v>
      </c>
      <c r="U75" s="10">
        <v>1</v>
      </c>
      <c r="V75" s="3">
        <v>0.28999999999999998</v>
      </c>
      <c r="W75" s="3" t="s">
        <v>256</v>
      </c>
      <c r="X75" t="s">
        <v>35</v>
      </c>
      <c r="Y75" s="7">
        <v>1</v>
      </c>
      <c r="Z75" s="11" t="s">
        <v>119</v>
      </c>
      <c r="AA75" s="36">
        <v>45432</v>
      </c>
      <c r="AB75" s="36">
        <v>45436</v>
      </c>
      <c r="AC75" s="29">
        <v>19.018535764933656</v>
      </c>
      <c r="AD75" s="7">
        <v>1</v>
      </c>
      <c r="AE75" s="26" t="s">
        <v>156</v>
      </c>
      <c r="AF75" s="26" t="s">
        <v>185</v>
      </c>
      <c r="AG75" s="26" t="s">
        <v>171</v>
      </c>
      <c r="AH75" s="26" t="s">
        <v>219</v>
      </c>
      <c r="AI75" s="7">
        <v>22</v>
      </c>
      <c r="AJ75" t="s">
        <v>1534</v>
      </c>
      <c r="AK75" t="s">
        <v>1692</v>
      </c>
    </row>
    <row r="76" spans="1:37">
      <c r="A76" s="2" t="s">
        <v>1417</v>
      </c>
      <c r="B76" s="103">
        <v>45125</v>
      </c>
      <c r="C76" s="2" t="s">
        <v>487</v>
      </c>
      <c r="D76" s="6">
        <v>1</v>
      </c>
      <c r="E76" s="6">
        <v>9</v>
      </c>
      <c r="F76" s="6">
        <v>1</v>
      </c>
      <c r="G76" s="6" t="s">
        <v>256</v>
      </c>
      <c r="H76" s="6" t="s">
        <v>256</v>
      </c>
      <c r="I76" s="24" t="s">
        <v>5</v>
      </c>
      <c r="J76" s="24" t="s">
        <v>254</v>
      </c>
      <c r="K76" s="6">
        <v>300</v>
      </c>
      <c r="L76" s="6">
        <v>6</v>
      </c>
      <c r="M76" s="6">
        <v>9</v>
      </c>
      <c r="N76" s="6" t="s">
        <v>493</v>
      </c>
      <c r="O76" s="6" t="s">
        <v>493</v>
      </c>
      <c r="P76" s="6" t="s">
        <v>493</v>
      </c>
      <c r="Q76" s="6" t="s">
        <v>493</v>
      </c>
      <c r="R76" s="8">
        <v>3.79</v>
      </c>
      <c r="S76" s="20">
        <v>45125</v>
      </c>
      <c r="T76" s="20">
        <v>45126</v>
      </c>
      <c r="U76" s="10">
        <v>1</v>
      </c>
      <c r="V76" s="3">
        <v>0.45</v>
      </c>
      <c r="W76" s="3" t="s">
        <v>256</v>
      </c>
      <c r="X76" t="s">
        <v>35</v>
      </c>
      <c r="Y76" s="7">
        <v>1</v>
      </c>
      <c r="Z76" s="11" t="s">
        <v>244</v>
      </c>
      <c r="AA76" s="36">
        <v>45432</v>
      </c>
      <c r="AB76" s="36">
        <v>45436</v>
      </c>
      <c r="AC76" s="29">
        <v>20.040119887028588</v>
      </c>
      <c r="AD76" s="7">
        <v>1</v>
      </c>
      <c r="AE76" s="26" t="s">
        <v>157</v>
      </c>
      <c r="AF76" s="26" t="s">
        <v>186</v>
      </c>
      <c r="AG76" s="26" t="s">
        <v>171</v>
      </c>
      <c r="AH76" s="26" t="s">
        <v>219</v>
      </c>
      <c r="AI76" s="7">
        <v>34</v>
      </c>
      <c r="AJ76" t="s">
        <v>1535</v>
      </c>
      <c r="AK76" t="s">
        <v>1692</v>
      </c>
    </row>
    <row r="77" spans="1:37">
      <c r="A77" s="2" t="s">
        <v>1418</v>
      </c>
      <c r="B77" s="103">
        <v>45125</v>
      </c>
      <c r="C77" s="2" t="s">
        <v>487</v>
      </c>
      <c r="D77" s="6">
        <v>1</v>
      </c>
      <c r="E77" s="6">
        <v>10</v>
      </c>
      <c r="F77" s="6">
        <v>1</v>
      </c>
      <c r="G77" s="6" t="s">
        <v>256</v>
      </c>
      <c r="H77" s="6" t="s">
        <v>256</v>
      </c>
      <c r="I77" s="24" t="s">
        <v>5</v>
      </c>
      <c r="J77" s="24" t="s">
        <v>253</v>
      </c>
      <c r="K77" s="6">
        <v>300</v>
      </c>
      <c r="L77" s="6">
        <v>6</v>
      </c>
      <c r="M77" s="6">
        <v>10</v>
      </c>
      <c r="N77" s="6" t="s">
        <v>493</v>
      </c>
      <c r="O77" s="6" t="s">
        <v>493</v>
      </c>
      <c r="P77" s="6" t="s">
        <v>493</v>
      </c>
      <c r="Q77" s="6" t="s">
        <v>493</v>
      </c>
      <c r="R77" s="8">
        <v>3.64</v>
      </c>
      <c r="S77" s="20">
        <v>45125</v>
      </c>
      <c r="T77" s="20">
        <v>45126</v>
      </c>
      <c r="U77" s="10">
        <v>1</v>
      </c>
      <c r="V77" s="3">
        <v>0.77</v>
      </c>
      <c r="W77" s="3" t="s">
        <v>256</v>
      </c>
      <c r="X77" t="s">
        <v>35</v>
      </c>
      <c r="Y77" s="7">
        <v>1</v>
      </c>
      <c r="Z77" s="11" t="s">
        <v>130</v>
      </c>
      <c r="AA77" s="36">
        <v>45432</v>
      </c>
      <c r="AB77" s="36">
        <v>45436</v>
      </c>
      <c r="AC77" s="29">
        <v>17.7013726668056</v>
      </c>
      <c r="AD77" s="7">
        <v>1</v>
      </c>
      <c r="AE77" s="26" t="s">
        <v>158</v>
      </c>
      <c r="AF77" s="26" t="s">
        <v>187</v>
      </c>
      <c r="AG77" s="26" t="s">
        <v>171</v>
      </c>
      <c r="AH77" s="26" t="s">
        <v>219</v>
      </c>
      <c r="AI77" s="7">
        <v>46</v>
      </c>
      <c r="AJ77" t="s">
        <v>1536</v>
      </c>
      <c r="AK77" t="s">
        <v>1692</v>
      </c>
    </row>
    <row r="78" spans="1:37">
      <c r="A78" s="2" t="s">
        <v>1419</v>
      </c>
      <c r="B78" s="103">
        <v>45125</v>
      </c>
      <c r="C78" s="2" t="s">
        <v>487</v>
      </c>
      <c r="D78" s="6">
        <v>1</v>
      </c>
      <c r="E78" s="6">
        <v>17</v>
      </c>
      <c r="F78" s="6">
        <v>2</v>
      </c>
      <c r="G78" s="6" t="s">
        <v>256</v>
      </c>
      <c r="H78" s="6" t="s">
        <v>256</v>
      </c>
      <c r="I78" s="24" t="s">
        <v>4</v>
      </c>
      <c r="J78" s="24" t="s">
        <v>253</v>
      </c>
      <c r="K78" s="6">
        <v>300</v>
      </c>
      <c r="L78" s="6">
        <v>5</v>
      </c>
      <c r="M78" s="6">
        <v>5</v>
      </c>
      <c r="N78" s="6" t="s">
        <v>493</v>
      </c>
      <c r="O78" s="6" t="s">
        <v>493</v>
      </c>
      <c r="P78" s="6" t="s">
        <v>493</v>
      </c>
      <c r="Q78" s="6" t="s">
        <v>493</v>
      </c>
      <c r="R78" s="8">
        <v>2.63</v>
      </c>
      <c r="S78" s="20">
        <v>45125</v>
      </c>
      <c r="T78" s="20">
        <v>45126</v>
      </c>
      <c r="U78" s="10">
        <v>1</v>
      </c>
      <c r="V78" s="3">
        <v>0.12</v>
      </c>
      <c r="W78" s="3" t="s">
        <v>256</v>
      </c>
      <c r="X78" t="s">
        <v>35</v>
      </c>
      <c r="Y78" s="7">
        <v>1</v>
      </c>
      <c r="Z78" s="11" t="s">
        <v>131</v>
      </c>
      <c r="AA78" s="36">
        <v>45432</v>
      </c>
      <c r="AB78" s="36">
        <v>45436</v>
      </c>
      <c r="AC78" s="29">
        <v>17.887548239737814</v>
      </c>
      <c r="AD78" s="7">
        <v>1</v>
      </c>
      <c r="AE78" s="26" t="s">
        <v>159</v>
      </c>
      <c r="AF78" s="26" t="s">
        <v>188</v>
      </c>
      <c r="AG78" s="26" t="s">
        <v>171</v>
      </c>
      <c r="AH78" s="26" t="s">
        <v>219</v>
      </c>
      <c r="AI78" s="7">
        <v>58</v>
      </c>
      <c r="AJ78" t="s">
        <v>1537</v>
      </c>
      <c r="AK78" t="s">
        <v>1692</v>
      </c>
    </row>
    <row r="79" spans="1:37">
      <c r="A79" s="2" t="s">
        <v>1420</v>
      </c>
      <c r="B79" s="103">
        <v>45125</v>
      </c>
      <c r="C79" s="2" t="s">
        <v>487</v>
      </c>
      <c r="D79" s="6">
        <v>1</v>
      </c>
      <c r="E79" s="6">
        <v>18</v>
      </c>
      <c r="F79" s="6">
        <v>2</v>
      </c>
      <c r="G79" s="6" t="s">
        <v>256</v>
      </c>
      <c r="H79" s="6" t="s">
        <v>256</v>
      </c>
      <c r="I79" s="24" t="s">
        <v>4</v>
      </c>
      <c r="J79" s="24" t="s">
        <v>40</v>
      </c>
      <c r="K79" s="6">
        <v>300</v>
      </c>
      <c r="L79" s="6">
        <v>5</v>
      </c>
      <c r="M79" s="6">
        <v>6</v>
      </c>
      <c r="N79" s="6" t="s">
        <v>493</v>
      </c>
      <c r="O79" s="6" t="s">
        <v>493</v>
      </c>
      <c r="P79" s="6" t="s">
        <v>493</v>
      </c>
      <c r="Q79" s="6" t="s">
        <v>493</v>
      </c>
      <c r="R79" s="8">
        <v>2.09</v>
      </c>
      <c r="S79" s="20">
        <v>45125</v>
      </c>
      <c r="T79" s="20">
        <v>45126</v>
      </c>
      <c r="U79" s="10">
        <v>1</v>
      </c>
      <c r="V79" s="3">
        <v>0.28999999999999998</v>
      </c>
      <c r="W79" s="3" t="s">
        <v>256</v>
      </c>
      <c r="X79" t="s">
        <v>35</v>
      </c>
      <c r="Y79" s="7">
        <v>1</v>
      </c>
      <c r="Z79" s="11" t="s">
        <v>132</v>
      </c>
      <c r="AA79" s="36">
        <v>45432</v>
      </c>
      <c r="AB79" s="36">
        <v>45436</v>
      </c>
      <c r="AC79" s="29">
        <v>19.940156889500237</v>
      </c>
      <c r="AD79" s="7">
        <v>1</v>
      </c>
      <c r="AE79" s="26" t="s">
        <v>160</v>
      </c>
      <c r="AF79" s="26" t="s">
        <v>189</v>
      </c>
      <c r="AG79" s="26" t="s">
        <v>171</v>
      </c>
      <c r="AH79" s="26" t="s">
        <v>219</v>
      </c>
      <c r="AI79" s="7">
        <v>70</v>
      </c>
      <c r="AJ79" t="s">
        <v>1538</v>
      </c>
      <c r="AK79" t="s">
        <v>1692</v>
      </c>
    </row>
    <row r="80" spans="1:37">
      <c r="A80" s="2" t="s">
        <v>1421</v>
      </c>
      <c r="B80" s="103">
        <v>45125</v>
      </c>
      <c r="C80" s="2" t="s">
        <v>487</v>
      </c>
      <c r="D80" s="6">
        <v>1</v>
      </c>
      <c r="E80" s="6">
        <v>22</v>
      </c>
      <c r="F80" s="6">
        <v>2</v>
      </c>
      <c r="G80" s="6" t="s">
        <v>256</v>
      </c>
      <c r="H80" s="6" t="s">
        <v>256</v>
      </c>
      <c r="I80" s="24" t="s">
        <v>4</v>
      </c>
      <c r="J80" s="24" t="s">
        <v>254</v>
      </c>
      <c r="K80" s="6">
        <v>300</v>
      </c>
      <c r="L80" s="6">
        <v>5</v>
      </c>
      <c r="M80" s="6">
        <v>10</v>
      </c>
      <c r="N80" s="6" t="s">
        <v>493</v>
      </c>
      <c r="O80" s="6" t="s">
        <v>493</v>
      </c>
      <c r="P80" s="6" t="s">
        <v>493</v>
      </c>
      <c r="Q80" s="6" t="s">
        <v>493</v>
      </c>
      <c r="R80" s="8">
        <v>1.97</v>
      </c>
      <c r="S80" s="20">
        <v>45125</v>
      </c>
      <c r="T80" s="20">
        <v>45126</v>
      </c>
      <c r="U80" s="10">
        <v>1</v>
      </c>
      <c r="V80" s="3">
        <v>0.29499999999999998</v>
      </c>
      <c r="W80" s="3" t="s">
        <v>256</v>
      </c>
      <c r="X80" t="s">
        <v>35</v>
      </c>
      <c r="Y80" s="7">
        <v>1</v>
      </c>
      <c r="Z80" s="11" t="s">
        <v>133</v>
      </c>
      <c r="AA80" s="36">
        <v>45432</v>
      </c>
      <c r="AB80" s="36">
        <v>45436</v>
      </c>
      <c r="AC80" s="29">
        <v>20.149009026790917</v>
      </c>
      <c r="AD80" s="7">
        <v>1</v>
      </c>
      <c r="AE80" s="26" t="s">
        <v>49</v>
      </c>
      <c r="AF80" s="26" t="s">
        <v>190</v>
      </c>
      <c r="AG80" s="26" t="s">
        <v>171</v>
      </c>
      <c r="AH80" s="26" t="s">
        <v>219</v>
      </c>
      <c r="AI80" s="7">
        <v>82</v>
      </c>
      <c r="AJ80" t="s">
        <v>1539</v>
      </c>
      <c r="AK80" t="s">
        <v>1692</v>
      </c>
    </row>
    <row r="81" spans="1:39">
      <c r="A81" s="2" t="s">
        <v>1422</v>
      </c>
      <c r="B81" s="103">
        <v>45125</v>
      </c>
      <c r="C81" s="2" t="s">
        <v>487</v>
      </c>
      <c r="D81" s="6">
        <v>1</v>
      </c>
      <c r="E81" s="6">
        <v>24</v>
      </c>
      <c r="F81" s="6">
        <v>2</v>
      </c>
      <c r="G81" s="6" t="s">
        <v>256</v>
      </c>
      <c r="H81" s="6" t="s">
        <v>256</v>
      </c>
      <c r="I81" s="24" t="s">
        <v>4</v>
      </c>
      <c r="J81" s="24" t="s">
        <v>255</v>
      </c>
      <c r="K81" s="6">
        <v>300</v>
      </c>
      <c r="L81" s="6">
        <v>5</v>
      </c>
      <c r="M81" s="6">
        <v>12</v>
      </c>
      <c r="N81" s="6" t="s">
        <v>493</v>
      </c>
      <c r="O81" s="6" t="s">
        <v>493</v>
      </c>
      <c r="P81" s="6" t="s">
        <v>493</v>
      </c>
      <c r="Q81" s="6" t="s">
        <v>493</v>
      </c>
      <c r="R81" s="8">
        <v>2.86</v>
      </c>
      <c r="S81" s="20">
        <v>45125</v>
      </c>
      <c r="T81" s="20">
        <v>45126</v>
      </c>
      <c r="U81" s="10">
        <v>1</v>
      </c>
      <c r="V81" s="3">
        <v>0.755</v>
      </c>
      <c r="W81" s="3" t="s">
        <v>256</v>
      </c>
      <c r="X81" t="s">
        <v>35</v>
      </c>
      <c r="Y81" s="7">
        <v>1</v>
      </c>
      <c r="Z81" s="11" t="s">
        <v>134</v>
      </c>
      <c r="AA81" s="36">
        <v>45432</v>
      </c>
      <c r="AB81" s="36">
        <v>45436</v>
      </c>
      <c r="AC81" s="29">
        <v>23.810772151709642</v>
      </c>
      <c r="AD81" s="7">
        <v>1</v>
      </c>
      <c r="AE81" s="26" t="s">
        <v>162</v>
      </c>
      <c r="AF81" s="26" t="s">
        <v>192</v>
      </c>
      <c r="AG81" s="26" t="s">
        <v>171</v>
      </c>
      <c r="AH81" s="26" t="s">
        <v>219</v>
      </c>
      <c r="AI81" s="7">
        <v>94</v>
      </c>
      <c r="AJ81" t="s">
        <v>1540</v>
      </c>
      <c r="AK81" t="s">
        <v>1692</v>
      </c>
    </row>
    <row r="82" spans="1:39">
      <c r="A82" s="2" t="s">
        <v>1423</v>
      </c>
      <c r="B82" s="103">
        <v>45125</v>
      </c>
      <c r="C82" s="2" t="s">
        <v>487</v>
      </c>
      <c r="D82" s="6">
        <v>1</v>
      </c>
      <c r="E82" s="6">
        <v>25</v>
      </c>
      <c r="F82" s="6">
        <v>3</v>
      </c>
      <c r="G82" s="6" t="s">
        <v>256</v>
      </c>
      <c r="H82" s="6" t="s">
        <v>256</v>
      </c>
      <c r="I82" s="24" t="s">
        <v>6</v>
      </c>
      <c r="J82" s="24" t="s">
        <v>253</v>
      </c>
      <c r="K82" s="6">
        <v>300</v>
      </c>
      <c r="L82" s="6">
        <v>4</v>
      </c>
      <c r="M82" s="6">
        <v>1</v>
      </c>
      <c r="N82" s="6" t="s">
        <v>493</v>
      </c>
      <c r="O82" s="6" t="s">
        <v>493</v>
      </c>
      <c r="P82" s="6" t="s">
        <v>493</v>
      </c>
      <c r="Q82" s="6" t="s">
        <v>493</v>
      </c>
      <c r="R82" s="8">
        <v>1.37</v>
      </c>
      <c r="S82" s="20">
        <v>45125</v>
      </c>
      <c r="T82" s="20">
        <v>45126</v>
      </c>
      <c r="U82" s="10">
        <v>1</v>
      </c>
      <c r="V82" s="3">
        <v>0.215</v>
      </c>
      <c r="W82" s="3" t="s">
        <v>256</v>
      </c>
      <c r="X82" t="s">
        <v>35</v>
      </c>
      <c r="Y82" s="7">
        <v>1</v>
      </c>
      <c r="Z82" s="11" t="s">
        <v>67</v>
      </c>
      <c r="AA82" s="36">
        <v>45432</v>
      </c>
      <c r="AB82" s="36">
        <v>45436</v>
      </c>
      <c r="AC82" s="29">
        <v>24.192747368624694</v>
      </c>
      <c r="AD82" s="7">
        <v>1</v>
      </c>
      <c r="AE82" s="26" t="s">
        <v>155</v>
      </c>
      <c r="AF82" s="26" t="s">
        <v>184</v>
      </c>
      <c r="AG82" s="26" t="s">
        <v>69</v>
      </c>
      <c r="AH82" s="26" t="s">
        <v>214</v>
      </c>
      <c r="AI82" s="7">
        <v>11</v>
      </c>
      <c r="AJ82" t="s">
        <v>1541</v>
      </c>
      <c r="AK82" t="s">
        <v>1692</v>
      </c>
    </row>
    <row r="83" spans="1:39">
      <c r="A83" s="2" t="s">
        <v>1424</v>
      </c>
      <c r="B83" s="103">
        <v>45125</v>
      </c>
      <c r="C83" s="2" t="s">
        <v>487</v>
      </c>
      <c r="D83" s="6">
        <v>1</v>
      </c>
      <c r="E83" s="6">
        <v>26</v>
      </c>
      <c r="F83" s="6">
        <v>3</v>
      </c>
      <c r="G83" s="6" t="s">
        <v>256</v>
      </c>
      <c r="H83" s="6" t="s">
        <v>256</v>
      </c>
      <c r="I83" s="24" t="s">
        <v>6</v>
      </c>
      <c r="J83" s="24" t="s">
        <v>255</v>
      </c>
      <c r="K83" s="6">
        <v>300</v>
      </c>
      <c r="L83" s="6">
        <v>4</v>
      </c>
      <c r="M83" s="6">
        <v>2</v>
      </c>
      <c r="N83" s="6" t="s">
        <v>493</v>
      </c>
      <c r="O83" s="6" t="s">
        <v>493</v>
      </c>
      <c r="P83" s="6" t="s">
        <v>493</v>
      </c>
      <c r="Q83" s="6" t="s">
        <v>493</v>
      </c>
      <c r="R83" s="8">
        <v>2.6</v>
      </c>
      <c r="S83" s="20">
        <v>45125</v>
      </c>
      <c r="T83" s="20">
        <v>45126</v>
      </c>
      <c r="U83" s="10">
        <v>1</v>
      </c>
      <c r="V83" s="3">
        <v>0.90800000000000003</v>
      </c>
      <c r="W83" s="3" t="s">
        <v>256</v>
      </c>
      <c r="X83" t="s">
        <v>35</v>
      </c>
      <c r="Y83" s="7">
        <v>1</v>
      </c>
      <c r="Z83" s="11" t="s">
        <v>70</v>
      </c>
      <c r="AA83" s="36">
        <v>45432</v>
      </c>
      <c r="AB83" s="36">
        <v>45436</v>
      </c>
      <c r="AC83" s="29">
        <v>13.315159430206016</v>
      </c>
      <c r="AD83" s="7">
        <v>1</v>
      </c>
      <c r="AE83" s="26" t="s">
        <v>156</v>
      </c>
      <c r="AF83" s="26" t="s">
        <v>185</v>
      </c>
      <c r="AG83" s="26" t="s">
        <v>69</v>
      </c>
      <c r="AH83" s="26" t="s">
        <v>214</v>
      </c>
      <c r="AI83" s="7">
        <v>23</v>
      </c>
      <c r="AJ83" t="s">
        <v>1542</v>
      </c>
      <c r="AK83" t="s">
        <v>1692</v>
      </c>
    </row>
    <row r="84" spans="1:39">
      <c r="A84" s="2" t="s">
        <v>1425</v>
      </c>
      <c r="B84" s="103">
        <v>45125</v>
      </c>
      <c r="C84" s="2" t="s">
        <v>487</v>
      </c>
      <c r="D84" s="6">
        <v>1</v>
      </c>
      <c r="E84" s="6">
        <v>28</v>
      </c>
      <c r="F84" s="6">
        <v>3</v>
      </c>
      <c r="G84" s="6" t="s">
        <v>256</v>
      </c>
      <c r="H84" s="6" t="s">
        <v>256</v>
      </c>
      <c r="I84" s="24" t="s">
        <v>6</v>
      </c>
      <c r="J84" s="24" t="s">
        <v>254</v>
      </c>
      <c r="K84" s="6">
        <v>300</v>
      </c>
      <c r="L84" s="6">
        <v>4</v>
      </c>
      <c r="M84" s="6">
        <v>4</v>
      </c>
      <c r="N84" s="6" t="s">
        <v>493</v>
      </c>
      <c r="O84" s="6" t="s">
        <v>493</v>
      </c>
      <c r="P84" s="6" t="s">
        <v>493</v>
      </c>
      <c r="Q84" s="6" t="s">
        <v>493</v>
      </c>
      <c r="R84" s="8">
        <v>1.77</v>
      </c>
      <c r="S84" s="20">
        <v>45125</v>
      </c>
      <c r="T84" s="20">
        <v>45126</v>
      </c>
      <c r="U84" s="10">
        <v>1</v>
      </c>
      <c r="V84" s="3">
        <v>0.21</v>
      </c>
      <c r="W84" s="3" t="s">
        <v>256</v>
      </c>
      <c r="X84" t="s">
        <v>35</v>
      </c>
      <c r="Y84" s="7">
        <v>1</v>
      </c>
      <c r="Z84" s="11" t="s">
        <v>71</v>
      </c>
      <c r="AA84" s="36">
        <v>45432</v>
      </c>
      <c r="AB84" s="36">
        <v>45436</v>
      </c>
      <c r="AC84" s="29">
        <v>15.348703603345259</v>
      </c>
      <c r="AD84" s="7">
        <v>1</v>
      </c>
      <c r="AE84" s="26" t="s">
        <v>157</v>
      </c>
      <c r="AF84" s="26" t="s">
        <v>186</v>
      </c>
      <c r="AG84" s="26" t="s">
        <v>69</v>
      </c>
      <c r="AH84" s="26" t="s">
        <v>214</v>
      </c>
      <c r="AI84" s="7">
        <v>35</v>
      </c>
      <c r="AJ84" t="s">
        <v>1543</v>
      </c>
      <c r="AK84" t="s">
        <v>1692</v>
      </c>
    </row>
    <row r="85" spans="1:39">
      <c r="A85" s="2" t="s">
        <v>1426</v>
      </c>
      <c r="B85" s="103">
        <v>45125</v>
      </c>
      <c r="C85" s="2" t="s">
        <v>487</v>
      </c>
      <c r="D85" s="6">
        <v>1</v>
      </c>
      <c r="E85" s="6">
        <v>35</v>
      </c>
      <c r="F85" s="6">
        <v>3</v>
      </c>
      <c r="G85" s="6" t="s">
        <v>256</v>
      </c>
      <c r="H85" s="6" t="s">
        <v>256</v>
      </c>
      <c r="I85" s="24" t="s">
        <v>6</v>
      </c>
      <c r="J85" s="24" t="s">
        <v>40</v>
      </c>
      <c r="K85" s="6">
        <v>300</v>
      </c>
      <c r="L85" s="6">
        <v>4</v>
      </c>
      <c r="M85" s="6">
        <v>11</v>
      </c>
      <c r="N85" s="6" t="s">
        <v>493</v>
      </c>
      <c r="O85" s="6" t="s">
        <v>493</v>
      </c>
      <c r="P85" s="6" t="s">
        <v>493</v>
      </c>
      <c r="Q85" s="6" t="s">
        <v>493</v>
      </c>
      <c r="R85" s="8">
        <v>0.97</v>
      </c>
      <c r="S85" s="20">
        <v>45125</v>
      </c>
      <c r="T85" s="20">
        <v>45126</v>
      </c>
      <c r="U85" s="10">
        <v>1</v>
      </c>
      <c r="V85" s="3">
        <v>8.9999999999999993E-3</v>
      </c>
      <c r="W85" s="3" t="s">
        <v>256</v>
      </c>
      <c r="X85" t="s">
        <v>35</v>
      </c>
      <c r="Y85" s="7">
        <v>1</v>
      </c>
      <c r="Z85" s="11" t="s">
        <v>72</v>
      </c>
      <c r="AA85" s="36">
        <v>45432</v>
      </c>
      <c r="AB85" s="36">
        <v>45436</v>
      </c>
      <c r="AC85" s="29">
        <v>13.945144264335275</v>
      </c>
      <c r="AD85" s="7">
        <v>1</v>
      </c>
      <c r="AE85" s="26" t="s">
        <v>158</v>
      </c>
      <c r="AF85" s="26" t="s">
        <v>187</v>
      </c>
      <c r="AG85" s="26" t="s">
        <v>69</v>
      </c>
      <c r="AH85" s="26" t="s">
        <v>214</v>
      </c>
      <c r="AI85" s="7">
        <v>47</v>
      </c>
      <c r="AJ85" t="s">
        <v>1544</v>
      </c>
      <c r="AK85" t="s">
        <v>1692</v>
      </c>
    </row>
    <row r="86" spans="1:39">
      <c r="A86" s="2" t="s">
        <v>1427</v>
      </c>
      <c r="B86" s="103">
        <v>45125</v>
      </c>
      <c r="C86" s="2" t="s">
        <v>487</v>
      </c>
      <c r="D86" s="6">
        <v>2</v>
      </c>
      <c r="E86" s="6">
        <v>37</v>
      </c>
      <c r="F86" s="6">
        <v>4</v>
      </c>
      <c r="G86" s="6" t="s">
        <v>256</v>
      </c>
      <c r="H86" s="6" t="s">
        <v>256</v>
      </c>
      <c r="I86" s="24" t="s">
        <v>4</v>
      </c>
      <c r="J86" s="24" t="s">
        <v>40</v>
      </c>
      <c r="K86" s="6">
        <v>300</v>
      </c>
      <c r="L86" s="6">
        <v>3</v>
      </c>
      <c r="M86" s="6">
        <v>1</v>
      </c>
      <c r="N86" s="6" t="s">
        <v>493</v>
      </c>
      <c r="O86" s="6" t="s">
        <v>493</v>
      </c>
      <c r="P86" s="6" t="s">
        <v>493</v>
      </c>
      <c r="Q86" s="6" t="s">
        <v>493</v>
      </c>
      <c r="R86" s="8">
        <v>1.25</v>
      </c>
      <c r="S86" s="20">
        <v>45125</v>
      </c>
      <c r="T86" s="20">
        <v>45126</v>
      </c>
      <c r="U86" s="10">
        <v>1</v>
      </c>
      <c r="V86" s="3">
        <v>0.11600000000000001</v>
      </c>
      <c r="W86" s="3" t="s">
        <v>256</v>
      </c>
      <c r="X86" t="s">
        <v>35</v>
      </c>
      <c r="Y86" s="7">
        <v>1</v>
      </c>
      <c r="Z86" s="11" t="s">
        <v>73</v>
      </c>
      <c r="AA86" s="36">
        <v>45432</v>
      </c>
      <c r="AB86" s="36">
        <v>45436</v>
      </c>
      <c r="AC86" s="29">
        <v>15.062736453997553</v>
      </c>
      <c r="AD86" s="7">
        <v>1</v>
      </c>
      <c r="AE86" s="26" t="s">
        <v>159</v>
      </c>
      <c r="AF86" s="26" t="s">
        <v>188</v>
      </c>
      <c r="AG86" s="26" t="s">
        <v>69</v>
      </c>
      <c r="AH86" s="26" t="s">
        <v>214</v>
      </c>
      <c r="AI86" s="7">
        <v>59</v>
      </c>
      <c r="AJ86" t="s">
        <v>1545</v>
      </c>
      <c r="AK86" t="s">
        <v>1692</v>
      </c>
    </row>
    <row r="87" spans="1:39">
      <c r="A87" s="2" t="s">
        <v>1428</v>
      </c>
      <c r="B87" s="103">
        <v>45125</v>
      </c>
      <c r="C87" s="2" t="s">
        <v>487</v>
      </c>
      <c r="D87" s="6">
        <v>2</v>
      </c>
      <c r="E87" s="6">
        <v>38</v>
      </c>
      <c r="F87" s="6">
        <v>4</v>
      </c>
      <c r="G87" s="6" t="s">
        <v>256</v>
      </c>
      <c r="H87" s="6" t="s">
        <v>256</v>
      </c>
      <c r="I87" s="24" t="s">
        <v>4</v>
      </c>
      <c r="J87" s="24" t="s">
        <v>255</v>
      </c>
      <c r="K87" s="6">
        <v>300</v>
      </c>
      <c r="L87" s="6">
        <v>3</v>
      </c>
      <c r="M87" s="6">
        <v>2</v>
      </c>
      <c r="N87" s="6" t="s">
        <v>493</v>
      </c>
      <c r="O87" s="6" t="s">
        <v>493</v>
      </c>
      <c r="P87" s="6" t="s">
        <v>493</v>
      </c>
      <c r="Q87" s="6" t="s">
        <v>493</v>
      </c>
      <c r="R87" s="8">
        <v>3.07</v>
      </c>
      <c r="S87" s="20">
        <v>45125</v>
      </c>
      <c r="T87" s="20">
        <v>45126</v>
      </c>
      <c r="U87" s="10">
        <v>1</v>
      </c>
      <c r="V87" s="3">
        <v>0.31</v>
      </c>
      <c r="W87" s="3" t="s">
        <v>256</v>
      </c>
      <c r="X87" t="s">
        <v>35</v>
      </c>
      <c r="Y87" s="7">
        <v>1</v>
      </c>
      <c r="Z87" s="11" t="s">
        <v>74</v>
      </c>
      <c r="AA87" s="36">
        <v>45432</v>
      </c>
      <c r="AB87" s="36">
        <v>45436</v>
      </c>
      <c r="AC87" s="29">
        <v>18.542095270467009</v>
      </c>
      <c r="AD87" s="7">
        <v>1</v>
      </c>
      <c r="AE87" s="26" t="s">
        <v>160</v>
      </c>
      <c r="AF87" s="26" t="s">
        <v>189</v>
      </c>
      <c r="AG87" s="26" t="s">
        <v>69</v>
      </c>
      <c r="AH87" s="26" t="s">
        <v>214</v>
      </c>
      <c r="AI87" s="7">
        <v>71</v>
      </c>
      <c r="AJ87" t="s">
        <v>1546</v>
      </c>
      <c r="AK87" t="s">
        <v>1692</v>
      </c>
    </row>
    <row r="88" spans="1:39">
      <c r="A88" s="2" t="s">
        <v>1429</v>
      </c>
      <c r="B88" s="103">
        <v>45125</v>
      </c>
      <c r="C88" s="2" t="s">
        <v>487</v>
      </c>
      <c r="D88" s="6">
        <v>2</v>
      </c>
      <c r="E88" s="6">
        <v>41</v>
      </c>
      <c r="F88" s="6">
        <v>4</v>
      </c>
      <c r="G88" s="6" t="s">
        <v>256</v>
      </c>
      <c r="H88" s="6" t="s">
        <v>256</v>
      </c>
      <c r="I88" s="24" t="s">
        <v>4</v>
      </c>
      <c r="J88" s="24" t="s">
        <v>253</v>
      </c>
      <c r="K88" s="6">
        <v>300</v>
      </c>
      <c r="L88" s="6">
        <v>3</v>
      </c>
      <c r="M88" s="6">
        <v>5</v>
      </c>
      <c r="N88" s="6" t="s">
        <v>493</v>
      </c>
      <c r="O88" s="6" t="s">
        <v>493</v>
      </c>
      <c r="P88" s="6" t="s">
        <v>493</v>
      </c>
      <c r="Q88" s="6" t="s">
        <v>493</v>
      </c>
      <c r="R88" s="8">
        <v>1.94</v>
      </c>
      <c r="S88" s="20">
        <v>45125</v>
      </c>
      <c r="T88" s="20">
        <v>45126</v>
      </c>
      <c r="U88" s="10">
        <v>1</v>
      </c>
      <c r="V88" s="3">
        <v>0.58499999999999996</v>
      </c>
      <c r="W88" s="3" t="s">
        <v>256</v>
      </c>
      <c r="X88" t="s">
        <v>35</v>
      </c>
      <c r="Y88" s="7">
        <v>1</v>
      </c>
      <c r="Z88" s="11" t="s">
        <v>75</v>
      </c>
      <c r="AA88" s="36">
        <v>45432</v>
      </c>
      <c r="AB88" s="36">
        <v>45436</v>
      </c>
      <c r="AC88" s="29">
        <v>17.404410077504384</v>
      </c>
      <c r="AD88" s="7">
        <v>1</v>
      </c>
      <c r="AE88" s="26" t="s">
        <v>51</v>
      </c>
      <c r="AF88" s="26" t="s">
        <v>190</v>
      </c>
      <c r="AG88" s="26" t="s">
        <v>69</v>
      </c>
      <c r="AH88" s="26" t="s">
        <v>214</v>
      </c>
      <c r="AI88" s="7">
        <v>83</v>
      </c>
      <c r="AJ88" t="s">
        <v>1547</v>
      </c>
      <c r="AK88" t="s">
        <v>1692</v>
      </c>
    </row>
    <row r="89" spans="1:39">
      <c r="A89" s="2" t="s">
        <v>1430</v>
      </c>
      <c r="B89" s="103">
        <v>45125</v>
      </c>
      <c r="C89" s="2" t="s">
        <v>487</v>
      </c>
      <c r="D89" s="6">
        <v>2</v>
      </c>
      <c r="E89" s="6">
        <v>44</v>
      </c>
      <c r="F89" s="6">
        <v>4</v>
      </c>
      <c r="G89" s="6" t="s">
        <v>256</v>
      </c>
      <c r="H89" s="6" t="s">
        <v>256</v>
      </c>
      <c r="I89" s="24" t="s">
        <v>4</v>
      </c>
      <c r="J89" s="24" t="s">
        <v>254</v>
      </c>
      <c r="K89" s="6">
        <v>300</v>
      </c>
      <c r="L89" s="6">
        <v>3</v>
      </c>
      <c r="M89" s="6">
        <v>8</v>
      </c>
      <c r="N89" s="6" t="s">
        <v>493</v>
      </c>
      <c r="O89" s="6" t="s">
        <v>493</v>
      </c>
      <c r="P89" s="6" t="s">
        <v>493</v>
      </c>
      <c r="Q89" s="6" t="s">
        <v>493</v>
      </c>
      <c r="R89" s="8">
        <v>2.0699999999999998</v>
      </c>
      <c r="S89" s="20">
        <v>45125</v>
      </c>
      <c r="T89" s="20">
        <v>45126</v>
      </c>
      <c r="U89" s="10">
        <v>1</v>
      </c>
      <c r="V89" s="3">
        <v>0.11</v>
      </c>
      <c r="W89" s="3" t="s">
        <v>256</v>
      </c>
      <c r="X89" t="s">
        <v>35</v>
      </c>
      <c r="Y89" s="7">
        <v>1</v>
      </c>
      <c r="Z89" s="11" t="s">
        <v>76</v>
      </c>
      <c r="AA89" s="36">
        <v>45432</v>
      </c>
      <c r="AB89" s="36">
        <v>45436</v>
      </c>
      <c r="AC89" s="29">
        <v>19.983783562723353</v>
      </c>
      <c r="AD89" s="7">
        <v>1</v>
      </c>
      <c r="AE89" s="26" t="s">
        <v>162</v>
      </c>
      <c r="AF89" s="26" t="s">
        <v>192</v>
      </c>
      <c r="AG89" s="26" t="s">
        <v>69</v>
      </c>
      <c r="AH89" s="26" t="s">
        <v>214</v>
      </c>
      <c r="AI89" s="7">
        <v>95</v>
      </c>
      <c r="AJ89" t="s">
        <v>1548</v>
      </c>
      <c r="AK89" t="s">
        <v>1692</v>
      </c>
    </row>
    <row r="90" spans="1:39">
      <c r="A90" s="2" t="s">
        <v>1431</v>
      </c>
      <c r="B90" s="103">
        <v>45125</v>
      </c>
      <c r="C90" s="2" t="s">
        <v>487</v>
      </c>
      <c r="D90" s="6">
        <v>2</v>
      </c>
      <c r="E90" s="6">
        <v>51</v>
      </c>
      <c r="F90" s="6">
        <v>5</v>
      </c>
      <c r="G90" s="6" t="s">
        <v>256</v>
      </c>
      <c r="H90" s="6" t="s">
        <v>256</v>
      </c>
      <c r="I90" s="24" t="s">
        <v>6</v>
      </c>
      <c r="J90" s="24" t="s">
        <v>40</v>
      </c>
      <c r="K90" s="6">
        <v>300</v>
      </c>
      <c r="L90" s="6">
        <v>2</v>
      </c>
      <c r="M90" s="6">
        <v>3</v>
      </c>
      <c r="N90" s="6" t="s">
        <v>493</v>
      </c>
      <c r="O90" s="6" t="s">
        <v>493</v>
      </c>
      <c r="P90" s="6" t="s">
        <v>493</v>
      </c>
      <c r="Q90" s="6" t="s">
        <v>493</v>
      </c>
      <c r="R90" s="8">
        <v>1.42</v>
      </c>
      <c r="S90" s="20">
        <v>45125</v>
      </c>
      <c r="T90" s="20">
        <v>45126</v>
      </c>
      <c r="U90" s="10">
        <v>1</v>
      </c>
      <c r="V90" s="3">
        <v>0.49</v>
      </c>
      <c r="W90" s="3" t="s">
        <v>256</v>
      </c>
      <c r="X90" t="s">
        <v>35</v>
      </c>
      <c r="Y90" s="7">
        <v>1</v>
      </c>
      <c r="Z90" s="11" t="s">
        <v>135</v>
      </c>
      <c r="AA90" s="36">
        <v>45432</v>
      </c>
      <c r="AB90" s="36">
        <v>45436</v>
      </c>
      <c r="AC90" s="29">
        <v>12.470824738809323</v>
      </c>
      <c r="AD90" s="7">
        <v>1</v>
      </c>
      <c r="AE90" s="26" t="s">
        <v>155</v>
      </c>
      <c r="AF90" s="26" t="s">
        <v>184</v>
      </c>
      <c r="AG90" s="26" t="s">
        <v>167</v>
      </c>
      <c r="AH90" s="26" t="s">
        <v>215</v>
      </c>
      <c r="AI90" s="7">
        <v>12</v>
      </c>
      <c r="AJ90" t="s">
        <v>1549</v>
      </c>
      <c r="AK90" t="s">
        <v>1692</v>
      </c>
    </row>
    <row r="91" spans="1:39">
      <c r="A91" s="2" t="s">
        <v>1432</v>
      </c>
      <c r="B91" s="103">
        <v>45125</v>
      </c>
      <c r="C91" s="2" t="s">
        <v>487</v>
      </c>
      <c r="D91" s="6">
        <v>2</v>
      </c>
      <c r="E91" s="6">
        <v>53</v>
      </c>
      <c r="F91" s="6">
        <v>5</v>
      </c>
      <c r="G91" s="6" t="s">
        <v>256</v>
      </c>
      <c r="H91" s="6" t="s">
        <v>256</v>
      </c>
      <c r="I91" s="24" t="s">
        <v>6</v>
      </c>
      <c r="J91" s="24" t="s">
        <v>255</v>
      </c>
      <c r="K91" s="6">
        <v>300</v>
      </c>
      <c r="L91" s="6">
        <v>2</v>
      </c>
      <c r="M91" s="6">
        <v>5</v>
      </c>
      <c r="N91" s="6" t="s">
        <v>493</v>
      </c>
      <c r="O91" s="6" t="s">
        <v>493</v>
      </c>
      <c r="P91" s="6" t="s">
        <v>493</v>
      </c>
      <c r="Q91" s="6" t="s">
        <v>493</v>
      </c>
      <c r="R91" s="8">
        <v>2.82</v>
      </c>
      <c r="S91" s="20">
        <v>45125</v>
      </c>
      <c r="T91" s="20">
        <v>45126</v>
      </c>
      <c r="U91" s="10">
        <v>1</v>
      </c>
      <c r="V91" s="3">
        <v>0.24099999999999999</v>
      </c>
      <c r="W91" s="3" t="s">
        <v>256</v>
      </c>
      <c r="X91" t="s">
        <v>35</v>
      </c>
      <c r="Y91" s="7">
        <v>1</v>
      </c>
      <c r="Z91" s="11" t="s">
        <v>128</v>
      </c>
      <c r="AA91" s="36">
        <v>45432</v>
      </c>
      <c r="AB91" s="36">
        <v>45436</v>
      </c>
      <c r="AC91" s="29">
        <v>17.097492819292025</v>
      </c>
      <c r="AD91" s="7">
        <v>1</v>
      </c>
      <c r="AE91" s="26" t="s">
        <v>156</v>
      </c>
      <c r="AF91" s="26" t="s">
        <v>185</v>
      </c>
      <c r="AG91" s="26" t="s">
        <v>167</v>
      </c>
      <c r="AH91" s="26" t="s">
        <v>215</v>
      </c>
      <c r="AI91" s="7">
        <v>24</v>
      </c>
      <c r="AJ91" t="s">
        <v>1550</v>
      </c>
      <c r="AK91" t="s">
        <v>1692</v>
      </c>
    </row>
    <row r="92" spans="1:39">
      <c r="A92" s="2" t="s">
        <v>1433</v>
      </c>
      <c r="B92" s="103">
        <v>45125</v>
      </c>
      <c r="C92" s="2" t="s">
        <v>487</v>
      </c>
      <c r="D92" s="6">
        <v>2</v>
      </c>
      <c r="E92" s="6">
        <v>55</v>
      </c>
      <c r="F92" s="6">
        <v>5</v>
      </c>
      <c r="G92" s="6" t="s">
        <v>256</v>
      </c>
      <c r="H92" s="6" t="s">
        <v>256</v>
      </c>
      <c r="I92" s="24" t="s">
        <v>6</v>
      </c>
      <c r="J92" s="24" t="s">
        <v>253</v>
      </c>
      <c r="K92" s="6">
        <v>300</v>
      </c>
      <c r="L92" s="6">
        <v>2</v>
      </c>
      <c r="M92" s="6">
        <v>7</v>
      </c>
      <c r="N92" s="6" t="s">
        <v>493</v>
      </c>
      <c r="O92" s="6" t="s">
        <v>493</v>
      </c>
      <c r="P92" s="6" t="s">
        <v>493</v>
      </c>
      <c r="Q92" s="6" t="s">
        <v>493</v>
      </c>
      <c r="R92" s="8">
        <v>1.92</v>
      </c>
      <c r="S92" s="20">
        <v>45125</v>
      </c>
      <c r="T92" s="20">
        <v>45126</v>
      </c>
      <c r="U92" s="10">
        <v>1</v>
      </c>
      <c r="V92" s="3">
        <v>1.49</v>
      </c>
      <c r="W92" s="3" t="s">
        <v>256</v>
      </c>
      <c r="X92" t="s">
        <v>35</v>
      </c>
      <c r="Y92" s="7">
        <v>1</v>
      </c>
      <c r="Z92" s="11" t="s">
        <v>136</v>
      </c>
      <c r="AA92" s="36">
        <v>45432</v>
      </c>
      <c r="AB92" s="36">
        <v>45436</v>
      </c>
      <c r="AC92" s="29">
        <v>23.613429717711057</v>
      </c>
      <c r="AD92" s="7">
        <v>1</v>
      </c>
      <c r="AE92" s="26" t="s">
        <v>157</v>
      </c>
      <c r="AF92" s="26" t="s">
        <v>186</v>
      </c>
      <c r="AG92" s="26" t="s">
        <v>167</v>
      </c>
      <c r="AH92" s="26" t="s">
        <v>215</v>
      </c>
      <c r="AI92" s="7">
        <v>36</v>
      </c>
      <c r="AJ92" t="s">
        <v>1551</v>
      </c>
      <c r="AK92" t="s">
        <v>1692</v>
      </c>
    </row>
    <row r="93" spans="1:39">
      <c r="A93" s="2" t="s">
        <v>1434</v>
      </c>
      <c r="B93" s="103">
        <v>45125</v>
      </c>
      <c r="C93" s="2" t="s">
        <v>487</v>
      </c>
      <c r="D93" s="6">
        <v>2</v>
      </c>
      <c r="E93" s="6">
        <v>59</v>
      </c>
      <c r="F93" s="6">
        <v>5</v>
      </c>
      <c r="G93" s="6" t="s">
        <v>256</v>
      </c>
      <c r="H93" s="6" t="s">
        <v>256</v>
      </c>
      <c r="I93" s="24" t="s">
        <v>6</v>
      </c>
      <c r="J93" s="24" t="s">
        <v>254</v>
      </c>
      <c r="K93" s="6">
        <v>300</v>
      </c>
      <c r="L93" s="6">
        <v>2</v>
      </c>
      <c r="M93" s="6">
        <v>11</v>
      </c>
      <c r="N93" s="6" t="s">
        <v>493</v>
      </c>
      <c r="O93" s="6" t="s">
        <v>493</v>
      </c>
      <c r="P93" s="6" t="s">
        <v>493</v>
      </c>
      <c r="Q93" s="6" t="s">
        <v>493</v>
      </c>
      <c r="R93" s="8">
        <v>1.71</v>
      </c>
      <c r="S93" s="20">
        <v>45125</v>
      </c>
      <c r="T93" s="20">
        <v>45126</v>
      </c>
      <c r="U93" s="10">
        <v>1</v>
      </c>
      <c r="V93" s="3">
        <v>0.13</v>
      </c>
      <c r="W93" s="3" t="s">
        <v>256</v>
      </c>
      <c r="X93" t="s">
        <v>35</v>
      </c>
      <c r="Y93" s="7">
        <v>1</v>
      </c>
      <c r="Z93" s="11" t="s">
        <v>129</v>
      </c>
      <c r="AA93" s="36">
        <v>45432</v>
      </c>
      <c r="AB93" s="36">
        <v>45436</v>
      </c>
      <c r="AC93" s="29">
        <v>19.343317551979165</v>
      </c>
      <c r="AD93" s="7">
        <v>1</v>
      </c>
      <c r="AE93" s="26" t="s">
        <v>158</v>
      </c>
      <c r="AF93" s="26" t="s">
        <v>187</v>
      </c>
      <c r="AG93" s="26" t="s">
        <v>167</v>
      </c>
      <c r="AH93" s="26" t="s">
        <v>215</v>
      </c>
      <c r="AI93" s="7">
        <v>48</v>
      </c>
      <c r="AJ93" t="s">
        <v>1552</v>
      </c>
      <c r="AK93" t="s">
        <v>1692</v>
      </c>
    </row>
    <row r="94" spans="1:39">
      <c r="A94" s="5" t="s">
        <v>758</v>
      </c>
      <c r="B94" s="12" t="s">
        <v>256</v>
      </c>
      <c r="C94" s="5" t="s">
        <v>256</v>
      </c>
      <c r="D94" s="8" t="s">
        <v>256</v>
      </c>
      <c r="E94" s="8" t="s">
        <v>256</v>
      </c>
      <c r="F94" s="8" t="s">
        <v>256</v>
      </c>
      <c r="G94" s="6" t="s">
        <v>256</v>
      </c>
      <c r="H94" s="6" t="s">
        <v>256</v>
      </c>
      <c r="I94" s="31" t="s">
        <v>256</v>
      </c>
      <c r="J94" s="31" t="s">
        <v>256</v>
      </c>
      <c r="K94" s="8" t="s">
        <v>256</v>
      </c>
      <c r="L94" s="8" t="s">
        <v>256</v>
      </c>
      <c r="M94" s="8" t="s">
        <v>256</v>
      </c>
      <c r="N94" s="8" t="s">
        <v>256</v>
      </c>
      <c r="O94" s="8" t="s">
        <v>256</v>
      </c>
      <c r="P94" s="8" t="s">
        <v>256</v>
      </c>
      <c r="Q94" s="8" t="s">
        <v>256</v>
      </c>
      <c r="R94" s="8" t="s">
        <v>256</v>
      </c>
      <c r="S94" s="27" t="s">
        <v>256</v>
      </c>
      <c r="T94" s="27" t="s">
        <v>256</v>
      </c>
      <c r="U94" s="3" t="s">
        <v>256</v>
      </c>
      <c r="V94" s="3" t="s">
        <v>256</v>
      </c>
      <c r="W94" s="3" t="s">
        <v>256</v>
      </c>
      <c r="X94" t="s">
        <v>35</v>
      </c>
      <c r="Y94" s="7">
        <v>1</v>
      </c>
      <c r="Z94" s="11" t="s">
        <v>137</v>
      </c>
      <c r="AA94" s="36">
        <v>45432</v>
      </c>
      <c r="AB94" s="36">
        <v>45436</v>
      </c>
      <c r="AC94" s="29">
        <v>11.415409435654759</v>
      </c>
      <c r="AD94" s="7">
        <v>1</v>
      </c>
      <c r="AE94" s="26" t="s">
        <v>159</v>
      </c>
      <c r="AF94" s="26" t="s">
        <v>188</v>
      </c>
      <c r="AG94" s="26" t="s">
        <v>167</v>
      </c>
      <c r="AH94" s="26" t="s">
        <v>215</v>
      </c>
      <c r="AI94" s="7">
        <v>60</v>
      </c>
      <c r="AJ94" t="s">
        <v>1763</v>
      </c>
      <c r="AK94" t="s">
        <v>1692</v>
      </c>
      <c r="AM94" t="s">
        <v>1764</v>
      </c>
    </row>
    <row r="95" spans="1:39">
      <c r="A95" s="5" t="s">
        <v>759</v>
      </c>
      <c r="B95" s="12" t="s">
        <v>256</v>
      </c>
      <c r="C95" s="5" t="s">
        <v>256</v>
      </c>
      <c r="D95" s="8" t="s">
        <v>256</v>
      </c>
      <c r="E95" s="8" t="s">
        <v>256</v>
      </c>
      <c r="F95" s="8" t="s">
        <v>256</v>
      </c>
      <c r="G95" s="6" t="s">
        <v>256</v>
      </c>
      <c r="H95" s="6" t="s">
        <v>256</v>
      </c>
      <c r="I95" s="31" t="s">
        <v>256</v>
      </c>
      <c r="J95" s="31" t="s">
        <v>256</v>
      </c>
      <c r="K95" s="8" t="s">
        <v>256</v>
      </c>
      <c r="L95" s="8" t="s">
        <v>256</v>
      </c>
      <c r="M95" s="8" t="s">
        <v>256</v>
      </c>
      <c r="N95" s="8" t="s">
        <v>256</v>
      </c>
      <c r="O95" s="8" t="s">
        <v>256</v>
      </c>
      <c r="P95" s="8" t="s">
        <v>256</v>
      </c>
      <c r="Q95" s="8" t="s">
        <v>256</v>
      </c>
      <c r="R95" s="8" t="s">
        <v>256</v>
      </c>
      <c r="S95" s="27" t="s">
        <v>256</v>
      </c>
      <c r="T95" s="27" t="s">
        <v>256</v>
      </c>
      <c r="U95" s="3" t="s">
        <v>256</v>
      </c>
      <c r="V95" s="3" t="s">
        <v>256</v>
      </c>
      <c r="W95" s="3" t="s">
        <v>256</v>
      </c>
      <c r="X95" t="s">
        <v>35</v>
      </c>
      <c r="Y95" s="7">
        <v>1</v>
      </c>
      <c r="Z95" s="11" t="s">
        <v>138</v>
      </c>
      <c r="AA95" s="36">
        <v>45432</v>
      </c>
      <c r="AB95" s="36">
        <v>45436</v>
      </c>
      <c r="AC95" s="29">
        <v>17.811804596583674</v>
      </c>
      <c r="AD95" s="7">
        <v>1</v>
      </c>
      <c r="AE95" s="26" t="s">
        <v>160</v>
      </c>
      <c r="AF95" s="26" t="s">
        <v>189</v>
      </c>
      <c r="AG95" s="26" t="s">
        <v>167</v>
      </c>
      <c r="AH95" s="26" t="s">
        <v>215</v>
      </c>
      <c r="AI95" s="7">
        <v>72</v>
      </c>
      <c r="AJ95" t="s">
        <v>1765</v>
      </c>
      <c r="AK95" t="s">
        <v>1692</v>
      </c>
      <c r="AM95" t="s">
        <v>1766</v>
      </c>
    </row>
    <row r="96" spans="1:39">
      <c r="A96" s="2" t="s">
        <v>1435</v>
      </c>
      <c r="B96" s="103">
        <v>45125</v>
      </c>
      <c r="C96" s="2" t="s">
        <v>487</v>
      </c>
      <c r="D96" s="6">
        <v>2</v>
      </c>
      <c r="E96" s="6">
        <v>61</v>
      </c>
      <c r="F96" s="6">
        <v>6</v>
      </c>
      <c r="G96" s="6" t="s">
        <v>256</v>
      </c>
      <c r="H96" s="6" t="s">
        <v>256</v>
      </c>
      <c r="I96" s="24" t="s">
        <v>5</v>
      </c>
      <c r="J96" s="24" t="s">
        <v>40</v>
      </c>
      <c r="K96" s="6">
        <v>300</v>
      </c>
      <c r="L96" s="6">
        <v>1</v>
      </c>
      <c r="M96" s="6">
        <v>1</v>
      </c>
      <c r="N96" s="6" t="s">
        <v>493</v>
      </c>
      <c r="O96" s="6" t="s">
        <v>493</v>
      </c>
      <c r="P96" s="6" t="s">
        <v>493</v>
      </c>
      <c r="Q96" s="6" t="s">
        <v>493</v>
      </c>
      <c r="R96" s="8">
        <v>1.65</v>
      </c>
      <c r="S96" s="20">
        <v>45125</v>
      </c>
      <c r="T96" s="20">
        <v>45126</v>
      </c>
      <c r="U96" s="10">
        <v>1</v>
      </c>
      <c r="V96" s="3">
        <v>0.622</v>
      </c>
      <c r="W96" s="3" t="s">
        <v>256</v>
      </c>
      <c r="X96" t="s">
        <v>35</v>
      </c>
      <c r="Y96" s="7">
        <v>2</v>
      </c>
      <c r="Z96" s="11" t="s">
        <v>41</v>
      </c>
      <c r="AA96" s="36">
        <v>45475</v>
      </c>
      <c r="AB96" s="36">
        <v>45475</v>
      </c>
      <c r="AC96" s="29">
        <v>17.144875676528407</v>
      </c>
      <c r="AD96" s="7">
        <v>4</v>
      </c>
      <c r="AE96" s="26" t="s">
        <v>42</v>
      </c>
      <c r="AF96" s="26" t="s">
        <v>193</v>
      </c>
      <c r="AG96" s="26" t="s">
        <v>176</v>
      </c>
      <c r="AH96" s="26" t="s">
        <v>224</v>
      </c>
      <c r="AI96" s="7">
        <v>292</v>
      </c>
      <c r="AJ96" t="s">
        <v>1555</v>
      </c>
      <c r="AK96" t="s">
        <v>1693</v>
      </c>
    </row>
    <row r="97" spans="1:39">
      <c r="A97" s="2" t="s">
        <v>1436</v>
      </c>
      <c r="B97" s="103">
        <v>45125</v>
      </c>
      <c r="C97" s="2" t="s">
        <v>487</v>
      </c>
      <c r="D97" s="6">
        <v>2</v>
      </c>
      <c r="E97" s="6">
        <v>66</v>
      </c>
      <c r="F97" s="6">
        <v>6</v>
      </c>
      <c r="G97" s="6" t="s">
        <v>256</v>
      </c>
      <c r="H97" s="6" t="s">
        <v>256</v>
      </c>
      <c r="I97" s="24" t="s">
        <v>5</v>
      </c>
      <c r="J97" s="24" t="s">
        <v>254</v>
      </c>
      <c r="K97" s="6">
        <v>300</v>
      </c>
      <c r="L97" s="6">
        <v>1</v>
      </c>
      <c r="M97" s="6">
        <v>6</v>
      </c>
      <c r="N97" s="6" t="s">
        <v>493</v>
      </c>
      <c r="O97" s="6" t="s">
        <v>493</v>
      </c>
      <c r="P97" s="6" t="s">
        <v>493</v>
      </c>
      <c r="Q97" s="6" t="s">
        <v>493</v>
      </c>
      <c r="R97" s="8">
        <v>3.24</v>
      </c>
      <c r="S97" s="20">
        <v>45125</v>
      </c>
      <c r="T97" s="20">
        <v>45126</v>
      </c>
      <c r="U97" s="10">
        <v>1</v>
      </c>
      <c r="V97" s="3">
        <v>2.4209999999999998</v>
      </c>
      <c r="W97" s="3" t="s">
        <v>256</v>
      </c>
      <c r="X97" t="s">
        <v>35</v>
      </c>
      <c r="Y97" s="7">
        <v>2</v>
      </c>
      <c r="Z97" s="11" t="s">
        <v>44</v>
      </c>
      <c r="AA97" s="36">
        <v>45475</v>
      </c>
      <c r="AB97" s="36">
        <v>45475</v>
      </c>
      <c r="AC97" s="29">
        <v>12.92593985874815</v>
      </c>
      <c r="AD97" s="7">
        <v>4</v>
      </c>
      <c r="AE97" s="26" t="s">
        <v>194</v>
      </c>
      <c r="AF97" s="26" t="s">
        <v>195</v>
      </c>
      <c r="AG97" s="26" t="s">
        <v>176</v>
      </c>
      <c r="AH97" s="26" t="s">
        <v>224</v>
      </c>
      <c r="AI97" s="7">
        <v>304</v>
      </c>
      <c r="AJ97" t="s">
        <v>1556</v>
      </c>
      <c r="AK97" t="s">
        <v>1693</v>
      </c>
    </row>
    <row r="98" spans="1:39">
      <c r="A98" s="2" t="s">
        <v>1437</v>
      </c>
      <c r="B98" s="103">
        <v>45125</v>
      </c>
      <c r="C98" s="2" t="s">
        <v>487</v>
      </c>
      <c r="D98" s="6">
        <v>2</v>
      </c>
      <c r="E98" s="6">
        <v>68</v>
      </c>
      <c r="F98" s="6">
        <v>6</v>
      </c>
      <c r="G98" s="6" t="s">
        <v>256</v>
      </c>
      <c r="H98" s="6" t="s">
        <v>256</v>
      </c>
      <c r="I98" s="24" t="s">
        <v>5</v>
      </c>
      <c r="J98" s="24" t="s">
        <v>255</v>
      </c>
      <c r="K98" s="6">
        <v>300</v>
      </c>
      <c r="L98" s="6">
        <v>1</v>
      </c>
      <c r="M98" s="6">
        <v>8</v>
      </c>
      <c r="N98" s="6" t="s">
        <v>493</v>
      </c>
      <c r="O98" s="6" t="s">
        <v>493</v>
      </c>
      <c r="P98" s="6" t="s">
        <v>493</v>
      </c>
      <c r="Q98" s="6" t="s">
        <v>493</v>
      </c>
      <c r="R98" s="8">
        <v>3.1</v>
      </c>
      <c r="S98" s="20">
        <v>45125</v>
      </c>
      <c r="T98" s="20">
        <v>45126</v>
      </c>
      <c r="U98" s="10">
        <v>1</v>
      </c>
      <c r="V98" s="3">
        <v>3.5139999999999998</v>
      </c>
      <c r="W98" s="3" t="s">
        <v>256</v>
      </c>
      <c r="X98" t="s">
        <v>35</v>
      </c>
      <c r="Y98" s="7">
        <v>2</v>
      </c>
      <c r="Z98" s="11" t="s">
        <v>46</v>
      </c>
      <c r="AA98" s="36">
        <v>45475</v>
      </c>
      <c r="AB98" s="36">
        <v>45475</v>
      </c>
      <c r="AC98" s="29">
        <v>13.971714741645027</v>
      </c>
      <c r="AD98" s="7">
        <v>4</v>
      </c>
      <c r="AE98" s="26" t="s">
        <v>196</v>
      </c>
      <c r="AF98" s="26" t="s">
        <v>197</v>
      </c>
      <c r="AG98" s="26" t="s">
        <v>176</v>
      </c>
      <c r="AH98" s="26" t="s">
        <v>224</v>
      </c>
      <c r="AI98" s="7">
        <v>316</v>
      </c>
      <c r="AJ98" t="s">
        <v>1557</v>
      </c>
      <c r="AK98" t="s">
        <v>1693</v>
      </c>
    </row>
    <row r="99" spans="1:39">
      <c r="A99" s="2" t="s">
        <v>1438</v>
      </c>
      <c r="B99" s="103">
        <v>45125</v>
      </c>
      <c r="C99" s="2" t="s">
        <v>487</v>
      </c>
      <c r="D99" s="6">
        <v>2</v>
      </c>
      <c r="E99" s="6">
        <v>72</v>
      </c>
      <c r="F99" s="6">
        <v>6</v>
      </c>
      <c r="G99" s="6" t="s">
        <v>256</v>
      </c>
      <c r="H99" s="6" t="s">
        <v>256</v>
      </c>
      <c r="I99" s="24" t="s">
        <v>5</v>
      </c>
      <c r="J99" s="24" t="s">
        <v>253</v>
      </c>
      <c r="K99" s="6">
        <v>300</v>
      </c>
      <c r="L99" s="6">
        <v>1</v>
      </c>
      <c r="M99" s="6">
        <v>12</v>
      </c>
      <c r="N99" s="6" t="s">
        <v>493</v>
      </c>
      <c r="O99" s="6" t="s">
        <v>493</v>
      </c>
      <c r="P99" s="6" t="s">
        <v>493</v>
      </c>
      <c r="Q99" s="6" t="s">
        <v>493</v>
      </c>
      <c r="R99" s="8">
        <v>3.48</v>
      </c>
      <c r="S99" s="20">
        <v>45125</v>
      </c>
      <c r="T99" s="20">
        <v>45126</v>
      </c>
      <c r="U99" s="10">
        <v>1</v>
      </c>
      <c r="V99" s="3">
        <v>2.77</v>
      </c>
      <c r="W99" s="3" t="s">
        <v>256</v>
      </c>
      <c r="X99" t="s">
        <v>35</v>
      </c>
      <c r="Y99" s="7">
        <v>2</v>
      </c>
      <c r="Z99" s="11" t="s">
        <v>48</v>
      </c>
      <c r="AA99" s="36">
        <v>45475</v>
      </c>
      <c r="AB99" s="36">
        <v>45475</v>
      </c>
      <c r="AC99" s="29">
        <v>11.542735055699827</v>
      </c>
      <c r="AD99" s="7">
        <v>4</v>
      </c>
      <c r="AE99" s="26" t="s">
        <v>198</v>
      </c>
      <c r="AF99" s="26" t="s">
        <v>199</v>
      </c>
      <c r="AG99" s="26" t="s">
        <v>176</v>
      </c>
      <c r="AH99" s="26" t="s">
        <v>224</v>
      </c>
      <c r="AI99" s="7">
        <v>328</v>
      </c>
      <c r="AJ99" t="s">
        <v>1558</v>
      </c>
      <c r="AK99" t="s">
        <v>1693</v>
      </c>
    </row>
    <row r="100" spans="1:39">
      <c r="A100" s="2" t="s">
        <v>1439</v>
      </c>
      <c r="B100" s="103">
        <v>45125</v>
      </c>
      <c r="C100" s="2" t="s">
        <v>487</v>
      </c>
      <c r="D100" s="6">
        <v>3</v>
      </c>
      <c r="E100" s="6">
        <v>75</v>
      </c>
      <c r="F100" s="6">
        <v>7</v>
      </c>
      <c r="G100" s="6" t="s">
        <v>256</v>
      </c>
      <c r="H100" s="6" t="s">
        <v>256</v>
      </c>
      <c r="I100" s="24" t="s">
        <v>4</v>
      </c>
      <c r="J100" s="24" t="s">
        <v>255</v>
      </c>
      <c r="K100" s="6">
        <v>300</v>
      </c>
      <c r="L100" s="6">
        <v>6</v>
      </c>
      <c r="M100" s="6">
        <v>15</v>
      </c>
      <c r="N100" s="6" t="s">
        <v>493</v>
      </c>
      <c r="O100" s="6" t="s">
        <v>493</v>
      </c>
      <c r="P100" s="6" t="s">
        <v>493</v>
      </c>
      <c r="Q100" s="6" t="s">
        <v>493</v>
      </c>
      <c r="R100" s="8">
        <v>4.54</v>
      </c>
      <c r="S100" s="20">
        <v>45125</v>
      </c>
      <c r="T100" s="20">
        <v>45126</v>
      </c>
      <c r="U100" s="10">
        <v>1</v>
      </c>
      <c r="V100" s="3">
        <v>0.45</v>
      </c>
      <c r="W100" s="3" t="s">
        <v>256</v>
      </c>
      <c r="X100" t="s">
        <v>35</v>
      </c>
      <c r="Y100" s="7">
        <v>2</v>
      </c>
      <c r="Z100" s="11" t="s">
        <v>50</v>
      </c>
      <c r="AA100" s="36">
        <v>45475</v>
      </c>
      <c r="AB100" s="36">
        <v>45475</v>
      </c>
      <c r="AC100" s="29">
        <v>15.224417315891237</v>
      </c>
      <c r="AD100" s="7">
        <v>4</v>
      </c>
      <c r="AE100" s="26" t="s">
        <v>200</v>
      </c>
      <c r="AF100" s="26" t="s">
        <v>201</v>
      </c>
      <c r="AG100" s="26" t="s">
        <v>176</v>
      </c>
      <c r="AH100" s="26" t="s">
        <v>224</v>
      </c>
      <c r="AI100" s="7">
        <v>340</v>
      </c>
      <c r="AJ100" t="s">
        <v>1559</v>
      </c>
      <c r="AK100" t="s">
        <v>1693</v>
      </c>
    </row>
    <row r="101" spans="1:39">
      <c r="A101" s="2" t="s">
        <v>1440</v>
      </c>
      <c r="B101" s="103">
        <v>45125</v>
      </c>
      <c r="C101" s="2" t="s">
        <v>487</v>
      </c>
      <c r="D101" s="6">
        <v>3</v>
      </c>
      <c r="E101" s="6">
        <v>80</v>
      </c>
      <c r="F101" s="6">
        <v>7</v>
      </c>
      <c r="G101" s="6" t="s">
        <v>256</v>
      </c>
      <c r="H101" s="6" t="s">
        <v>256</v>
      </c>
      <c r="I101" s="24" t="s">
        <v>4</v>
      </c>
      <c r="J101" s="24" t="s">
        <v>40</v>
      </c>
      <c r="K101" s="6">
        <v>300</v>
      </c>
      <c r="L101" s="6">
        <v>6</v>
      </c>
      <c r="M101" s="6">
        <v>20</v>
      </c>
      <c r="N101" s="6" t="s">
        <v>493</v>
      </c>
      <c r="O101" s="6" t="s">
        <v>493</v>
      </c>
      <c r="P101" s="6" t="s">
        <v>493</v>
      </c>
      <c r="Q101" s="6" t="s">
        <v>493</v>
      </c>
      <c r="R101" s="8">
        <v>2.88</v>
      </c>
      <c r="S101" s="20">
        <v>45125</v>
      </c>
      <c r="T101" s="20">
        <v>45126</v>
      </c>
      <c r="U101" s="10">
        <v>1</v>
      </c>
      <c r="V101" s="3">
        <v>0.38</v>
      </c>
      <c r="W101" s="3" t="s">
        <v>256</v>
      </c>
      <c r="X101" t="s">
        <v>35</v>
      </c>
      <c r="Y101" s="7">
        <v>2</v>
      </c>
      <c r="Z101" s="11" t="s">
        <v>52</v>
      </c>
      <c r="AA101" s="36">
        <v>45475</v>
      </c>
      <c r="AB101" s="36">
        <v>45475</v>
      </c>
      <c r="AC101" s="29">
        <v>15.367686616670307</v>
      </c>
      <c r="AD101" s="7">
        <v>4</v>
      </c>
      <c r="AE101" s="26" t="s">
        <v>202</v>
      </c>
      <c r="AF101" s="26" t="s">
        <v>203</v>
      </c>
      <c r="AG101" s="26" t="s">
        <v>176</v>
      </c>
      <c r="AH101" s="26" t="s">
        <v>224</v>
      </c>
      <c r="AI101" s="7">
        <v>352</v>
      </c>
      <c r="AJ101" t="s">
        <v>1560</v>
      </c>
      <c r="AK101" t="s">
        <v>1693</v>
      </c>
    </row>
    <row r="102" spans="1:39">
      <c r="A102" s="2" t="s">
        <v>1441</v>
      </c>
      <c r="B102" s="103">
        <v>45125</v>
      </c>
      <c r="C102" s="2" t="s">
        <v>487</v>
      </c>
      <c r="D102" s="6">
        <v>3</v>
      </c>
      <c r="E102" s="6">
        <v>81</v>
      </c>
      <c r="F102" s="6">
        <v>7</v>
      </c>
      <c r="G102" s="6" t="s">
        <v>256</v>
      </c>
      <c r="H102" s="6" t="s">
        <v>256</v>
      </c>
      <c r="I102" s="24" t="s">
        <v>4</v>
      </c>
      <c r="J102" s="24" t="s">
        <v>254</v>
      </c>
      <c r="K102" s="6">
        <v>300</v>
      </c>
      <c r="L102" s="6">
        <v>6</v>
      </c>
      <c r="M102" s="6">
        <v>21</v>
      </c>
      <c r="N102" s="6" t="s">
        <v>493</v>
      </c>
      <c r="O102" s="6" t="s">
        <v>493</v>
      </c>
      <c r="P102" s="6" t="s">
        <v>493</v>
      </c>
      <c r="Q102" s="6" t="s">
        <v>493</v>
      </c>
      <c r="R102" s="8">
        <v>3.26</v>
      </c>
      <c r="S102" s="20">
        <v>45125</v>
      </c>
      <c r="T102" s="20">
        <v>45126</v>
      </c>
      <c r="U102" s="10">
        <v>1</v>
      </c>
      <c r="V102" s="3">
        <v>0.441</v>
      </c>
      <c r="W102" s="3" t="s">
        <v>256</v>
      </c>
      <c r="X102" t="s">
        <v>35</v>
      </c>
      <c r="Y102" s="7">
        <v>2</v>
      </c>
      <c r="Z102" s="11" t="s">
        <v>54</v>
      </c>
      <c r="AA102" s="36">
        <v>45475</v>
      </c>
      <c r="AB102" s="36">
        <v>45475</v>
      </c>
      <c r="AC102" s="29">
        <v>11.212573518109522</v>
      </c>
      <c r="AD102" s="7">
        <v>4</v>
      </c>
      <c r="AE102" s="26" t="s">
        <v>204</v>
      </c>
      <c r="AF102" s="26" t="s">
        <v>205</v>
      </c>
      <c r="AG102" s="26" t="s">
        <v>176</v>
      </c>
      <c r="AH102" s="26" t="s">
        <v>224</v>
      </c>
      <c r="AI102" s="7">
        <v>364</v>
      </c>
      <c r="AJ102" t="s">
        <v>1561</v>
      </c>
      <c r="AK102" t="s">
        <v>1693</v>
      </c>
    </row>
    <row r="103" spans="1:39">
      <c r="A103" s="2" t="s">
        <v>1442</v>
      </c>
      <c r="B103" s="103">
        <v>45125</v>
      </c>
      <c r="C103" s="2" t="s">
        <v>487</v>
      </c>
      <c r="D103" s="6">
        <v>3</v>
      </c>
      <c r="E103" s="6">
        <v>82</v>
      </c>
      <c r="F103" s="6">
        <v>7</v>
      </c>
      <c r="G103" s="6" t="s">
        <v>256</v>
      </c>
      <c r="H103" s="6" t="s">
        <v>256</v>
      </c>
      <c r="I103" s="24" t="s">
        <v>4</v>
      </c>
      <c r="J103" s="24" t="s">
        <v>253</v>
      </c>
      <c r="K103" s="6">
        <v>300</v>
      </c>
      <c r="L103" s="6">
        <v>6</v>
      </c>
      <c r="M103" s="6">
        <v>22</v>
      </c>
      <c r="N103" s="6" t="s">
        <v>493</v>
      </c>
      <c r="O103" s="6" t="s">
        <v>493</v>
      </c>
      <c r="P103" s="6" t="s">
        <v>493</v>
      </c>
      <c r="Q103" s="6" t="s">
        <v>493</v>
      </c>
      <c r="R103" s="8">
        <v>3.67</v>
      </c>
      <c r="S103" s="20">
        <v>45125</v>
      </c>
      <c r="T103" s="20">
        <v>45126</v>
      </c>
      <c r="U103" s="10">
        <v>1</v>
      </c>
      <c r="V103" s="3">
        <v>0.93100000000000005</v>
      </c>
      <c r="W103" s="3" t="s">
        <v>256</v>
      </c>
      <c r="X103" t="s">
        <v>35</v>
      </c>
      <c r="Y103" s="7">
        <v>2</v>
      </c>
      <c r="Z103" s="11" t="s">
        <v>56</v>
      </c>
      <c r="AA103" s="36">
        <v>45475</v>
      </c>
      <c r="AB103" s="36">
        <v>45475</v>
      </c>
      <c r="AC103" s="29">
        <v>11.061150988196653</v>
      </c>
      <c r="AD103" s="7">
        <v>4</v>
      </c>
      <c r="AE103" s="26" t="s">
        <v>206</v>
      </c>
      <c r="AF103" s="26" t="s">
        <v>207</v>
      </c>
      <c r="AG103" s="26" t="s">
        <v>176</v>
      </c>
      <c r="AH103" s="26" t="s">
        <v>224</v>
      </c>
      <c r="AI103" s="7">
        <v>376</v>
      </c>
      <c r="AJ103" t="s">
        <v>1562</v>
      </c>
      <c r="AK103" t="s">
        <v>1693</v>
      </c>
    </row>
    <row r="104" spans="1:39">
      <c r="A104" s="2" t="s">
        <v>1443</v>
      </c>
      <c r="B104" s="103">
        <v>45125</v>
      </c>
      <c r="C104" s="2" t="s">
        <v>487</v>
      </c>
      <c r="D104" s="6">
        <v>3</v>
      </c>
      <c r="E104" s="6">
        <v>87</v>
      </c>
      <c r="F104" s="6">
        <v>8</v>
      </c>
      <c r="G104" s="6" t="s">
        <v>256</v>
      </c>
      <c r="H104" s="6" t="s">
        <v>256</v>
      </c>
      <c r="I104" s="24" t="s">
        <v>6</v>
      </c>
      <c r="J104" s="24" t="s">
        <v>254</v>
      </c>
      <c r="K104" s="6">
        <v>300</v>
      </c>
      <c r="L104" s="6">
        <v>5</v>
      </c>
      <c r="M104" s="6">
        <v>15</v>
      </c>
      <c r="N104" s="6" t="s">
        <v>493</v>
      </c>
      <c r="O104" s="6" t="s">
        <v>493</v>
      </c>
      <c r="P104" s="6" t="s">
        <v>493</v>
      </c>
      <c r="Q104" s="6" t="s">
        <v>493</v>
      </c>
      <c r="R104" s="8">
        <v>2.27</v>
      </c>
      <c r="S104" s="20">
        <v>45125</v>
      </c>
      <c r="T104" s="20">
        <v>45126</v>
      </c>
      <c r="U104" s="10">
        <v>1</v>
      </c>
      <c r="V104" s="3">
        <v>0.1</v>
      </c>
      <c r="W104" s="3" t="s">
        <v>256</v>
      </c>
      <c r="X104" t="s">
        <v>35</v>
      </c>
      <c r="Y104" s="7">
        <v>2</v>
      </c>
      <c r="Z104" s="11" t="s">
        <v>79</v>
      </c>
      <c r="AA104" s="36">
        <v>45475</v>
      </c>
      <c r="AB104" s="36">
        <v>45475</v>
      </c>
      <c r="AC104" s="29">
        <v>22.935678227313545</v>
      </c>
      <c r="AD104" s="7">
        <v>4</v>
      </c>
      <c r="AE104" s="26" t="s">
        <v>42</v>
      </c>
      <c r="AF104" s="26" t="s">
        <v>193</v>
      </c>
      <c r="AG104" s="26" t="s">
        <v>181</v>
      </c>
      <c r="AH104" s="26" t="s">
        <v>229</v>
      </c>
      <c r="AI104" s="7">
        <v>293</v>
      </c>
      <c r="AJ104" t="s">
        <v>1563</v>
      </c>
      <c r="AK104" t="s">
        <v>1693</v>
      </c>
    </row>
    <row r="105" spans="1:39">
      <c r="A105" s="2" t="s">
        <v>1444</v>
      </c>
      <c r="B105" s="103">
        <v>45125</v>
      </c>
      <c r="C105" s="2" t="s">
        <v>487</v>
      </c>
      <c r="D105" s="6">
        <v>3</v>
      </c>
      <c r="E105" s="6">
        <v>88</v>
      </c>
      <c r="F105" s="6">
        <v>8</v>
      </c>
      <c r="G105" s="6" t="s">
        <v>256</v>
      </c>
      <c r="H105" s="6" t="s">
        <v>256</v>
      </c>
      <c r="I105" s="24" t="s">
        <v>6</v>
      </c>
      <c r="J105" s="24" t="s">
        <v>253</v>
      </c>
      <c r="K105" s="6">
        <v>300</v>
      </c>
      <c r="L105" s="6">
        <v>5</v>
      </c>
      <c r="M105" s="6">
        <v>16</v>
      </c>
      <c r="N105" s="6" t="s">
        <v>493</v>
      </c>
      <c r="O105" s="6" t="s">
        <v>493</v>
      </c>
      <c r="P105" s="6" t="s">
        <v>493</v>
      </c>
      <c r="Q105" s="6" t="s">
        <v>493</v>
      </c>
      <c r="R105" s="8">
        <v>2.33</v>
      </c>
      <c r="S105" s="20">
        <v>45125</v>
      </c>
      <c r="T105" s="20">
        <v>45126</v>
      </c>
      <c r="U105" s="10">
        <v>1</v>
      </c>
      <c r="V105" s="3">
        <v>0.312</v>
      </c>
      <c r="W105" s="3" t="s">
        <v>256</v>
      </c>
      <c r="X105" t="s">
        <v>35</v>
      </c>
      <c r="Y105" s="7">
        <v>2</v>
      </c>
      <c r="Z105" s="11" t="s">
        <v>78</v>
      </c>
      <c r="AA105" s="36">
        <v>45475</v>
      </c>
      <c r="AB105" s="36">
        <v>45475</v>
      </c>
      <c r="AC105" s="29">
        <v>22.209952349747997</v>
      </c>
      <c r="AD105" s="7">
        <v>4</v>
      </c>
      <c r="AE105" s="26" t="s">
        <v>194</v>
      </c>
      <c r="AF105" s="26" t="s">
        <v>195</v>
      </c>
      <c r="AG105" s="26" t="s">
        <v>181</v>
      </c>
      <c r="AH105" s="26" t="s">
        <v>229</v>
      </c>
      <c r="AI105" s="7">
        <v>305</v>
      </c>
      <c r="AJ105" t="s">
        <v>1564</v>
      </c>
      <c r="AK105" t="s">
        <v>1693</v>
      </c>
    </row>
    <row r="106" spans="1:39">
      <c r="A106" s="2" t="s">
        <v>1445</v>
      </c>
      <c r="B106" s="103">
        <v>45125</v>
      </c>
      <c r="C106" s="2" t="s">
        <v>487</v>
      </c>
      <c r="D106" s="6">
        <v>3</v>
      </c>
      <c r="E106" s="6">
        <v>89</v>
      </c>
      <c r="F106" s="6">
        <v>8</v>
      </c>
      <c r="G106" s="6" t="s">
        <v>256</v>
      </c>
      <c r="H106" s="6" t="s">
        <v>256</v>
      </c>
      <c r="I106" s="24" t="s">
        <v>6</v>
      </c>
      <c r="J106" s="24" t="s">
        <v>255</v>
      </c>
      <c r="K106" s="6">
        <v>300</v>
      </c>
      <c r="L106" s="6">
        <v>5</v>
      </c>
      <c r="M106" s="6">
        <v>17</v>
      </c>
      <c r="N106" s="6" t="s">
        <v>493</v>
      </c>
      <c r="O106" s="6" t="s">
        <v>493</v>
      </c>
      <c r="P106" s="6" t="s">
        <v>493</v>
      </c>
      <c r="Q106" s="6" t="s">
        <v>493</v>
      </c>
      <c r="R106" s="8">
        <v>3.25</v>
      </c>
      <c r="S106" s="20">
        <v>45125</v>
      </c>
      <c r="T106" s="20">
        <v>45126</v>
      </c>
      <c r="U106" s="10">
        <v>1</v>
      </c>
      <c r="V106" s="3">
        <v>0.61299999999999999</v>
      </c>
      <c r="W106" s="3" t="s">
        <v>256</v>
      </c>
      <c r="X106" t="s">
        <v>35</v>
      </c>
      <c r="Y106" s="7">
        <v>2</v>
      </c>
      <c r="Z106" s="11" t="s">
        <v>80</v>
      </c>
      <c r="AA106" s="36">
        <v>45475</v>
      </c>
      <c r="AB106" s="36">
        <v>45475</v>
      </c>
      <c r="AC106" s="29">
        <v>21.100152496986464</v>
      </c>
      <c r="AD106" s="7">
        <v>4</v>
      </c>
      <c r="AE106" s="26" t="s">
        <v>196</v>
      </c>
      <c r="AF106" s="26" t="s">
        <v>197</v>
      </c>
      <c r="AG106" s="26" t="s">
        <v>181</v>
      </c>
      <c r="AH106" s="26" t="s">
        <v>229</v>
      </c>
      <c r="AI106" s="7">
        <v>317</v>
      </c>
      <c r="AJ106" t="s">
        <v>1565</v>
      </c>
      <c r="AK106" t="s">
        <v>1693</v>
      </c>
    </row>
    <row r="107" spans="1:39">
      <c r="A107" s="2" t="s">
        <v>1446</v>
      </c>
      <c r="B107" s="103">
        <v>45125</v>
      </c>
      <c r="C107" s="2" t="s">
        <v>487</v>
      </c>
      <c r="D107" s="6">
        <v>3</v>
      </c>
      <c r="E107" s="6">
        <v>91</v>
      </c>
      <c r="F107" s="6">
        <v>8</v>
      </c>
      <c r="G107" s="6" t="s">
        <v>256</v>
      </c>
      <c r="H107" s="6" t="s">
        <v>256</v>
      </c>
      <c r="I107" s="24" t="s">
        <v>6</v>
      </c>
      <c r="J107" s="24" t="s">
        <v>40</v>
      </c>
      <c r="K107" s="6">
        <v>300</v>
      </c>
      <c r="L107" s="6">
        <v>5</v>
      </c>
      <c r="M107" s="6">
        <v>19</v>
      </c>
      <c r="N107" s="6" t="s">
        <v>493</v>
      </c>
      <c r="O107" s="6" t="s">
        <v>493</v>
      </c>
      <c r="P107" s="6" t="s">
        <v>493</v>
      </c>
      <c r="Q107" s="6" t="s">
        <v>493</v>
      </c>
      <c r="R107" s="8">
        <v>1.97</v>
      </c>
      <c r="S107" s="20">
        <v>45125</v>
      </c>
      <c r="T107" s="20">
        <v>45126</v>
      </c>
      <c r="U107" s="10">
        <v>1</v>
      </c>
      <c r="V107" s="3">
        <v>0.15</v>
      </c>
      <c r="W107" s="3" t="s">
        <v>256</v>
      </c>
      <c r="X107" t="s">
        <v>35</v>
      </c>
      <c r="Y107" s="7">
        <v>2</v>
      </c>
      <c r="Z107" s="11" t="s">
        <v>143</v>
      </c>
      <c r="AA107" s="36">
        <v>45475</v>
      </c>
      <c r="AB107" s="36">
        <v>45475</v>
      </c>
      <c r="AC107" s="29">
        <v>17.187436796673381</v>
      </c>
      <c r="AD107" s="7">
        <v>4</v>
      </c>
      <c r="AE107" s="26" t="s">
        <v>198</v>
      </c>
      <c r="AF107" s="26" t="s">
        <v>199</v>
      </c>
      <c r="AG107" s="26" t="s">
        <v>181</v>
      </c>
      <c r="AH107" s="26" t="s">
        <v>229</v>
      </c>
      <c r="AI107" s="7">
        <v>329</v>
      </c>
      <c r="AJ107" t="s">
        <v>1566</v>
      </c>
      <c r="AK107" t="s">
        <v>1693</v>
      </c>
    </row>
    <row r="108" spans="1:39">
      <c r="A108" s="2" t="s">
        <v>1447</v>
      </c>
      <c r="B108" s="103">
        <v>45125</v>
      </c>
      <c r="C108" s="2" t="s">
        <v>487</v>
      </c>
      <c r="D108" s="6">
        <v>3</v>
      </c>
      <c r="E108" s="6">
        <v>98</v>
      </c>
      <c r="F108" s="6">
        <v>9</v>
      </c>
      <c r="G108" s="6" t="s">
        <v>256</v>
      </c>
      <c r="H108" s="6" t="s">
        <v>256</v>
      </c>
      <c r="I108" s="24" t="s">
        <v>5</v>
      </c>
      <c r="J108" s="24" t="s">
        <v>253</v>
      </c>
      <c r="K108" s="6">
        <v>300</v>
      </c>
      <c r="L108" s="6">
        <v>4</v>
      </c>
      <c r="M108" s="6">
        <v>14</v>
      </c>
      <c r="N108" s="6" t="s">
        <v>493</v>
      </c>
      <c r="O108" s="6" t="s">
        <v>493</v>
      </c>
      <c r="P108" s="6" t="s">
        <v>493</v>
      </c>
      <c r="Q108" s="6" t="s">
        <v>493</v>
      </c>
      <c r="R108" s="8">
        <v>5.81</v>
      </c>
      <c r="S108" s="20">
        <v>45125</v>
      </c>
      <c r="T108" s="20">
        <v>45126</v>
      </c>
      <c r="U108" s="10">
        <v>1</v>
      </c>
      <c r="V108" s="3">
        <v>2.9740000000000002</v>
      </c>
      <c r="W108" s="3" t="s">
        <v>256</v>
      </c>
      <c r="X108" t="s">
        <v>35</v>
      </c>
      <c r="Y108" s="7">
        <v>2</v>
      </c>
      <c r="Z108" s="11" t="s">
        <v>144</v>
      </c>
      <c r="AA108" s="36">
        <v>45475</v>
      </c>
      <c r="AB108" s="36">
        <v>45475</v>
      </c>
      <c r="AC108" s="29">
        <v>17.340805989046107</v>
      </c>
      <c r="AD108" s="7">
        <v>4</v>
      </c>
      <c r="AE108" s="26" t="s">
        <v>200</v>
      </c>
      <c r="AF108" s="26" t="s">
        <v>201</v>
      </c>
      <c r="AG108" s="26" t="s">
        <v>181</v>
      </c>
      <c r="AH108" s="26" t="s">
        <v>229</v>
      </c>
      <c r="AI108" s="7">
        <v>341</v>
      </c>
      <c r="AJ108" t="s">
        <v>1567</v>
      </c>
      <c r="AK108" t="s">
        <v>1693</v>
      </c>
    </row>
    <row r="109" spans="1:39">
      <c r="A109" s="2" t="s">
        <v>1448</v>
      </c>
      <c r="B109" s="103">
        <v>45125</v>
      </c>
      <c r="C109" s="2" t="s">
        <v>487</v>
      </c>
      <c r="D109" s="6">
        <v>3</v>
      </c>
      <c r="E109" s="6">
        <v>100</v>
      </c>
      <c r="F109" s="6">
        <v>9</v>
      </c>
      <c r="G109" s="6" t="s">
        <v>256</v>
      </c>
      <c r="H109" s="6" t="s">
        <v>256</v>
      </c>
      <c r="I109" s="24" t="s">
        <v>5</v>
      </c>
      <c r="J109" s="24" t="s">
        <v>40</v>
      </c>
      <c r="K109" s="6">
        <v>300</v>
      </c>
      <c r="L109" s="6">
        <v>4</v>
      </c>
      <c r="M109" s="6">
        <v>16</v>
      </c>
      <c r="N109" s="6" t="s">
        <v>493</v>
      </c>
      <c r="O109" s="6" t="s">
        <v>493</v>
      </c>
      <c r="P109" s="6" t="s">
        <v>493</v>
      </c>
      <c r="Q109" s="6" t="s">
        <v>493</v>
      </c>
      <c r="R109" s="8">
        <v>4.71</v>
      </c>
      <c r="S109" s="20">
        <v>45125</v>
      </c>
      <c r="T109" s="20">
        <v>45126</v>
      </c>
      <c r="U109" s="10">
        <v>1</v>
      </c>
      <c r="V109" s="3">
        <v>0.378</v>
      </c>
      <c r="W109" s="3" t="s">
        <v>256</v>
      </c>
      <c r="X109" t="s">
        <v>35</v>
      </c>
      <c r="Y109" s="7">
        <v>2</v>
      </c>
      <c r="Z109" s="11" t="s">
        <v>145</v>
      </c>
      <c r="AA109" s="36">
        <v>45475</v>
      </c>
      <c r="AB109" s="36">
        <v>45475</v>
      </c>
      <c r="AC109" s="29">
        <v>17.324676500093034</v>
      </c>
      <c r="AD109" s="7">
        <v>4</v>
      </c>
      <c r="AE109" s="26" t="s">
        <v>202</v>
      </c>
      <c r="AF109" s="26" t="s">
        <v>203</v>
      </c>
      <c r="AG109" s="26" t="s">
        <v>181</v>
      </c>
      <c r="AH109" s="26" t="s">
        <v>229</v>
      </c>
      <c r="AI109" s="7">
        <v>353</v>
      </c>
      <c r="AJ109" t="s">
        <v>1568</v>
      </c>
      <c r="AK109" t="s">
        <v>1693</v>
      </c>
    </row>
    <row r="110" spans="1:39">
      <c r="A110" s="2" t="s">
        <v>1449</v>
      </c>
      <c r="B110" s="103">
        <v>45125</v>
      </c>
      <c r="C110" s="2" t="s">
        <v>487</v>
      </c>
      <c r="D110" s="6">
        <v>3</v>
      </c>
      <c r="E110" s="6">
        <v>104</v>
      </c>
      <c r="F110" s="6">
        <v>9</v>
      </c>
      <c r="G110" s="6" t="s">
        <v>256</v>
      </c>
      <c r="H110" s="6" t="s">
        <v>256</v>
      </c>
      <c r="I110" s="24" t="s">
        <v>5</v>
      </c>
      <c r="J110" s="24" t="s">
        <v>254</v>
      </c>
      <c r="K110" s="6">
        <v>300</v>
      </c>
      <c r="L110" s="6">
        <v>4</v>
      </c>
      <c r="M110" s="6">
        <v>20</v>
      </c>
      <c r="N110" s="6" t="s">
        <v>493</v>
      </c>
      <c r="O110" s="6" t="s">
        <v>493</v>
      </c>
      <c r="P110" s="6" t="s">
        <v>493</v>
      </c>
      <c r="Q110" s="6" t="s">
        <v>493</v>
      </c>
      <c r="R110" s="8">
        <v>4.21</v>
      </c>
      <c r="S110" s="20">
        <v>45125</v>
      </c>
      <c r="T110" s="20">
        <v>45126</v>
      </c>
      <c r="U110" s="10">
        <v>1</v>
      </c>
      <c r="V110" s="3">
        <v>1.8839999999999999</v>
      </c>
      <c r="W110" s="3" t="s">
        <v>256</v>
      </c>
      <c r="X110" t="s">
        <v>35</v>
      </c>
      <c r="Y110" s="7">
        <v>2</v>
      </c>
      <c r="Z110" s="11" t="s">
        <v>84</v>
      </c>
      <c r="AA110" s="36">
        <v>45475</v>
      </c>
      <c r="AB110" s="36">
        <v>45475</v>
      </c>
      <c r="AC110" s="29">
        <v>13.151828548083069</v>
      </c>
      <c r="AD110" s="7">
        <v>4</v>
      </c>
      <c r="AE110" s="26" t="s">
        <v>204</v>
      </c>
      <c r="AF110" s="26" t="s">
        <v>205</v>
      </c>
      <c r="AG110" s="26" t="s">
        <v>181</v>
      </c>
      <c r="AH110" s="26" t="s">
        <v>229</v>
      </c>
      <c r="AI110" s="7">
        <v>365</v>
      </c>
      <c r="AJ110" t="s">
        <v>1569</v>
      </c>
      <c r="AK110" t="s">
        <v>1693</v>
      </c>
    </row>
    <row r="111" spans="1:39">
      <c r="A111" s="2" t="s">
        <v>1450</v>
      </c>
      <c r="B111" s="103">
        <v>45125</v>
      </c>
      <c r="C111" s="2" t="s">
        <v>487</v>
      </c>
      <c r="D111" s="6">
        <v>3</v>
      </c>
      <c r="E111" s="6">
        <v>107</v>
      </c>
      <c r="F111" s="6">
        <v>9</v>
      </c>
      <c r="G111" s="6" t="s">
        <v>256</v>
      </c>
      <c r="H111" s="6" t="s">
        <v>256</v>
      </c>
      <c r="I111" s="24" t="s">
        <v>5</v>
      </c>
      <c r="J111" s="24" t="s">
        <v>255</v>
      </c>
      <c r="K111" s="6">
        <v>300</v>
      </c>
      <c r="L111" s="6">
        <v>4</v>
      </c>
      <c r="M111" s="6">
        <v>23</v>
      </c>
      <c r="N111" s="6" t="s">
        <v>493</v>
      </c>
      <c r="O111" s="6" t="s">
        <v>493</v>
      </c>
      <c r="P111" s="6" t="s">
        <v>493</v>
      </c>
      <c r="Q111" s="6" t="s">
        <v>493</v>
      </c>
      <c r="R111" s="8">
        <v>4.16</v>
      </c>
      <c r="S111" s="20">
        <v>45125</v>
      </c>
      <c r="T111" s="20">
        <v>45126</v>
      </c>
      <c r="U111" s="10">
        <v>1</v>
      </c>
      <c r="V111" s="3">
        <v>1.3280000000000001</v>
      </c>
      <c r="W111" s="3" t="s">
        <v>256</v>
      </c>
      <c r="X111" t="s">
        <v>35</v>
      </c>
      <c r="Y111" s="7">
        <v>2</v>
      </c>
      <c r="Z111" s="11" t="s">
        <v>85</v>
      </c>
      <c r="AA111" s="36">
        <v>45475</v>
      </c>
      <c r="AB111" s="36">
        <v>45475</v>
      </c>
      <c r="AC111" s="29">
        <v>10.487555517802102</v>
      </c>
      <c r="AD111" s="7">
        <v>4</v>
      </c>
      <c r="AE111" s="26" t="s">
        <v>206</v>
      </c>
      <c r="AF111" s="26" t="s">
        <v>207</v>
      </c>
      <c r="AG111" s="26" t="s">
        <v>181</v>
      </c>
      <c r="AH111" s="26" t="s">
        <v>229</v>
      </c>
      <c r="AI111" s="7">
        <v>377</v>
      </c>
      <c r="AJ111" t="s">
        <v>1570</v>
      </c>
      <c r="AK111" t="s">
        <v>1693</v>
      </c>
    </row>
    <row r="112" spans="1:39">
      <c r="A112" s="5" t="s">
        <v>758</v>
      </c>
      <c r="B112" s="12" t="s">
        <v>256</v>
      </c>
      <c r="C112" s="5" t="s">
        <v>256</v>
      </c>
      <c r="D112" s="8" t="s">
        <v>256</v>
      </c>
      <c r="E112" s="8" t="s">
        <v>256</v>
      </c>
      <c r="F112" s="8" t="s">
        <v>256</v>
      </c>
      <c r="G112" s="6" t="s">
        <v>256</v>
      </c>
      <c r="H112" s="6" t="s">
        <v>256</v>
      </c>
      <c r="I112" s="31" t="s">
        <v>256</v>
      </c>
      <c r="J112" s="31" t="s">
        <v>256</v>
      </c>
      <c r="K112" s="8" t="s">
        <v>256</v>
      </c>
      <c r="L112" s="8" t="s">
        <v>256</v>
      </c>
      <c r="M112" s="8" t="s">
        <v>256</v>
      </c>
      <c r="N112" s="8" t="s">
        <v>256</v>
      </c>
      <c r="O112" s="8" t="s">
        <v>256</v>
      </c>
      <c r="P112" s="8" t="s">
        <v>256</v>
      </c>
      <c r="Q112" s="8" t="s">
        <v>256</v>
      </c>
      <c r="R112" s="8" t="s">
        <v>256</v>
      </c>
      <c r="S112" s="27" t="s">
        <v>256</v>
      </c>
      <c r="T112" s="27" t="s">
        <v>256</v>
      </c>
      <c r="U112" s="3" t="s">
        <v>256</v>
      </c>
      <c r="V112" s="3" t="s">
        <v>256</v>
      </c>
      <c r="W112" s="3" t="s">
        <v>256</v>
      </c>
      <c r="X112" t="s">
        <v>35</v>
      </c>
      <c r="Y112" s="7">
        <v>2</v>
      </c>
      <c r="Z112" s="11" t="s">
        <v>136</v>
      </c>
      <c r="AA112" s="36">
        <v>45475</v>
      </c>
      <c r="AB112" s="36">
        <v>45475</v>
      </c>
      <c r="AC112" s="29">
        <v>4.0669444579278204</v>
      </c>
      <c r="AD112" s="7">
        <v>4</v>
      </c>
      <c r="AE112" s="26" t="s">
        <v>196</v>
      </c>
      <c r="AF112" s="26" t="s">
        <v>197</v>
      </c>
      <c r="AG112" s="26" t="s">
        <v>238</v>
      </c>
      <c r="AH112" s="26" t="s">
        <v>239</v>
      </c>
      <c r="AI112" s="7">
        <v>324</v>
      </c>
      <c r="AJ112" t="s">
        <v>1571</v>
      </c>
      <c r="AK112" t="s">
        <v>1693</v>
      </c>
      <c r="AM112" t="s">
        <v>1767</v>
      </c>
    </row>
    <row r="113" spans="1:39">
      <c r="A113" s="5" t="s">
        <v>759</v>
      </c>
      <c r="B113" s="12" t="s">
        <v>256</v>
      </c>
      <c r="C113" s="5" t="s">
        <v>256</v>
      </c>
      <c r="D113" s="8" t="s">
        <v>256</v>
      </c>
      <c r="E113" s="8" t="s">
        <v>256</v>
      </c>
      <c r="F113" s="8" t="s">
        <v>256</v>
      </c>
      <c r="G113" s="6" t="s">
        <v>256</v>
      </c>
      <c r="H113" s="6" t="s">
        <v>256</v>
      </c>
      <c r="I113" s="31" t="s">
        <v>256</v>
      </c>
      <c r="J113" s="31" t="s">
        <v>256</v>
      </c>
      <c r="K113" s="8" t="s">
        <v>256</v>
      </c>
      <c r="L113" s="8" t="s">
        <v>256</v>
      </c>
      <c r="M113" s="8" t="s">
        <v>256</v>
      </c>
      <c r="N113" s="8" t="s">
        <v>256</v>
      </c>
      <c r="O113" s="8" t="s">
        <v>256</v>
      </c>
      <c r="P113" s="8" t="s">
        <v>256</v>
      </c>
      <c r="Q113" s="8" t="s">
        <v>256</v>
      </c>
      <c r="R113" s="8" t="s">
        <v>256</v>
      </c>
      <c r="S113" s="27" t="s">
        <v>256</v>
      </c>
      <c r="T113" s="27" t="s">
        <v>256</v>
      </c>
      <c r="U113" s="3" t="s">
        <v>256</v>
      </c>
      <c r="V113" s="3" t="s">
        <v>256</v>
      </c>
      <c r="W113" s="3" t="s">
        <v>256</v>
      </c>
      <c r="X113" t="s">
        <v>35</v>
      </c>
      <c r="Y113" s="7">
        <v>2</v>
      </c>
      <c r="Z113" s="11" t="s">
        <v>129</v>
      </c>
      <c r="AA113" s="36">
        <v>45475</v>
      </c>
      <c r="AB113" s="36">
        <v>45475</v>
      </c>
      <c r="AC113" s="29">
        <v>21.140413016042523</v>
      </c>
      <c r="AD113" s="7">
        <v>4</v>
      </c>
      <c r="AE113" s="26" t="s">
        <v>198</v>
      </c>
      <c r="AF113" s="26" t="s">
        <v>199</v>
      </c>
      <c r="AG113" s="26" t="s">
        <v>238</v>
      </c>
      <c r="AH113" s="26" t="s">
        <v>239</v>
      </c>
      <c r="AI113" s="7">
        <v>336</v>
      </c>
      <c r="AJ113" t="s">
        <v>1572</v>
      </c>
      <c r="AK113" t="s">
        <v>1693</v>
      </c>
      <c r="AM113" t="s">
        <v>1768</v>
      </c>
    </row>
    <row r="114" spans="1:39">
      <c r="A114" s="2" t="s">
        <v>1155</v>
      </c>
      <c r="B114" s="20">
        <v>45098</v>
      </c>
      <c r="C114" s="2" t="s">
        <v>487</v>
      </c>
      <c r="D114" s="8" t="s">
        <v>256</v>
      </c>
      <c r="E114" s="6" t="s">
        <v>38</v>
      </c>
      <c r="F114" s="8" t="s">
        <v>256</v>
      </c>
      <c r="G114" s="6" t="s">
        <v>256</v>
      </c>
      <c r="H114" s="6" t="s">
        <v>256</v>
      </c>
      <c r="I114" s="24" t="s">
        <v>5</v>
      </c>
      <c r="J114" s="24" t="s">
        <v>40</v>
      </c>
      <c r="K114" s="6">
        <v>300</v>
      </c>
      <c r="L114" s="8" t="s">
        <v>256</v>
      </c>
      <c r="M114" s="8" t="s">
        <v>256</v>
      </c>
      <c r="N114" s="8" t="s">
        <v>256</v>
      </c>
      <c r="O114" s="8" t="s">
        <v>256</v>
      </c>
      <c r="P114" s="8" t="s">
        <v>256</v>
      </c>
      <c r="Q114" s="8" t="s">
        <v>256</v>
      </c>
      <c r="R114" s="6">
        <v>0.8</v>
      </c>
      <c r="S114" s="20">
        <v>45097</v>
      </c>
      <c r="T114" s="20">
        <v>45098</v>
      </c>
      <c r="U114" s="16">
        <v>1</v>
      </c>
      <c r="V114" s="15">
        <v>0.8</v>
      </c>
      <c r="W114" s="13"/>
      <c r="X114" s="5" t="s">
        <v>35</v>
      </c>
      <c r="Y114" s="13" t="s">
        <v>248</v>
      </c>
      <c r="Z114" s="12" t="s">
        <v>67</v>
      </c>
      <c r="AA114" s="17" t="s">
        <v>68</v>
      </c>
      <c r="AB114" s="17">
        <v>45400</v>
      </c>
      <c r="AC114" s="15">
        <v>20.620258427512326</v>
      </c>
      <c r="AD114" s="13">
        <v>3</v>
      </c>
      <c r="AE114" s="1" t="s">
        <v>42</v>
      </c>
      <c r="AF114" s="24" t="s">
        <v>193</v>
      </c>
      <c r="AG114" s="1" t="s">
        <v>69</v>
      </c>
      <c r="AH114" s="24" t="s">
        <v>214</v>
      </c>
      <c r="AI114" s="13">
        <v>107</v>
      </c>
      <c r="AJ114" s="5" t="s">
        <v>1769</v>
      </c>
      <c r="AK114" s="5" t="s">
        <v>1694</v>
      </c>
      <c r="AL114" t="s">
        <v>1809</v>
      </c>
    </row>
    <row r="115" spans="1:39">
      <c r="A115" s="2" t="s">
        <v>1156</v>
      </c>
      <c r="B115" s="20">
        <v>45098</v>
      </c>
      <c r="C115" s="2" t="s">
        <v>487</v>
      </c>
      <c r="D115" s="8" t="s">
        <v>256</v>
      </c>
      <c r="E115" s="6" t="s">
        <v>39</v>
      </c>
      <c r="F115" s="8" t="s">
        <v>256</v>
      </c>
      <c r="G115" s="6" t="s">
        <v>256</v>
      </c>
      <c r="H115" s="6" t="s">
        <v>256</v>
      </c>
      <c r="I115" s="24" t="s">
        <v>5</v>
      </c>
      <c r="J115" s="24" t="s">
        <v>255</v>
      </c>
      <c r="K115" s="6">
        <v>300</v>
      </c>
      <c r="L115" s="8" t="s">
        <v>256</v>
      </c>
      <c r="M115" s="8" t="s">
        <v>256</v>
      </c>
      <c r="N115" s="8" t="s">
        <v>256</v>
      </c>
      <c r="O115" s="8" t="s">
        <v>256</v>
      </c>
      <c r="P115" s="8" t="s">
        <v>256</v>
      </c>
      <c r="Q115" s="8" t="s">
        <v>256</v>
      </c>
      <c r="R115" s="6">
        <v>3.93</v>
      </c>
      <c r="S115" s="20">
        <v>45097</v>
      </c>
      <c r="T115" s="20">
        <v>45098</v>
      </c>
      <c r="U115" s="16">
        <v>1</v>
      </c>
      <c r="V115" s="15">
        <v>8.44</v>
      </c>
      <c r="W115" s="13"/>
      <c r="X115" s="5" t="s">
        <v>35</v>
      </c>
      <c r="Y115" s="13" t="s">
        <v>248</v>
      </c>
      <c r="Z115" s="12" t="s">
        <v>70</v>
      </c>
      <c r="AA115" s="17" t="s">
        <v>68</v>
      </c>
      <c r="AB115" s="17">
        <v>45400</v>
      </c>
      <c r="AC115" s="15">
        <v>19.436880727009616</v>
      </c>
      <c r="AD115" s="13">
        <v>3</v>
      </c>
      <c r="AE115" s="1" t="s">
        <v>45</v>
      </c>
      <c r="AF115" s="24" t="s">
        <v>195</v>
      </c>
      <c r="AG115" s="1" t="s">
        <v>69</v>
      </c>
      <c r="AH115" s="24" t="s">
        <v>214</v>
      </c>
      <c r="AI115" s="13">
        <v>119</v>
      </c>
      <c r="AJ115" s="5" t="s">
        <v>1770</v>
      </c>
      <c r="AK115" s="5" t="s">
        <v>1694</v>
      </c>
      <c r="AL115" t="s">
        <v>1810</v>
      </c>
    </row>
    <row r="116" spans="1:39">
      <c r="A116" s="2" t="s">
        <v>1157</v>
      </c>
      <c r="B116" s="20">
        <v>45098</v>
      </c>
      <c r="C116" s="2" t="s">
        <v>487</v>
      </c>
      <c r="D116" s="6">
        <v>2</v>
      </c>
      <c r="E116" s="6">
        <v>66</v>
      </c>
      <c r="F116" s="6">
        <v>6</v>
      </c>
      <c r="G116" s="6" t="s">
        <v>256</v>
      </c>
      <c r="H116" s="6" t="s">
        <v>256</v>
      </c>
      <c r="I116" s="24" t="s">
        <v>5</v>
      </c>
      <c r="J116" s="24" t="s">
        <v>254</v>
      </c>
      <c r="K116" s="6">
        <v>300</v>
      </c>
      <c r="L116" s="6">
        <v>1</v>
      </c>
      <c r="M116" s="6">
        <v>6</v>
      </c>
      <c r="N116" s="6" t="s">
        <v>493</v>
      </c>
      <c r="O116" s="6" t="s">
        <v>493</v>
      </c>
      <c r="P116" s="6" t="s">
        <v>493</v>
      </c>
      <c r="Q116" s="6" t="s">
        <v>493</v>
      </c>
      <c r="R116" s="6">
        <v>1.88</v>
      </c>
      <c r="S116" s="20">
        <v>45097</v>
      </c>
      <c r="T116" s="20">
        <v>45098</v>
      </c>
      <c r="U116" s="16">
        <v>1</v>
      </c>
      <c r="V116" s="15">
        <v>5.7</v>
      </c>
      <c r="W116" s="13"/>
      <c r="X116" s="5" t="s">
        <v>35</v>
      </c>
      <c r="Y116" s="13" t="s">
        <v>248</v>
      </c>
      <c r="Z116" s="12" t="s">
        <v>71</v>
      </c>
      <c r="AA116" s="17" t="s">
        <v>68</v>
      </c>
      <c r="AB116" s="17">
        <v>45400</v>
      </c>
      <c r="AC116" s="15">
        <v>19.339632931418976</v>
      </c>
      <c r="AD116" s="13">
        <v>3</v>
      </c>
      <c r="AE116" s="1" t="s">
        <v>47</v>
      </c>
      <c r="AF116" s="24" t="s">
        <v>197</v>
      </c>
      <c r="AG116" s="1" t="s">
        <v>69</v>
      </c>
      <c r="AH116" s="24" t="s">
        <v>214</v>
      </c>
      <c r="AI116" s="13">
        <v>131</v>
      </c>
      <c r="AJ116" s="5" t="s">
        <v>1573</v>
      </c>
      <c r="AK116" s="5" t="s">
        <v>1694</v>
      </c>
    </row>
    <row r="117" spans="1:39">
      <c r="A117" s="2" t="s">
        <v>1158</v>
      </c>
      <c r="B117" s="20">
        <v>45098</v>
      </c>
      <c r="C117" s="2" t="s">
        <v>487</v>
      </c>
      <c r="D117" s="6">
        <v>2</v>
      </c>
      <c r="E117" s="6">
        <v>72</v>
      </c>
      <c r="F117" s="6">
        <v>6</v>
      </c>
      <c r="G117" s="6" t="s">
        <v>256</v>
      </c>
      <c r="H117" s="6" t="s">
        <v>256</v>
      </c>
      <c r="I117" s="24" t="s">
        <v>5</v>
      </c>
      <c r="J117" s="24" t="s">
        <v>253</v>
      </c>
      <c r="K117" s="6">
        <v>300</v>
      </c>
      <c r="L117" s="6">
        <v>1</v>
      </c>
      <c r="M117" s="6">
        <v>12</v>
      </c>
      <c r="N117" s="6" t="s">
        <v>493</v>
      </c>
      <c r="O117" s="6" t="s">
        <v>493</v>
      </c>
      <c r="P117" s="6" t="s">
        <v>493</v>
      </c>
      <c r="Q117" s="6" t="s">
        <v>493</v>
      </c>
      <c r="R117" s="6">
        <v>1.44</v>
      </c>
      <c r="S117" s="20">
        <v>45097</v>
      </c>
      <c r="T117" s="20">
        <v>45098</v>
      </c>
      <c r="U117" s="16">
        <v>1</v>
      </c>
      <c r="V117" s="15">
        <v>7</v>
      </c>
      <c r="W117" s="13"/>
      <c r="X117" s="5" t="s">
        <v>35</v>
      </c>
      <c r="Y117" s="13" t="s">
        <v>248</v>
      </c>
      <c r="Z117" s="12" t="s">
        <v>72</v>
      </c>
      <c r="AA117" s="17" t="s">
        <v>68</v>
      </c>
      <c r="AB117" s="17">
        <v>45400</v>
      </c>
      <c r="AC117" s="15">
        <v>20.2283730298007</v>
      </c>
      <c r="AD117" s="13">
        <v>3</v>
      </c>
      <c r="AE117" s="1" t="s">
        <v>49</v>
      </c>
      <c r="AF117" s="24" t="s">
        <v>199</v>
      </c>
      <c r="AG117" s="1" t="s">
        <v>69</v>
      </c>
      <c r="AH117" s="24" t="s">
        <v>214</v>
      </c>
      <c r="AI117" s="13">
        <v>143</v>
      </c>
      <c r="AJ117" s="5" t="s">
        <v>1574</v>
      </c>
      <c r="AK117" s="5" t="s">
        <v>1694</v>
      </c>
    </row>
    <row r="118" spans="1:39">
      <c r="A118" s="2" t="s">
        <v>1159</v>
      </c>
      <c r="B118" s="20">
        <v>45098</v>
      </c>
      <c r="C118" s="2" t="s">
        <v>487</v>
      </c>
      <c r="D118" s="6">
        <v>3</v>
      </c>
      <c r="E118" s="6">
        <v>98</v>
      </c>
      <c r="F118" s="6">
        <v>9</v>
      </c>
      <c r="G118" s="6" t="s">
        <v>256</v>
      </c>
      <c r="H118" s="6" t="s">
        <v>256</v>
      </c>
      <c r="I118" s="24" t="s">
        <v>5</v>
      </c>
      <c r="J118" s="24" t="s">
        <v>253</v>
      </c>
      <c r="K118" s="6">
        <v>300</v>
      </c>
      <c r="L118" s="6">
        <v>4</v>
      </c>
      <c r="M118" s="6">
        <v>14</v>
      </c>
      <c r="N118" s="6" t="s">
        <v>493</v>
      </c>
      <c r="O118" s="6" t="s">
        <v>493</v>
      </c>
      <c r="P118" s="6" t="s">
        <v>493</v>
      </c>
      <c r="Q118" s="6" t="s">
        <v>493</v>
      </c>
      <c r="R118" s="6">
        <v>1.72</v>
      </c>
      <c r="S118" s="20">
        <v>45097</v>
      </c>
      <c r="T118" s="20">
        <v>45098</v>
      </c>
      <c r="U118" s="16">
        <v>1</v>
      </c>
      <c r="V118" s="15">
        <v>4.51</v>
      </c>
      <c r="W118" s="13"/>
      <c r="X118" s="5" t="s">
        <v>35</v>
      </c>
      <c r="Y118" s="13" t="s">
        <v>248</v>
      </c>
      <c r="Z118" s="12" t="s">
        <v>73</v>
      </c>
      <c r="AA118" s="17" t="s">
        <v>68</v>
      </c>
      <c r="AB118" s="17">
        <v>45400</v>
      </c>
      <c r="AC118" s="15">
        <v>18.669622078111416</v>
      </c>
      <c r="AD118" s="13">
        <v>3</v>
      </c>
      <c r="AE118" s="1" t="s">
        <v>51</v>
      </c>
      <c r="AF118" s="24" t="s">
        <v>201</v>
      </c>
      <c r="AG118" s="1" t="s">
        <v>69</v>
      </c>
      <c r="AH118" s="24" t="s">
        <v>214</v>
      </c>
      <c r="AI118" s="13">
        <v>155</v>
      </c>
      <c r="AJ118" s="5" t="s">
        <v>1575</v>
      </c>
      <c r="AK118" s="5" t="s">
        <v>1694</v>
      </c>
    </row>
    <row r="119" spans="1:39">
      <c r="A119" s="2" t="s">
        <v>1160</v>
      </c>
      <c r="B119" s="20">
        <v>45098</v>
      </c>
      <c r="C119" s="2" t="s">
        <v>487</v>
      </c>
      <c r="D119" s="6">
        <v>3</v>
      </c>
      <c r="E119" s="6">
        <v>100</v>
      </c>
      <c r="F119" s="6">
        <v>9</v>
      </c>
      <c r="G119" s="6" t="s">
        <v>256</v>
      </c>
      <c r="H119" s="6" t="s">
        <v>256</v>
      </c>
      <c r="I119" s="24" t="s">
        <v>5</v>
      </c>
      <c r="J119" s="24" t="s">
        <v>40</v>
      </c>
      <c r="K119" s="6">
        <v>300</v>
      </c>
      <c r="L119" s="6">
        <v>4</v>
      </c>
      <c r="M119" s="6">
        <v>16</v>
      </c>
      <c r="N119" s="6" t="s">
        <v>493</v>
      </c>
      <c r="O119" s="6" t="s">
        <v>493</v>
      </c>
      <c r="P119" s="6" t="s">
        <v>493</v>
      </c>
      <c r="Q119" s="6" t="s">
        <v>493</v>
      </c>
      <c r="R119" s="6">
        <v>2.76</v>
      </c>
      <c r="S119" s="20">
        <v>45097</v>
      </c>
      <c r="T119" s="20">
        <v>45098</v>
      </c>
      <c r="U119" s="16">
        <v>1</v>
      </c>
      <c r="V119" s="15">
        <v>3.53</v>
      </c>
      <c r="W119" s="13"/>
      <c r="X119" s="5" t="s">
        <v>35</v>
      </c>
      <c r="Y119" s="13" t="s">
        <v>248</v>
      </c>
      <c r="Z119" s="12" t="s">
        <v>74</v>
      </c>
      <c r="AA119" s="17" t="s">
        <v>68</v>
      </c>
      <c r="AB119" s="17">
        <v>45400</v>
      </c>
      <c r="AC119" s="15">
        <v>19.381437064315296</v>
      </c>
      <c r="AD119" s="13">
        <v>3</v>
      </c>
      <c r="AE119" s="1" t="s">
        <v>53</v>
      </c>
      <c r="AF119" s="24" t="s">
        <v>203</v>
      </c>
      <c r="AG119" s="1" t="s">
        <v>69</v>
      </c>
      <c r="AH119" s="24" t="s">
        <v>214</v>
      </c>
      <c r="AI119" s="13">
        <v>167</v>
      </c>
      <c r="AJ119" s="5" t="s">
        <v>1576</v>
      </c>
      <c r="AK119" s="5" t="s">
        <v>1694</v>
      </c>
    </row>
    <row r="120" spans="1:39">
      <c r="A120" s="2" t="s">
        <v>1161</v>
      </c>
      <c r="B120" s="20">
        <v>45098</v>
      </c>
      <c r="C120" s="2" t="s">
        <v>487</v>
      </c>
      <c r="D120" s="6">
        <v>3</v>
      </c>
      <c r="E120" s="6">
        <v>104</v>
      </c>
      <c r="F120" s="6">
        <v>9</v>
      </c>
      <c r="G120" s="6" t="s">
        <v>256</v>
      </c>
      <c r="H120" s="6" t="s">
        <v>256</v>
      </c>
      <c r="I120" s="24" t="s">
        <v>5</v>
      </c>
      <c r="J120" s="24" t="s">
        <v>254</v>
      </c>
      <c r="K120" s="6">
        <v>300</v>
      </c>
      <c r="L120" s="6">
        <v>4</v>
      </c>
      <c r="M120" s="6">
        <v>20</v>
      </c>
      <c r="N120" s="6" t="s">
        <v>493</v>
      </c>
      <c r="O120" s="6" t="s">
        <v>493</v>
      </c>
      <c r="P120" s="6" t="s">
        <v>493</v>
      </c>
      <c r="Q120" s="6" t="s">
        <v>493</v>
      </c>
      <c r="R120" s="6">
        <v>2.25</v>
      </c>
      <c r="S120" s="20">
        <v>45097</v>
      </c>
      <c r="T120" s="20">
        <v>45098</v>
      </c>
      <c r="U120" s="16">
        <v>1</v>
      </c>
      <c r="V120" s="15">
        <v>4.2300000000000004</v>
      </c>
      <c r="W120" s="13"/>
      <c r="X120" s="5" t="s">
        <v>35</v>
      </c>
      <c r="Y120" s="13" t="s">
        <v>248</v>
      </c>
      <c r="Z120" s="12" t="s">
        <v>75</v>
      </c>
      <c r="AA120" s="17" t="s">
        <v>68</v>
      </c>
      <c r="AB120" s="17">
        <v>45400</v>
      </c>
      <c r="AC120" s="15">
        <v>19.832254302175521</v>
      </c>
      <c r="AD120" s="13">
        <v>3</v>
      </c>
      <c r="AE120" s="1" t="s">
        <v>55</v>
      </c>
      <c r="AF120" s="24" t="s">
        <v>205</v>
      </c>
      <c r="AG120" s="1" t="s">
        <v>69</v>
      </c>
      <c r="AH120" s="24" t="s">
        <v>214</v>
      </c>
      <c r="AI120" s="13">
        <v>179</v>
      </c>
      <c r="AJ120" s="5" t="s">
        <v>1577</v>
      </c>
      <c r="AK120" s="5" t="s">
        <v>1694</v>
      </c>
    </row>
    <row r="121" spans="1:39">
      <c r="A121" s="2" t="s">
        <v>1162</v>
      </c>
      <c r="B121" s="20">
        <v>45098</v>
      </c>
      <c r="C121" s="2" t="s">
        <v>487</v>
      </c>
      <c r="D121" s="6">
        <v>3</v>
      </c>
      <c r="E121" s="6">
        <v>107</v>
      </c>
      <c r="F121" s="6">
        <v>9</v>
      </c>
      <c r="G121" s="6" t="s">
        <v>256</v>
      </c>
      <c r="H121" s="6" t="s">
        <v>256</v>
      </c>
      <c r="I121" s="24" t="s">
        <v>5</v>
      </c>
      <c r="J121" s="24" t="s">
        <v>255</v>
      </c>
      <c r="K121" s="6">
        <v>300</v>
      </c>
      <c r="L121" s="6">
        <v>4</v>
      </c>
      <c r="M121" s="6">
        <v>23</v>
      </c>
      <c r="N121" s="6" t="s">
        <v>493</v>
      </c>
      <c r="O121" s="6" t="s">
        <v>493</v>
      </c>
      <c r="P121" s="6" t="s">
        <v>493</v>
      </c>
      <c r="Q121" s="6" t="s">
        <v>493</v>
      </c>
      <c r="R121" s="6">
        <v>0.44</v>
      </c>
      <c r="S121" s="20">
        <v>45097</v>
      </c>
      <c r="T121" s="20">
        <v>45098</v>
      </c>
      <c r="U121" s="16">
        <v>1</v>
      </c>
      <c r="V121" s="15">
        <v>0.92900000000000005</v>
      </c>
      <c r="W121" s="13"/>
      <c r="X121" s="5" t="s">
        <v>35</v>
      </c>
      <c r="Y121" s="13" t="s">
        <v>248</v>
      </c>
      <c r="Z121" s="12" t="s">
        <v>76</v>
      </c>
      <c r="AA121" s="17" t="s">
        <v>68</v>
      </c>
      <c r="AB121" s="17">
        <v>45400</v>
      </c>
      <c r="AC121" s="15">
        <v>24.416108252293505</v>
      </c>
      <c r="AD121" s="13">
        <v>3</v>
      </c>
      <c r="AE121" s="1" t="s">
        <v>57</v>
      </c>
      <c r="AF121" s="24" t="s">
        <v>207</v>
      </c>
      <c r="AG121" s="1" t="s">
        <v>69</v>
      </c>
      <c r="AH121" s="24" t="s">
        <v>214</v>
      </c>
      <c r="AI121" s="13">
        <v>191</v>
      </c>
      <c r="AJ121" s="5" t="s">
        <v>1578</v>
      </c>
      <c r="AK121" s="5" t="s">
        <v>1694</v>
      </c>
    </row>
    <row r="122" spans="1:39">
      <c r="A122" s="2" t="s">
        <v>1343</v>
      </c>
      <c r="B122" s="20">
        <v>45111</v>
      </c>
      <c r="C122" s="2" t="s">
        <v>487</v>
      </c>
      <c r="D122" s="6">
        <v>1</v>
      </c>
      <c r="E122" s="6">
        <v>3</v>
      </c>
      <c r="F122" s="6">
        <v>1</v>
      </c>
      <c r="G122" s="6" t="s">
        <v>256</v>
      </c>
      <c r="H122" s="6" t="s">
        <v>256</v>
      </c>
      <c r="I122" s="24" t="s">
        <v>5</v>
      </c>
      <c r="J122" s="24" t="s">
        <v>40</v>
      </c>
      <c r="K122" s="6">
        <v>300</v>
      </c>
      <c r="L122" s="6">
        <v>6</v>
      </c>
      <c r="M122" s="6">
        <v>3</v>
      </c>
      <c r="N122" s="6" t="s">
        <v>493</v>
      </c>
      <c r="O122" s="6" t="s">
        <v>493</v>
      </c>
      <c r="P122" s="6" t="s">
        <v>493</v>
      </c>
      <c r="Q122" s="6" t="s">
        <v>493</v>
      </c>
      <c r="R122" s="8">
        <v>0.52</v>
      </c>
      <c r="S122" s="20">
        <v>45111</v>
      </c>
      <c r="T122" s="20">
        <v>45112</v>
      </c>
      <c r="U122" s="10">
        <v>1</v>
      </c>
      <c r="V122" s="3">
        <v>0.1</v>
      </c>
      <c r="W122" s="3" t="s">
        <v>256</v>
      </c>
      <c r="X122" t="s">
        <v>36</v>
      </c>
      <c r="Y122" s="7">
        <v>1</v>
      </c>
      <c r="Z122" s="11" t="s">
        <v>41</v>
      </c>
      <c r="AA122" s="36">
        <v>45414</v>
      </c>
      <c r="AB122" s="36">
        <v>45418</v>
      </c>
      <c r="AC122" s="29">
        <v>9.2122954694744159</v>
      </c>
      <c r="AD122" s="7">
        <v>4</v>
      </c>
      <c r="AE122" s="26" t="s">
        <v>42</v>
      </c>
      <c r="AF122" s="26" t="s">
        <v>193</v>
      </c>
      <c r="AG122" s="26" t="s">
        <v>173</v>
      </c>
      <c r="AH122" s="26" t="s">
        <v>221</v>
      </c>
      <c r="AI122" s="7">
        <v>289</v>
      </c>
      <c r="AJ122" t="s">
        <v>1579</v>
      </c>
      <c r="AK122" t="s">
        <v>1694</v>
      </c>
    </row>
    <row r="123" spans="1:39">
      <c r="A123" s="4" t="s">
        <v>1344</v>
      </c>
      <c r="B123" s="20">
        <v>45111</v>
      </c>
      <c r="C123" s="2" t="s">
        <v>487</v>
      </c>
      <c r="D123" s="6">
        <v>1</v>
      </c>
      <c r="E123" s="6">
        <v>5</v>
      </c>
      <c r="F123" s="6">
        <v>1</v>
      </c>
      <c r="G123" s="6" t="s">
        <v>256</v>
      </c>
      <c r="H123" s="6" t="s">
        <v>256</v>
      </c>
      <c r="I123" s="24" t="s">
        <v>5</v>
      </c>
      <c r="J123" s="24" t="s">
        <v>255</v>
      </c>
      <c r="K123" s="6">
        <v>300</v>
      </c>
      <c r="L123" s="6">
        <v>6</v>
      </c>
      <c r="M123" s="6">
        <v>5</v>
      </c>
      <c r="N123" s="6" t="s">
        <v>493</v>
      </c>
      <c r="O123" s="6" t="s">
        <v>493</v>
      </c>
      <c r="P123" s="6" t="s">
        <v>493</v>
      </c>
      <c r="Q123" s="6" t="s">
        <v>493</v>
      </c>
      <c r="R123" s="8">
        <v>1.51</v>
      </c>
      <c r="S123" s="20">
        <v>45111</v>
      </c>
      <c r="T123" s="20">
        <v>45112</v>
      </c>
      <c r="U123" s="10">
        <v>1</v>
      </c>
      <c r="V123" s="3">
        <v>0.08</v>
      </c>
      <c r="W123" s="3" t="s">
        <v>256</v>
      </c>
      <c r="X123" t="s">
        <v>36</v>
      </c>
      <c r="Y123" s="7">
        <v>1</v>
      </c>
      <c r="Z123" s="11" t="s">
        <v>44</v>
      </c>
      <c r="AA123" s="36">
        <v>45414</v>
      </c>
      <c r="AB123" s="36">
        <v>45418</v>
      </c>
      <c r="AC123" s="29">
        <v>17.153909575804434</v>
      </c>
      <c r="AD123" s="7">
        <v>4</v>
      </c>
      <c r="AE123" s="26" t="s">
        <v>45</v>
      </c>
      <c r="AF123" s="26" t="s">
        <v>195</v>
      </c>
      <c r="AG123" s="26" t="s">
        <v>173</v>
      </c>
      <c r="AH123" s="26" t="s">
        <v>221</v>
      </c>
      <c r="AI123" s="7">
        <v>301</v>
      </c>
      <c r="AJ123" t="s">
        <v>1580</v>
      </c>
      <c r="AK123" t="s">
        <v>1694</v>
      </c>
    </row>
    <row r="124" spans="1:39">
      <c r="A124" s="2" t="s">
        <v>1345</v>
      </c>
      <c r="B124" s="20">
        <v>45111</v>
      </c>
      <c r="C124" s="2" t="s">
        <v>487</v>
      </c>
      <c r="D124" s="6">
        <v>1</v>
      </c>
      <c r="E124" s="6">
        <v>9</v>
      </c>
      <c r="F124" s="6">
        <v>1</v>
      </c>
      <c r="G124" s="6" t="s">
        <v>256</v>
      </c>
      <c r="H124" s="6" t="s">
        <v>256</v>
      </c>
      <c r="I124" s="24" t="s">
        <v>5</v>
      </c>
      <c r="J124" s="24" t="s">
        <v>254</v>
      </c>
      <c r="K124" s="6">
        <v>300</v>
      </c>
      <c r="L124" s="6">
        <v>6</v>
      </c>
      <c r="M124" s="6">
        <v>9</v>
      </c>
      <c r="N124" s="6" t="s">
        <v>493</v>
      </c>
      <c r="O124" s="6" t="s">
        <v>493</v>
      </c>
      <c r="P124" s="6" t="s">
        <v>493</v>
      </c>
      <c r="Q124" s="6" t="s">
        <v>493</v>
      </c>
      <c r="R124" s="8">
        <v>1.91</v>
      </c>
      <c r="S124" s="20">
        <v>45111</v>
      </c>
      <c r="T124" s="20">
        <v>45112</v>
      </c>
      <c r="U124" s="10">
        <v>1</v>
      </c>
      <c r="V124" s="3">
        <v>0.05</v>
      </c>
      <c r="W124" s="3" t="s">
        <v>256</v>
      </c>
      <c r="X124" t="s">
        <v>36</v>
      </c>
      <c r="Y124" s="7">
        <v>1</v>
      </c>
      <c r="Z124" s="11" t="s">
        <v>46</v>
      </c>
      <c r="AA124" s="36">
        <v>45414</v>
      </c>
      <c r="AB124" s="36">
        <v>45418</v>
      </c>
      <c r="AC124" s="29">
        <v>17.647656433095463</v>
      </c>
      <c r="AD124" s="7">
        <v>4</v>
      </c>
      <c r="AE124" s="26" t="s">
        <v>47</v>
      </c>
      <c r="AF124" s="26" t="s">
        <v>197</v>
      </c>
      <c r="AG124" s="26" t="s">
        <v>173</v>
      </c>
      <c r="AH124" s="26" t="s">
        <v>221</v>
      </c>
      <c r="AI124" s="7">
        <v>313</v>
      </c>
      <c r="AJ124" t="s">
        <v>1581</v>
      </c>
      <c r="AK124" t="s">
        <v>1694</v>
      </c>
    </row>
    <row r="125" spans="1:39">
      <c r="A125" s="2" t="s">
        <v>1346</v>
      </c>
      <c r="B125" s="20">
        <v>45111</v>
      </c>
      <c r="C125" s="2" t="s">
        <v>487</v>
      </c>
      <c r="D125" s="6">
        <v>1</v>
      </c>
      <c r="E125" s="6">
        <v>10</v>
      </c>
      <c r="F125" s="6">
        <v>1</v>
      </c>
      <c r="G125" s="6" t="s">
        <v>256</v>
      </c>
      <c r="H125" s="6" t="s">
        <v>256</v>
      </c>
      <c r="I125" s="24" t="s">
        <v>5</v>
      </c>
      <c r="J125" s="24" t="s">
        <v>253</v>
      </c>
      <c r="K125" s="6">
        <v>300</v>
      </c>
      <c r="L125" s="6">
        <v>6</v>
      </c>
      <c r="M125" s="6">
        <v>10</v>
      </c>
      <c r="N125" s="6" t="s">
        <v>493</v>
      </c>
      <c r="O125" s="6" t="s">
        <v>493</v>
      </c>
      <c r="P125" s="6" t="s">
        <v>493</v>
      </c>
      <c r="Q125" s="6" t="s">
        <v>493</v>
      </c>
      <c r="R125" s="8">
        <v>0.42</v>
      </c>
      <c r="S125" s="20">
        <v>45111</v>
      </c>
      <c r="T125" s="20">
        <v>45112</v>
      </c>
      <c r="U125" s="10">
        <v>1</v>
      </c>
      <c r="V125" s="3">
        <v>0.16</v>
      </c>
      <c r="W125" s="3" t="s">
        <v>256</v>
      </c>
      <c r="X125" t="s">
        <v>36</v>
      </c>
      <c r="Y125" s="7">
        <v>1</v>
      </c>
      <c r="Z125" s="11" t="s">
        <v>48</v>
      </c>
      <c r="AA125" s="36">
        <v>45414</v>
      </c>
      <c r="AB125" s="36">
        <v>45418</v>
      </c>
      <c r="AC125" s="29">
        <v>18.573946406244669</v>
      </c>
      <c r="AD125" s="7">
        <v>4</v>
      </c>
      <c r="AE125" s="26" t="s">
        <v>49</v>
      </c>
      <c r="AF125" s="26" t="s">
        <v>199</v>
      </c>
      <c r="AG125" s="26" t="s">
        <v>173</v>
      </c>
      <c r="AH125" s="26" t="s">
        <v>221</v>
      </c>
      <c r="AI125" s="7">
        <v>325</v>
      </c>
      <c r="AJ125" t="s">
        <v>1582</v>
      </c>
      <c r="AK125" t="s">
        <v>1694</v>
      </c>
    </row>
    <row r="126" spans="1:39">
      <c r="A126" s="2" t="s">
        <v>1347</v>
      </c>
      <c r="B126" s="20">
        <v>45111</v>
      </c>
      <c r="C126" s="2" t="s">
        <v>487</v>
      </c>
      <c r="D126" s="6">
        <v>1</v>
      </c>
      <c r="E126" s="6">
        <v>17</v>
      </c>
      <c r="F126" s="6">
        <v>2</v>
      </c>
      <c r="G126" s="6" t="s">
        <v>256</v>
      </c>
      <c r="H126" s="6" t="s">
        <v>256</v>
      </c>
      <c r="I126" s="24" t="s">
        <v>4</v>
      </c>
      <c r="J126" s="24" t="s">
        <v>253</v>
      </c>
      <c r="K126" s="6">
        <v>300</v>
      </c>
      <c r="L126" s="6">
        <v>5</v>
      </c>
      <c r="M126" s="6">
        <v>5</v>
      </c>
      <c r="N126" s="6" t="s">
        <v>493</v>
      </c>
      <c r="O126" s="6" t="s">
        <v>493</v>
      </c>
      <c r="P126" s="6" t="s">
        <v>493</v>
      </c>
      <c r="Q126" s="6" t="s">
        <v>493</v>
      </c>
      <c r="R126" s="8">
        <v>1.83</v>
      </c>
      <c r="S126" s="20">
        <v>45111</v>
      </c>
      <c r="T126" s="20">
        <v>45112</v>
      </c>
      <c r="U126" s="10">
        <v>1</v>
      </c>
      <c r="V126" s="3">
        <v>0.33</v>
      </c>
      <c r="W126" s="3" t="s">
        <v>256</v>
      </c>
      <c r="X126" t="s">
        <v>36</v>
      </c>
      <c r="Y126" s="7">
        <v>1</v>
      </c>
      <c r="Z126" s="11" t="s">
        <v>50</v>
      </c>
      <c r="AA126" s="36">
        <v>45414</v>
      </c>
      <c r="AB126" s="36">
        <v>45418</v>
      </c>
      <c r="AC126" s="29">
        <v>17.029274001677578</v>
      </c>
      <c r="AD126" s="7">
        <v>4</v>
      </c>
      <c r="AE126" s="26" t="s">
        <v>51</v>
      </c>
      <c r="AF126" s="26" t="s">
        <v>201</v>
      </c>
      <c r="AG126" s="26" t="s">
        <v>173</v>
      </c>
      <c r="AH126" s="26" t="s">
        <v>221</v>
      </c>
      <c r="AI126" s="7">
        <v>337</v>
      </c>
      <c r="AJ126" t="s">
        <v>1583</v>
      </c>
      <c r="AK126" t="s">
        <v>1694</v>
      </c>
    </row>
    <row r="127" spans="1:39">
      <c r="A127" s="2" t="s">
        <v>1348</v>
      </c>
      <c r="B127" s="20">
        <v>45111</v>
      </c>
      <c r="C127" s="2" t="s">
        <v>487</v>
      </c>
      <c r="D127" s="6">
        <v>1</v>
      </c>
      <c r="E127" s="6">
        <v>18</v>
      </c>
      <c r="F127" s="6">
        <v>2</v>
      </c>
      <c r="G127" s="6" t="s">
        <v>256</v>
      </c>
      <c r="H127" s="6" t="s">
        <v>256</v>
      </c>
      <c r="I127" s="24" t="s">
        <v>4</v>
      </c>
      <c r="J127" s="24" t="s">
        <v>40</v>
      </c>
      <c r="K127" s="6">
        <v>300</v>
      </c>
      <c r="L127" s="6">
        <v>5</v>
      </c>
      <c r="M127" s="6">
        <v>6</v>
      </c>
      <c r="N127" s="6" t="s">
        <v>493</v>
      </c>
      <c r="O127" s="6" t="s">
        <v>493</v>
      </c>
      <c r="P127" s="6" t="s">
        <v>493</v>
      </c>
      <c r="Q127" s="6" t="s">
        <v>493</v>
      </c>
      <c r="R127" s="8">
        <v>1.87</v>
      </c>
      <c r="S127" s="20">
        <v>45111</v>
      </c>
      <c r="T127" s="20">
        <v>45112</v>
      </c>
      <c r="U127" s="10">
        <v>1</v>
      </c>
      <c r="V127" s="3">
        <v>0.14000000000000001</v>
      </c>
      <c r="W127" s="3" t="s">
        <v>256</v>
      </c>
      <c r="X127" t="s">
        <v>36</v>
      </c>
      <c r="Y127" s="7">
        <v>1</v>
      </c>
      <c r="Z127" s="11" t="s">
        <v>52</v>
      </c>
      <c r="AA127" s="36">
        <v>45414</v>
      </c>
      <c r="AB127" s="36">
        <v>45418</v>
      </c>
      <c r="AC127" s="29">
        <v>17.752220847672277</v>
      </c>
      <c r="AD127" s="7">
        <v>4</v>
      </c>
      <c r="AE127" s="26" t="s">
        <v>53</v>
      </c>
      <c r="AF127" s="26" t="s">
        <v>203</v>
      </c>
      <c r="AG127" s="26" t="s">
        <v>173</v>
      </c>
      <c r="AH127" s="26" t="s">
        <v>221</v>
      </c>
      <c r="AI127" s="7">
        <v>349</v>
      </c>
      <c r="AJ127" t="s">
        <v>1584</v>
      </c>
      <c r="AK127" t="s">
        <v>1694</v>
      </c>
    </row>
    <row r="128" spans="1:39">
      <c r="A128" s="4" t="s">
        <v>1349</v>
      </c>
      <c r="B128" s="20">
        <v>45111</v>
      </c>
      <c r="C128" s="2" t="s">
        <v>487</v>
      </c>
      <c r="D128" s="6">
        <v>1</v>
      </c>
      <c r="E128" s="6">
        <v>22</v>
      </c>
      <c r="F128" s="6">
        <v>2</v>
      </c>
      <c r="G128" s="6" t="s">
        <v>256</v>
      </c>
      <c r="H128" s="6" t="s">
        <v>256</v>
      </c>
      <c r="I128" s="24" t="s">
        <v>4</v>
      </c>
      <c r="J128" s="24" t="s">
        <v>254</v>
      </c>
      <c r="K128" s="6">
        <v>300</v>
      </c>
      <c r="L128" s="6">
        <v>5</v>
      </c>
      <c r="M128" s="6">
        <v>10</v>
      </c>
      <c r="N128" s="6" t="s">
        <v>493</v>
      </c>
      <c r="O128" s="6" t="s">
        <v>493</v>
      </c>
      <c r="P128" s="6" t="s">
        <v>493</v>
      </c>
      <c r="Q128" s="6" t="s">
        <v>493</v>
      </c>
      <c r="R128" s="8">
        <v>0.96</v>
      </c>
      <c r="S128" s="20">
        <v>45111</v>
      </c>
      <c r="T128" s="20">
        <v>45112</v>
      </c>
      <c r="U128" s="10">
        <v>1</v>
      </c>
      <c r="V128" s="3">
        <v>7.0000000000000007E-2</v>
      </c>
      <c r="W128" s="3" t="s">
        <v>256</v>
      </c>
      <c r="X128" t="s">
        <v>36</v>
      </c>
      <c r="Y128" s="7">
        <v>1</v>
      </c>
      <c r="Z128" s="11" t="s">
        <v>54</v>
      </c>
      <c r="AA128" s="36">
        <v>45414</v>
      </c>
      <c r="AB128" s="36">
        <v>45418</v>
      </c>
      <c r="AC128" s="29">
        <v>10.36391607119476</v>
      </c>
      <c r="AD128" s="7">
        <v>4</v>
      </c>
      <c r="AE128" s="26" t="s">
        <v>55</v>
      </c>
      <c r="AF128" s="26" t="s">
        <v>205</v>
      </c>
      <c r="AG128" s="26" t="s">
        <v>173</v>
      </c>
      <c r="AH128" s="26" t="s">
        <v>221</v>
      </c>
      <c r="AI128" s="7">
        <v>361</v>
      </c>
      <c r="AJ128" t="s">
        <v>1585</v>
      </c>
      <c r="AK128" t="s">
        <v>1694</v>
      </c>
    </row>
    <row r="129" spans="1:38">
      <c r="A129" s="2" t="s">
        <v>1350</v>
      </c>
      <c r="B129" s="20">
        <v>45111</v>
      </c>
      <c r="C129" s="2" t="s">
        <v>487</v>
      </c>
      <c r="D129" s="6">
        <v>1</v>
      </c>
      <c r="E129" s="6">
        <v>24</v>
      </c>
      <c r="F129" s="6">
        <v>2</v>
      </c>
      <c r="G129" s="6" t="s">
        <v>256</v>
      </c>
      <c r="H129" s="6" t="s">
        <v>256</v>
      </c>
      <c r="I129" s="24" t="s">
        <v>4</v>
      </c>
      <c r="J129" s="24" t="s">
        <v>255</v>
      </c>
      <c r="K129" s="6">
        <v>300</v>
      </c>
      <c r="L129" s="6">
        <v>5</v>
      </c>
      <c r="M129" s="6">
        <v>12</v>
      </c>
      <c r="N129" s="6" t="s">
        <v>493</v>
      </c>
      <c r="O129" s="6" t="s">
        <v>493</v>
      </c>
      <c r="P129" s="6" t="s">
        <v>493</v>
      </c>
      <c r="Q129" s="6" t="s">
        <v>493</v>
      </c>
      <c r="R129" s="8">
        <v>1.28</v>
      </c>
      <c r="S129" s="20">
        <v>45111</v>
      </c>
      <c r="T129" s="20">
        <v>45112</v>
      </c>
      <c r="U129" s="10">
        <v>1</v>
      </c>
      <c r="V129" s="3">
        <v>0.33</v>
      </c>
      <c r="W129" s="3" t="s">
        <v>256</v>
      </c>
      <c r="X129" t="s">
        <v>36</v>
      </c>
      <c r="Y129" s="7">
        <v>1</v>
      </c>
      <c r="Z129" s="11" t="s">
        <v>56</v>
      </c>
      <c r="AA129" s="36">
        <v>45414</v>
      </c>
      <c r="AB129" s="36">
        <v>45418</v>
      </c>
      <c r="AC129" s="29">
        <v>20.840923819817654</v>
      </c>
      <c r="AD129" s="7">
        <v>4</v>
      </c>
      <c r="AE129" s="26" t="s">
        <v>57</v>
      </c>
      <c r="AF129" s="26" t="s">
        <v>207</v>
      </c>
      <c r="AG129" s="26" t="s">
        <v>173</v>
      </c>
      <c r="AH129" s="26" t="s">
        <v>221</v>
      </c>
      <c r="AI129" s="7">
        <v>373</v>
      </c>
      <c r="AJ129" t="s">
        <v>1586</v>
      </c>
      <c r="AK129" t="s">
        <v>1694</v>
      </c>
    </row>
    <row r="130" spans="1:38">
      <c r="A130" s="2" t="s">
        <v>1351</v>
      </c>
      <c r="B130" s="20">
        <v>45111</v>
      </c>
      <c r="C130" s="2" t="s">
        <v>487</v>
      </c>
      <c r="D130" s="6">
        <v>1</v>
      </c>
      <c r="E130" s="6">
        <v>25</v>
      </c>
      <c r="F130" s="6">
        <v>3</v>
      </c>
      <c r="G130" s="6" t="s">
        <v>256</v>
      </c>
      <c r="H130" s="6" t="s">
        <v>256</v>
      </c>
      <c r="I130" s="24" t="s">
        <v>6</v>
      </c>
      <c r="J130" s="24" t="s">
        <v>253</v>
      </c>
      <c r="K130" s="6">
        <v>300</v>
      </c>
      <c r="L130" s="6">
        <v>4</v>
      </c>
      <c r="M130" s="6">
        <v>1</v>
      </c>
      <c r="N130" s="6" t="s">
        <v>493</v>
      </c>
      <c r="O130" s="6" t="s">
        <v>493</v>
      </c>
      <c r="P130" s="6" t="s">
        <v>493</v>
      </c>
      <c r="Q130" s="6" t="s">
        <v>493</v>
      </c>
      <c r="R130" s="8">
        <v>0.54</v>
      </c>
      <c r="S130" s="20">
        <v>45111</v>
      </c>
      <c r="T130" s="20">
        <v>45112</v>
      </c>
      <c r="U130" s="10">
        <v>1</v>
      </c>
      <c r="V130" s="3">
        <v>0.03</v>
      </c>
      <c r="W130" s="3" t="s">
        <v>256</v>
      </c>
      <c r="X130" t="s">
        <v>36</v>
      </c>
      <c r="Y130" s="7">
        <v>1</v>
      </c>
      <c r="Z130" s="11" t="s">
        <v>79</v>
      </c>
      <c r="AA130" s="36">
        <v>45414</v>
      </c>
      <c r="AB130" s="36">
        <v>45418</v>
      </c>
      <c r="AC130" s="29">
        <v>16.700662632507246</v>
      </c>
      <c r="AD130" s="7">
        <v>1</v>
      </c>
      <c r="AE130" s="26" t="s">
        <v>159</v>
      </c>
      <c r="AF130" s="26" t="s">
        <v>188</v>
      </c>
      <c r="AG130" s="26" t="s">
        <v>171</v>
      </c>
      <c r="AH130" s="26" t="s">
        <v>219</v>
      </c>
      <c r="AI130" s="7">
        <v>58</v>
      </c>
      <c r="AJ130" t="s">
        <v>1587</v>
      </c>
      <c r="AK130" t="s">
        <v>1694</v>
      </c>
    </row>
    <row r="131" spans="1:38">
      <c r="A131" s="2" t="s">
        <v>1352</v>
      </c>
      <c r="B131" s="20">
        <v>45111</v>
      </c>
      <c r="C131" s="2" t="s">
        <v>487</v>
      </c>
      <c r="D131" s="6">
        <v>1</v>
      </c>
      <c r="E131" s="6">
        <v>26</v>
      </c>
      <c r="F131" s="6">
        <v>3</v>
      </c>
      <c r="G131" s="6" t="s">
        <v>256</v>
      </c>
      <c r="H131" s="6" t="s">
        <v>256</v>
      </c>
      <c r="I131" s="24" t="s">
        <v>6</v>
      </c>
      <c r="J131" s="24" t="s">
        <v>255</v>
      </c>
      <c r="K131" s="6">
        <v>300</v>
      </c>
      <c r="L131" s="6">
        <v>4</v>
      </c>
      <c r="M131" s="6">
        <v>2</v>
      </c>
      <c r="N131" s="6" t="s">
        <v>493</v>
      </c>
      <c r="O131" s="6" t="s">
        <v>493</v>
      </c>
      <c r="P131" s="6" t="s">
        <v>493</v>
      </c>
      <c r="Q131" s="6" t="s">
        <v>493</v>
      </c>
      <c r="R131" s="8">
        <v>1.22</v>
      </c>
      <c r="S131" s="20">
        <v>45111</v>
      </c>
      <c r="T131" s="20">
        <v>45112</v>
      </c>
      <c r="U131" s="10">
        <v>1</v>
      </c>
      <c r="V131" s="3">
        <v>0.16</v>
      </c>
      <c r="W131" s="3" t="s">
        <v>256</v>
      </c>
      <c r="X131" t="s">
        <v>36</v>
      </c>
      <c r="Y131" s="7">
        <v>1</v>
      </c>
      <c r="Z131" s="11" t="s">
        <v>78</v>
      </c>
      <c r="AA131" s="36">
        <v>45414</v>
      </c>
      <c r="AB131" s="36">
        <v>45418</v>
      </c>
      <c r="AC131" s="29">
        <v>2.6350342502555426</v>
      </c>
      <c r="AD131" s="7">
        <v>1</v>
      </c>
      <c r="AE131" s="26" t="s">
        <v>160</v>
      </c>
      <c r="AF131" s="26" t="s">
        <v>189</v>
      </c>
      <c r="AG131" s="26" t="s">
        <v>171</v>
      </c>
      <c r="AH131" s="26" t="s">
        <v>219</v>
      </c>
      <c r="AI131" s="7">
        <v>70</v>
      </c>
      <c r="AJ131" t="s">
        <v>1588</v>
      </c>
      <c r="AK131" t="s">
        <v>1694</v>
      </c>
    </row>
    <row r="132" spans="1:38">
      <c r="A132" s="2" t="s">
        <v>1353</v>
      </c>
      <c r="B132" s="20">
        <v>45111</v>
      </c>
      <c r="C132" s="2" t="s">
        <v>487</v>
      </c>
      <c r="D132" s="6">
        <v>1</v>
      </c>
      <c r="E132" s="6">
        <v>28</v>
      </c>
      <c r="F132" s="6">
        <v>3</v>
      </c>
      <c r="G132" s="6" t="s">
        <v>256</v>
      </c>
      <c r="H132" s="6" t="s">
        <v>256</v>
      </c>
      <c r="I132" s="24" t="s">
        <v>6</v>
      </c>
      <c r="J132" s="24" t="s">
        <v>254</v>
      </c>
      <c r="K132" s="6">
        <v>300</v>
      </c>
      <c r="L132" s="6">
        <v>4</v>
      </c>
      <c r="M132" s="6">
        <v>4</v>
      </c>
      <c r="N132" s="6" t="s">
        <v>493</v>
      </c>
      <c r="O132" s="6" t="s">
        <v>493</v>
      </c>
      <c r="P132" s="6" t="s">
        <v>493</v>
      </c>
      <c r="Q132" s="6" t="s">
        <v>493</v>
      </c>
      <c r="R132" s="8">
        <v>1.1399999999999999</v>
      </c>
      <c r="S132" s="20">
        <v>45111</v>
      </c>
      <c r="T132" s="20">
        <v>45112</v>
      </c>
      <c r="U132" s="10">
        <v>1</v>
      </c>
      <c r="V132" s="3">
        <v>0.19</v>
      </c>
      <c r="W132" s="3" t="s">
        <v>256</v>
      </c>
      <c r="X132" t="s">
        <v>36</v>
      </c>
      <c r="Y132" s="7">
        <v>1</v>
      </c>
      <c r="Z132" s="11" t="s">
        <v>80</v>
      </c>
      <c r="AA132" s="36">
        <v>45414</v>
      </c>
      <c r="AB132" s="36">
        <v>45418</v>
      </c>
      <c r="AC132" s="29">
        <v>3.980352086098581</v>
      </c>
      <c r="AD132" s="7">
        <v>1</v>
      </c>
      <c r="AE132" s="26" t="s">
        <v>161</v>
      </c>
      <c r="AF132" s="26" t="s">
        <v>190</v>
      </c>
      <c r="AG132" s="26" t="s">
        <v>171</v>
      </c>
      <c r="AH132" s="26" t="s">
        <v>219</v>
      </c>
      <c r="AI132" s="7">
        <v>82</v>
      </c>
      <c r="AJ132" t="s">
        <v>1589</v>
      </c>
      <c r="AK132" t="s">
        <v>1694</v>
      </c>
    </row>
    <row r="133" spans="1:38">
      <c r="A133" s="4" t="s">
        <v>1354</v>
      </c>
      <c r="B133" s="20">
        <v>45111</v>
      </c>
      <c r="C133" s="2" t="s">
        <v>487</v>
      </c>
      <c r="D133" s="6">
        <v>1</v>
      </c>
      <c r="E133" s="6">
        <v>35</v>
      </c>
      <c r="F133" s="6">
        <v>3</v>
      </c>
      <c r="G133" s="6" t="s">
        <v>256</v>
      </c>
      <c r="H133" s="6" t="s">
        <v>256</v>
      </c>
      <c r="I133" s="24" t="s">
        <v>6</v>
      </c>
      <c r="J133" s="24" t="s">
        <v>40</v>
      </c>
      <c r="K133" s="6">
        <v>300</v>
      </c>
      <c r="L133" s="6">
        <v>4</v>
      </c>
      <c r="M133" s="6">
        <v>11</v>
      </c>
      <c r="N133" s="6" t="s">
        <v>493</v>
      </c>
      <c r="O133" s="6" t="s">
        <v>493</v>
      </c>
      <c r="P133" s="6" t="s">
        <v>493</v>
      </c>
      <c r="Q133" s="6" t="s">
        <v>493</v>
      </c>
      <c r="R133" s="8">
        <v>0.44</v>
      </c>
      <c r="S133" s="20">
        <v>45111</v>
      </c>
      <c r="T133" s="20">
        <v>45112</v>
      </c>
      <c r="U133" s="10">
        <v>1</v>
      </c>
      <c r="V133" s="3">
        <v>0.09</v>
      </c>
      <c r="W133" s="3" t="s">
        <v>256</v>
      </c>
      <c r="X133" t="s">
        <v>36</v>
      </c>
      <c r="Y133" s="7">
        <v>1</v>
      </c>
      <c r="Z133" s="11" t="s">
        <v>143</v>
      </c>
      <c r="AA133" s="36">
        <v>45414</v>
      </c>
      <c r="AB133" s="36">
        <v>45418</v>
      </c>
      <c r="AC133" s="29">
        <v>3.448782691967025</v>
      </c>
      <c r="AD133" s="7">
        <v>1</v>
      </c>
      <c r="AE133" s="26" t="s">
        <v>162</v>
      </c>
      <c r="AF133" s="26" t="s">
        <v>192</v>
      </c>
      <c r="AG133" s="26" t="s">
        <v>171</v>
      </c>
      <c r="AH133" s="26" t="s">
        <v>219</v>
      </c>
      <c r="AI133" s="7">
        <v>94</v>
      </c>
      <c r="AJ133" t="s">
        <v>1590</v>
      </c>
      <c r="AK133" t="s">
        <v>1694</v>
      </c>
    </row>
    <row r="134" spans="1:38">
      <c r="A134" s="2" t="s">
        <v>1355</v>
      </c>
      <c r="B134" s="20">
        <v>45111</v>
      </c>
      <c r="C134" s="2" t="s">
        <v>487</v>
      </c>
      <c r="D134" s="6">
        <v>2</v>
      </c>
      <c r="E134" s="6">
        <v>37</v>
      </c>
      <c r="F134" s="6">
        <v>4</v>
      </c>
      <c r="G134" s="6" t="s">
        <v>256</v>
      </c>
      <c r="H134" s="6" t="s">
        <v>256</v>
      </c>
      <c r="I134" s="24" t="s">
        <v>4</v>
      </c>
      <c r="J134" s="24" t="s">
        <v>40</v>
      </c>
      <c r="K134" s="6">
        <v>300</v>
      </c>
      <c r="L134" s="6">
        <v>3</v>
      </c>
      <c r="M134" s="6">
        <v>1</v>
      </c>
      <c r="N134" s="6" t="s">
        <v>493</v>
      </c>
      <c r="O134" s="6" t="s">
        <v>493</v>
      </c>
      <c r="P134" s="6" t="s">
        <v>493</v>
      </c>
      <c r="Q134" s="6" t="s">
        <v>493</v>
      </c>
      <c r="R134" s="8">
        <v>1.52</v>
      </c>
      <c r="S134" s="20">
        <v>45111</v>
      </c>
      <c r="T134" s="20">
        <v>45112</v>
      </c>
      <c r="U134" s="10">
        <v>1</v>
      </c>
      <c r="V134" s="3">
        <v>0.1</v>
      </c>
      <c r="W134" s="3" t="s">
        <v>256</v>
      </c>
      <c r="X134" t="s">
        <v>36</v>
      </c>
      <c r="Y134" s="7">
        <v>1</v>
      </c>
      <c r="Z134" s="11" t="s">
        <v>144</v>
      </c>
      <c r="AA134" s="36">
        <v>45414</v>
      </c>
      <c r="AB134" s="36">
        <v>45418</v>
      </c>
      <c r="AC134" s="29">
        <v>9.9700940639614402</v>
      </c>
      <c r="AD134" s="7">
        <v>1</v>
      </c>
      <c r="AE134" s="26" t="s">
        <v>155</v>
      </c>
      <c r="AF134" s="26" t="s">
        <v>184</v>
      </c>
      <c r="AG134" s="26" t="s">
        <v>69</v>
      </c>
      <c r="AH134" s="26" t="s">
        <v>214</v>
      </c>
      <c r="AI134" s="7">
        <v>11</v>
      </c>
      <c r="AJ134" t="s">
        <v>1591</v>
      </c>
      <c r="AK134" t="s">
        <v>1694</v>
      </c>
    </row>
    <row r="135" spans="1:38">
      <c r="A135" s="2" t="s">
        <v>1356</v>
      </c>
      <c r="B135" s="20">
        <v>45111</v>
      </c>
      <c r="C135" s="2" t="s">
        <v>487</v>
      </c>
      <c r="D135" s="6">
        <v>2</v>
      </c>
      <c r="E135" s="6">
        <v>38</v>
      </c>
      <c r="F135" s="6">
        <v>4</v>
      </c>
      <c r="G135" s="6" t="s">
        <v>256</v>
      </c>
      <c r="H135" s="6" t="s">
        <v>256</v>
      </c>
      <c r="I135" s="24" t="s">
        <v>4</v>
      </c>
      <c r="J135" s="24" t="s">
        <v>255</v>
      </c>
      <c r="K135" s="6">
        <v>300</v>
      </c>
      <c r="L135" s="6">
        <v>3</v>
      </c>
      <c r="M135" s="6">
        <v>2</v>
      </c>
      <c r="N135" s="6" t="s">
        <v>493</v>
      </c>
      <c r="O135" s="6" t="s">
        <v>493</v>
      </c>
      <c r="P135" s="6" t="s">
        <v>493</v>
      </c>
      <c r="Q135" s="6" t="s">
        <v>493</v>
      </c>
      <c r="R135" s="8">
        <v>1.95</v>
      </c>
      <c r="S135" s="20">
        <v>45111</v>
      </c>
      <c r="T135" s="20">
        <v>45112</v>
      </c>
      <c r="U135" s="10">
        <v>1</v>
      </c>
      <c r="V135" s="3">
        <v>0.12</v>
      </c>
      <c r="W135" s="3" t="s">
        <v>256</v>
      </c>
      <c r="X135" t="s">
        <v>36</v>
      </c>
      <c r="Y135" s="7">
        <v>1</v>
      </c>
      <c r="Z135" s="11" t="s">
        <v>145</v>
      </c>
      <c r="AA135" s="36">
        <v>45414</v>
      </c>
      <c r="AB135" s="36">
        <v>45418</v>
      </c>
      <c r="AC135" s="29">
        <v>9.3968602801563446</v>
      </c>
      <c r="AD135" s="7">
        <v>1</v>
      </c>
      <c r="AE135" s="26" t="s">
        <v>156</v>
      </c>
      <c r="AF135" s="26" t="s">
        <v>185</v>
      </c>
      <c r="AG135" s="26" t="s">
        <v>69</v>
      </c>
      <c r="AH135" s="26" t="s">
        <v>214</v>
      </c>
      <c r="AI135" s="7">
        <v>23</v>
      </c>
      <c r="AJ135" t="s">
        <v>1592</v>
      </c>
      <c r="AK135" t="s">
        <v>1694</v>
      </c>
    </row>
    <row r="136" spans="1:38">
      <c r="A136" s="2" t="s">
        <v>1357</v>
      </c>
      <c r="B136" s="20">
        <v>45111</v>
      </c>
      <c r="C136" s="2" t="s">
        <v>487</v>
      </c>
      <c r="D136" s="6">
        <v>2</v>
      </c>
      <c r="E136" s="6">
        <v>41</v>
      </c>
      <c r="F136" s="6">
        <v>4</v>
      </c>
      <c r="G136" s="6" t="s">
        <v>256</v>
      </c>
      <c r="H136" s="6" t="s">
        <v>256</v>
      </c>
      <c r="I136" s="24" t="s">
        <v>4</v>
      </c>
      <c r="J136" s="24" t="s">
        <v>253</v>
      </c>
      <c r="K136" s="6">
        <v>300</v>
      </c>
      <c r="L136" s="6">
        <v>3</v>
      </c>
      <c r="M136" s="6">
        <v>5</v>
      </c>
      <c r="N136" s="6" t="s">
        <v>493</v>
      </c>
      <c r="O136" s="6" t="s">
        <v>493</v>
      </c>
      <c r="P136" s="6" t="s">
        <v>493</v>
      </c>
      <c r="Q136" s="6" t="s">
        <v>493</v>
      </c>
      <c r="R136" s="8">
        <v>1.72</v>
      </c>
      <c r="S136" s="20">
        <v>45111</v>
      </c>
      <c r="T136" s="20">
        <v>45112</v>
      </c>
      <c r="U136" s="10">
        <v>1</v>
      </c>
      <c r="V136" s="3">
        <v>0.42</v>
      </c>
      <c r="W136" s="3" t="s">
        <v>256</v>
      </c>
      <c r="X136" t="s">
        <v>36</v>
      </c>
      <c r="Y136" s="7">
        <v>1</v>
      </c>
      <c r="Z136" s="11" t="s">
        <v>84</v>
      </c>
      <c r="AA136" s="36">
        <v>45414</v>
      </c>
      <c r="AB136" s="36">
        <v>45418</v>
      </c>
      <c r="AC136" s="29">
        <v>9.2441855987183796</v>
      </c>
      <c r="AD136" s="7">
        <v>1</v>
      </c>
      <c r="AE136" s="26" t="s">
        <v>157</v>
      </c>
      <c r="AF136" s="26" t="s">
        <v>186</v>
      </c>
      <c r="AG136" s="26" t="s">
        <v>69</v>
      </c>
      <c r="AH136" s="26" t="s">
        <v>214</v>
      </c>
      <c r="AI136" s="7">
        <v>35</v>
      </c>
      <c r="AJ136" t="s">
        <v>1593</v>
      </c>
      <c r="AK136" t="s">
        <v>1694</v>
      </c>
    </row>
    <row r="137" spans="1:38">
      <c r="A137" s="4" t="s">
        <v>1358</v>
      </c>
      <c r="B137" s="20">
        <v>45111</v>
      </c>
      <c r="C137" s="2" t="s">
        <v>487</v>
      </c>
      <c r="D137" s="6">
        <v>2</v>
      </c>
      <c r="E137" s="6">
        <v>44</v>
      </c>
      <c r="F137" s="6">
        <v>4</v>
      </c>
      <c r="G137" s="6" t="s">
        <v>256</v>
      </c>
      <c r="H137" s="6" t="s">
        <v>256</v>
      </c>
      <c r="I137" s="24" t="s">
        <v>4</v>
      </c>
      <c r="J137" s="24" t="s">
        <v>254</v>
      </c>
      <c r="K137" s="6">
        <v>300</v>
      </c>
      <c r="L137" s="6">
        <v>3</v>
      </c>
      <c r="M137" s="6">
        <v>8</v>
      </c>
      <c r="N137" s="6" t="s">
        <v>493</v>
      </c>
      <c r="O137" s="6" t="s">
        <v>493</v>
      </c>
      <c r="P137" s="6" t="s">
        <v>493</v>
      </c>
      <c r="Q137" s="6" t="s">
        <v>493</v>
      </c>
      <c r="R137" s="8">
        <v>1.86</v>
      </c>
      <c r="S137" s="20">
        <v>45111</v>
      </c>
      <c r="T137" s="20">
        <v>45112</v>
      </c>
      <c r="U137" s="10">
        <v>1</v>
      </c>
      <c r="V137" s="3">
        <v>0.08</v>
      </c>
      <c r="W137" s="3" t="s">
        <v>256</v>
      </c>
      <c r="X137" t="s">
        <v>36</v>
      </c>
      <c r="Y137" s="7">
        <v>1</v>
      </c>
      <c r="Z137" s="11" t="s">
        <v>85</v>
      </c>
      <c r="AA137" s="36">
        <v>45414</v>
      </c>
      <c r="AB137" s="36">
        <v>45418</v>
      </c>
      <c r="AC137" s="29">
        <v>6.1859698835414294</v>
      </c>
      <c r="AD137" s="7">
        <v>1</v>
      </c>
      <c r="AE137" s="26" t="s">
        <v>158</v>
      </c>
      <c r="AF137" s="26" t="s">
        <v>187</v>
      </c>
      <c r="AG137" s="26" t="s">
        <v>69</v>
      </c>
      <c r="AH137" s="26" t="s">
        <v>214</v>
      </c>
      <c r="AI137" s="7">
        <v>47</v>
      </c>
      <c r="AJ137" t="s">
        <v>1594</v>
      </c>
      <c r="AK137" t="s">
        <v>1694</v>
      </c>
    </row>
    <row r="138" spans="1:38">
      <c r="A138" s="2" t="s">
        <v>1359</v>
      </c>
      <c r="B138" s="20">
        <v>45111</v>
      </c>
      <c r="C138" s="2" t="s">
        <v>487</v>
      </c>
      <c r="D138" s="6">
        <v>2</v>
      </c>
      <c r="E138" s="6">
        <v>51</v>
      </c>
      <c r="F138" s="6">
        <v>5</v>
      </c>
      <c r="G138" s="6" t="s">
        <v>256</v>
      </c>
      <c r="H138" s="6" t="s">
        <v>256</v>
      </c>
      <c r="I138" s="24" t="s">
        <v>6</v>
      </c>
      <c r="J138" s="24" t="s">
        <v>40</v>
      </c>
      <c r="K138" s="6">
        <v>300</v>
      </c>
      <c r="L138" s="6">
        <v>2</v>
      </c>
      <c r="M138" s="6">
        <v>3</v>
      </c>
      <c r="N138" s="6" t="s">
        <v>493</v>
      </c>
      <c r="O138" s="6" t="s">
        <v>493</v>
      </c>
      <c r="P138" s="6" t="s">
        <v>493</v>
      </c>
      <c r="Q138" s="6" t="s">
        <v>493</v>
      </c>
      <c r="R138" s="8">
        <v>1.53</v>
      </c>
      <c r="S138" s="20">
        <v>45111</v>
      </c>
      <c r="T138" s="20">
        <v>45112</v>
      </c>
      <c r="U138" s="10">
        <v>1</v>
      </c>
      <c r="V138" s="3">
        <v>0.04</v>
      </c>
      <c r="W138" s="3" t="s">
        <v>256</v>
      </c>
      <c r="X138" t="s">
        <v>36</v>
      </c>
      <c r="Y138" s="7">
        <v>1</v>
      </c>
      <c r="Z138" s="11" t="s">
        <v>81</v>
      </c>
      <c r="AA138" s="36">
        <v>45414</v>
      </c>
      <c r="AB138" s="36">
        <v>45418</v>
      </c>
      <c r="AC138" s="29">
        <v>24.938090237879457</v>
      </c>
      <c r="AD138" s="7">
        <v>1</v>
      </c>
      <c r="AE138" s="26" t="s">
        <v>159</v>
      </c>
      <c r="AF138" s="26" t="s">
        <v>188</v>
      </c>
      <c r="AG138" s="26" t="s">
        <v>69</v>
      </c>
      <c r="AH138" s="26" t="s">
        <v>214</v>
      </c>
      <c r="AI138" s="7">
        <v>59</v>
      </c>
      <c r="AJ138" t="s">
        <v>1595</v>
      </c>
      <c r="AK138" t="s">
        <v>1694</v>
      </c>
    </row>
    <row r="139" spans="1:38">
      <c r="A139" s="2" t="s">
        <v>1360</v>
      </c>
      <c r="B139" s="20">
        <v>45111</v>
      </c>
      <c r="C139" s="2" t="s">
        <v>487</v>
      </c>
      <c r="D139" s="6">
        <v>2</v>
      </c>
      <c r="E139" s="6">
        <v>53</v>
      </c>
      <c r="F139" s="6">
        <v>5</v>
      </c>
      <c r="G139" s="6" t="s">
        <v>256</v>
      </c>
      <c r="H139" s="6" t="s">
        <v>256</v>
      </c>
      <c r="I139" s="24" t="s">
        <v>6</v>
      </c>
      <c r="J139" s="24" t="s">
        <v>255</v>
      </c>
      <c r="K139" s="6">
        <v>300</v>
      </c>
      <c r="L139" s="6">
        <v>2</v>
      </c>
      <c r="M139" s="6">
        <v>5</v>
      </c>
      <c r="N139" s="6" t="s">
        <v>493</v>
      </c>
      <c r="O139" s="6" t="s">
        <v>493</v>
      </c>
      <c r="P139" s="6" t="s">
        <v>493</v>
      </c>
      <c r="Q139" s="6" t="s">
        <v>493</v>
      </c>
      <c r="R139" s="8">
        <v>2.14</v>
      </c>
      <c r="S139" s="20">
        <v>45111</v>
      </c>
      <c r="T139" s="20">
        <v>45112</v>
      </c>
      <c r="U139" s="10">
        <v>1</v>
      </c>
      <c r="V139" s="3">
        <v>0.12</v>
      </c>
      <c r="W139" s="3" t="s">
        <v>256</v>
      </c>
      <c r="X139" t="s">
        <v>36</v>
      </c>
      <c r="Y139" s="7">
        <v>1</v>
      </c>
      <c r="Z139" s="11" t="s">
        <v>82</v>
      </c>
      <c r="AA139" s="36">
        <v>45414</v>
      </c>
      <c r="AB139" s="36">
        <v>45418</v>
      </c>
      <c r="AC139" s="29">
        <v>5.8551762686091466</v>
      </c>
      <c r="AD139" s="7">
        <v>1</v>
      </c>
      <c r="AE139" s="26" t="s">
        <v>160</v>
      </c>
      <c r="AF139" s="26" t="s">
        <v>189</v>
      </c>
      <c r="AG139" s="26" t="s">
        <v>69</v>
      </c>
      <c r="AH139" s="26" t="s">
        <v>214</v>
      </c>
      <c r="AI139" s="7">
        <v>71</v>
      </c>
      <c r="AJ139" t="s">
        <v>1596</v>
      </c>
      <c r="AK139" t="s">
        <v>1694</v>
      </c>
    </row>
    <row r="140" spans="1:38">
      <c r="A140" s="2" t="s">
        <v>1361</v>
      </c>
      <c r="B140" s="20">
        <v>45111</v>
      </c>
      <c r="C140" s="2" t="s">
        <v>487</v>
      </c>
      <c r="D140" s="6">
        <v>2</v>
      </c>
      <c r="E140" s="6">
        <v>55</v>
      </c>
      <c r="F140" s="6">
        <v>5</v>
      </c>
      <c r="G140" s="6" t="s">
        <v>256</v>
      </c>
      <c r="H140" s="6" t="s">
        <v>256</v>
      </c>
      <c r="I140" s="24" t="s">
        <v>6</v>
      </c>
      <c r="J140" s="24" t="s">
        <v>253</v>
      </c>
      <c r="K140" s="6">
        <v>300</v>
      </c>
      <c r="L140" s="6">
        <v>2</v>
      </c>
      <c r="M140" s="6">
        <v>7</v>
      </c>
      <c r="N140" s="6" t="s">
        <v>493</v>
      </c>
      <c r="O140" s="6" t="s">
        <v>493</v>
      </c>
      <c r="P140" s="6" t="s">
        <v>493</v>
      </c>
      <c r="Q140" s="6" t="s">
        <v>493</v>
      </c>
      <c r="R140" s="8">
        <v>1.1200000000000001</v>
      </c>
      <c r="S140" s="20">
        <v>45111</v>
      </c>
      <c r="T140" s="20">
        <v>45112</v>
      </c>
      <c r="U140" s="10">
        <v>1</v>
      </c>
      <c r="V140" s="3">
        <v>0.12</v>
      </c>
      <c r="W140" s="3" t="s">
        <v>256</v>
      </c>
      <c r="X140" t="s">
        <v>36</v>
      </c>
      <c r="Y140" s="7">
        <v>1</v>
      </c>
      <c r="Z140" s="11" t="s">
        <v>83</v>
      </c>
      <c r="AA140" s="36">
        <v>45414</v>
      </c>
      <c r="AB140" s="36">
        <v>45418</v>
      </c>
      <c r="AC140" s="29">
        <v>2.8244861911522587</v>
      </c>
      <c r="AD140" s="7">
        <v>1</v>
      </c>
      <c r="AE140" s="26" t="s">
        <v>161</v>
      </c>
      <c r="AF140" s="26" t="s">
        <v>190</v>
      </c>
      <c r="AG140" s="26" t="s">
        <v>69</v>
      </c>
      <c r="AH140" s="26" t="s">
        <v>214</v>
      </c>
      <c r="AI140" s="7">
        <v>83</v>
      </c>
      <c r="AJ140" t="s">
        <v>1597</v>
      </c>
      <c r="AK140" t="s">
        <v>1694</v>
      </c>
    </row>
    <row r="141" spans="1:38">
      <c r="A141" s="4" t="s">
        <v>1362</v>
      </c>
      <c r="B141" s="20">
        <v>45111</v>
      </c>
      <c r="C141" s="2" t="s">
        <v>487</v>
      </c>
      <c r="D141" s="6">
        <v>2</v>
      </c>
      <c r="E141" s="6">
        <v>59</v>
      </c>
      <c r="F141" s="6">
        <v>5</v>
      </c>
      <c r="G141" s="6" t="s">
        <v>256</v>
      </c>
      <c r="H141" s="6" t="s">
        <v>256</v>
      </c>
      <c r="I141" s="24" t="s">
        <v>6</v>
      </c>
      <c r="J141" s="24" t="s">
        <v>254</v>
      </c>
      <c r="K141" s="6">
        <v>300</v>
      </c>
      <c r="L141" s="6">
        <v>2</v>
      </c>
      <c r="M141" s="6">
        <v>11</v>
      </c>
      <c r="N141" s="6" t="s">
        <v>493</v>
      </c>
      <c r="O141" s="6" t="s">
        <v>493</v>
      </c>
      <c r="P141" s="6" t="s">
        <v>493</v>
      </c>
      <c r="Q141" s="6" t="s">
        <v>493</v>
      </c>
      <c r="R141" s="8">
        <v>1.49</v>
      </c>
      <c r="S141" s="20">
        <v>45111</v>
      </c>
      <c r="T141" s="20">
        <v>45112</v>
      </c>
      <c r="U141" s="10">
        <v>1</v>
      </c>
      <c r="V141" s="3">
        <v>0.05</v>
      </c>
      <c r="W141" s="3" t="s">
        <v>256</v>
      </c>
      <c r="X141" t="s">
        <v>36</v>
      </c>
      <c r="Y141" s="7">
        <v>1</v>
      </c>
      <c r="Z141" s="11" t="s">
        <v>146</v>
      </c>
      <c r="AA141" s="36">
        <v>45414</v>
      </c>
      <c r="AB141" s="36">
        <v>45418</v>
      </c>
      <c r="AC141" s="29">
        <v>3.6909661260443145</v>
      </c>
      <c r="AD141" s="7">
        <v>1</v>
      </c>
      <c r="AE141" s="26" t="s">
        <v>162</v>
      </c>
      <c r="AF141" s="26" t="s">
        <v>192</v>
      </c>
      <c r="AG141" s="26" t="s">
        <v>69</v>
      </c>
      <c r="AH141" s="26" t="s">
        <v>214</v>
      </c>
      <c r="AI141" s="7">
        <v>95</v>
      </c>
      <c r="AJ141" t="s">
        <v>1598</v>
      </c>
      <c r="AK141" t="s">
        <v>1694</v>
      </c>
    </row>
    <row r="142" spans="1:38">
      <c r="A142" s="4" t="s">
        <v>1363</v>
      </c>
      <c r="B142" s="20">
        <v>45111</v>
      </c>
      <c r="C142" s="2" t="s">
        <v>487</v>
      </c>
      <c r="D142" s="6">
        <v>2</v>
      </c>
      <c r="E142" s="6">
        <v>61</v>
      </c>
      <c r="F142" s="6">
        <v>6</v>
      </c>
      <c r="G142" s="6" t="s">
        <v>256</v>
      </c>
      <c r="H142" s="6" t="s">
        <v>256</v>
      </c>
      <c r="I142" s="24" t="s">
        <v>5</v>
      </c>
      <c r="J142" s="24" t="s">
        <v>40</v>
      </c>
      <c r="K142" s="6">
        <v>300</v>
      </c>
      <c r="L142" s="6">
        <v>1</v>
      </c>
      <c r="M142" s="6">
        <v>1</v>
      </c>
      <c r="N142" s="6" t="s">
        <v>493</v>
      </c>
      <c r="O142" s="6" t="s">
        <v>493</v>
      </c>
      <c r="P142" s="6" t="s">
        <v>493</v>
      </c>
      <c r="Q142" s="6" t="s">
        <v>493</v>
      </c>
      <c r="R142" s="8">
        <v>1.81</v>
      </c>
      <c r="S142" s="20">
        <v>45111</v>
      </c>
      <c r="T142" s="20">
        <v>45112</v>
      </c>
      <c r="U142" s="10">
        <v>1</v>
      </c>
      <c r="V142" s="3">
        <v>0.05</v>
      </c>
      <c r="W142" s="3" t="s">
        <v>256</v>
      </c>
      <c r="X142" t="s">
        <v>36</v>
      </c>
      <c r="Y142" s="7">
        <v>1</v>
      </c>
      <c r="Z142" s="11" t="s">
        <v>89</v>
      </c>
      <c r="AA142" s="36">
        <v>45414</v>
      </c>
      <c r="AB142" s="36">
        <v>45418</v>
      </c>
      <c r="AC142" s="29">
        <v>3.4141876782702236</v>
      </c>
      <c r="AD142" s="7">
        <v>1</v>
      </c>
      <c r="AE142" s="26" t="s">
        <v>155</v>
      </c>
      <c r="AF142" s="26" t="s">
        <v>184</v>
      </c>
      <c r="AG142" s="26" t="s">
        <v>167</v>
      </c>
      <c r="AH142" s="26" t="s">
        <v>215</v>
      </c>
      <c r="AI142" s="7">
        <v>12</v>
      </c>
      <c r="AK142" t="s">
        <v>1694</v>
      </c>
      <c r="AL142" t="s">
        <v>1777</v>
      </c>
    </row>
    <row r="143" spans="1:38">
      <c r="A143" s="2" t="s">
        <v>1364</v>
      </c>
      <c r="B143" s="20">
        <v>45111</v>
      </c>
      <c r="C143" s="2" t="s">
        <v>487</v>
      </c>
      <c r="D143" s="6">
        <v>2</v>
      </c>
      <c r="E143" s="6">
        <v>66</v>
      </c>
      <c r="F143" s="6">
        <v>6</v>
      </c>
      <c r="G143" s="6" t="s">
        <v>256</v>
      </c>
      <c r="H143" s="6" t="s">
        <v>256</v>
      </c>
      <c r="I143" s="24" t="s">
        <v>5</v>
      </c>
      <c r="J143" s="24" t="s">
        <v>254</v>
      </c>
      <c r="K143" s="6">
        <v>300</v>
      </c>
      <c r="L143" s="6">
        <v>1</v>
      </c>
      <c r="M143" s="6">
        <v>6</v>
      </c>
      <c r="N143" s="6" t="s">
        <v>493</v>
      </c>
      <c r="O143" s="6" t="s">
        <v>493</v>
      </c>
      <c r="P143" s="6" t="s">
        <v>493</v>
      </c>
      <c r="Q143" s="6" t="s">
        <v>493</v>
      </c>
      <c r="R143" s="8">
        <v>2.57</v>
      </c>
      <c r="S143" s="20">
        <v>45111</v>
      </c>
      <c r="T143" s="20">
        <v>45112</v>
      </c>
      <c r="U143" s="10">
        <v>1</v>
      </c>
      <c r="V143" s="3">
        <v>0.27</v>
      </c>
      <c r="W143" s="3" t="s">
        <v>256</v>
      </c>
      <c r="X143" t="s">
        <v>36</v>
      </c>
      <c r="Y143" s="7">
        <v>1</v>
      </c>
      <c r="Z143" s="11" t="s">
        <v>90</v>
      </c>
      <c r="AA143" s="36">
        <v>45414</v>
      </c>
      <c r="AB143" s="36">
        <v>45418</v>
      </c>
      <c r="AC143" s="29">
        <v>8.5611151679283957</v>
      </c>
      <c r="AD143" s="7">
        <v>1</v>
      </c>
      <c r="AE143" s="26" t="s">
        <v>156</v>
      </c>
      <c r="AF143" s="26" t="s">
        <v>185</v>
      </c>
      <c r="AG143" s="26" t="s">
        <v>167</v>
      </c>
      <c r="AH143" s="26" t="s">
        <v>215</v>
      </c>
      <c r="AI143" s="7">
        <v>24</v>
      </c>
      <c r="AJ143" t="s">
        <v>1599</v>
      </c>
      <c r="AK143" t="s">
        <v>1694</v>
      </c>
    </row>
    <row r="144" spans="1:38">
      <c r="A144" s="2" t="s">
        <v>1365</v>
      </c>
      <c r="B144" s="20">
        <v>45111</v>
      </c>
      <c r="C144" s="2" t="s">
        <v>487</v>
      </c>
      <c r="D144" s="6">
        <v>2</v>
      </c>
      <c r="E144" s="6">
        <v>68</v>
      </c>
      <c r="F144" s="6">
        <v>6</v>
      </c>
      <c r="G144" s="6" t="s">
        <v>256</v>
      </c>
      <c r="H144" s="6" t="s">
        <v>256</v>
      </c>
      <c r="I144" s="24" t="s">
        <v>5</v>
      </c>
      <c r="J144" s="24" t="s">
        <v>255</v>
      </c>
      <c r="K144" s="6">
        <v>300</v>
      </c>
      <c r="L144" s="6">
        <v>1</v>
      </c>
      <c r="M144" s="6">
        <v>8</v>
      </c>
      <c r="N144" s="6" t="s">
        <v>493</v>
      </c>
      <c r="O144" s="6" t="s">
        <v>493</v>
      </c>
      <c r="P144" s="6" t="s">
        <v>493</v>
      </c>
      <c r="Q144" s="6" t="s">
        <v>493</v>
      </c>
      <c r="R144" s="8">
        <v>2.65</v>
      </c>
      <c r="S144" s="20">
        <v>45111</v>
      </c>
      <c r="T144" s="20">
        <v>45112</v>
      </c>
      <c r="U144" s="10">
        <v>1</v>
      </c>
      <c r="V144" s="3">
        <v>0.28000000000000003</v>
      </c>
      <c r="W144" s="3" t="s">
        <v>256</v>
      </c>
      <c r="X144" t="s">
        <v>36</v>
      </c>
      <c r="Y144" s="7">
        <v>1</v>
      </c>
      <c r="Z144" s="11" t="s">
        <v>91</v>
      </c>
      <c r="AA144" s="36">
        <v>45414</v>
      </c>
      <c r="AB144" s="36">
        <v>45418</v>
      </c>
      <c r="AC144" s="29">
        <v>7.4164355747870294</v>
      </c>
      <c r="AD144" s="7">
        <v>1</v>
      </c>
      <c r="AE144" s="26" t="s">
        <v>157</v>
      </c>
      <c r="AF144" s="26" t="s">
        <v>186</v>
      </c>
      <c r="AG144" s="26" t="s">
        <v>167</v>
      </c>
      <c r="AH144" s="26" t="s">
        <v>215</v>
      </c>
      <c r="AI144" s="7">
        <v>36</v>
      </c>
      <c r="AJ144" t="s">
        <v>1600</v>
      </c>
      <c r="AK144" t="s">
        <v>1694</v>
      </c>
    </row>
    <row r="145" spans="1:37">
      <c r="A145" s="2" t="s">
        <v>1366</v>
      </c>
      <c r="B145" s="20">
        <v>45111</v>
      </c>
      <c r="C145" s="2" t="s">
        <v>487</v>
      </c>
      <c r="D145" s="6">
        <v>2</v>
      </c>
      <c r="E145" s="6">
        <v>72</v>
      </c>
      <c r="F145" s="6">
        <v>6</v>
      </c>
      <c r="G145" s="6" t="s">
        <v>256</v>
      </c>
      <c r="H145" s="6" t="s">
        <v>256</v>
      </c>
      <c r="I145" s="24" t="s">
        <v>5</v>
      </c>
      <c r="J145" s="24" t="s">
        <v>253</v>
      </c>
      <c r="K145" s="6">
        <v>300</v>
      </c>
      <c r="L145" s="6">
        <v>1</v>
      </c>
      <c r="M145" s="6">
        <v>12</v>
      </c>
      <c r="N145" s="6" t="s">
        <v>493</v>
      </c>
      <c r="O145" s="6" t="s">
        <v>493</v>
      </c>
      <c r="P145" s="6" t="s">
        <v>493</v>
      </c>
      <c r="Q145" s="6" t="s">
        <v>493</v>
      </c>
      <c r="R145" s="8">
        <v>2.82</v>
      </c>
      <c r="S145" s="20">
        <v>45111</v>
      </c>
      <c r="T145" s="20">
        <v>45112</v>
      </c>
      <c r="U145" s="10">
        <v>1</v>
      </c>
      <c r="V145" s="3">
        <v>2.1</v>
      </c>
      <c r="W145" s="3" t="s">
        <v>256</v>
      </c>
      <c r="X145" t="s">
        <v>36</v>
      </c>
      <c r="Y145" s="7">
        <v>1</v>
      </c>
      <c r="Z145" s="11" t="s">
        <v>147</v>
      </c>
      <c r="AA145" s="36">
        <v>45414</v>
      </c>
      <c r="AB145" s="36">
        <v>45418</v>
      </c>
      <c r="AC145" s="29">
        <v>9.6153690984464237</v>
      </c>
      <c r="AD145" s="7">
        <v>1</v>
      </c>
      <c r="AE145" s="26" t="s">
        <v>158</v>
      </c>
      <c r="AF145" s="26" t="s">
        <v>187</v>
      </c>
      <c r="AG145" s="26" t="s">
        <v>167</v>
      </c>
      <c r="AH145" s="26" t="s">
        <v>215</v>
      </c>
      <c r="AI145" s="7">
        <v>48</v>
      </c>
      <c r="AJ145" t="s">
        <v>1601</v>
      </c>
      <c r="AK145" t="s">
        <v>1694</v>
      </c>
    </row>
    <row r="146" spans="1:37">
      <c r="A146" s="2" t="s">
        <v>1367</v>
      </c>
      <c r="B146" s="20">
        <v>45111</v>
      </c>
      <c r="C146" s="2" t="s">
        <v>487</v>
      </c>
      <c r="D146" s="6">
        <v>3</v>
      </c>
      <c r="E146" s="6">
        <v>75</v>
      </c>
      <c r="F146" s="6">
        <v>7</v>
      </c>
      <c r="G146" s="6" t="s">
        <v>256</v>
      </c>
      <c r="H146" s="6" t="s">
        <v>256</v>
      </c>
      <c r="I146" s="24" t="s">
        <v>4</v>
      </c>
      <c r="J146" s="24" t="s">
        <v>255</v>
      </c>
      <c r="K146" s="6">
        <v>300</v>
      </c>
      <c r="L146" s="6">
        <v>6</v>
      </c>
      <c r="M146" s="6">
        <v>15</v>
      </c>
      <c r="N146" s="6" t="s">
        <v>493</v>
      </c>
      <c r="O146" s="6" t="s">
        <v>493</v>
      </c>
      <c r="P146" s="6" t="s">
        <v>493</v>
      </c>
      <c r="Q146" s="6" t="s">
        <v>493</v>
      </c>
      <c r="R146" s="8">
        <v>1.72</v>
      </c>
      <c r="S146" s="20">
        <v>45111</v>
      </c>
      <c r="T146" s="20">
        <v>45112</v>
      </c>
      <c r="U146" s="10">
        <v>1</v>
      </c>
      <c r="V146" s="3">
        <v>0.93</v>
      </c>
      <c r="W146" s="3" t="s">
        <v>256</v>
      </c>
      <c r="X146" t="s">
        <v>36</v>
      </c>
      <c r="Y146" s="7">
        <v>1</v>
      </c>
      <c r="Z146" s="11" t="s">
        <v>86</v>
      </c>
      <c r="AA146" s="36">
        <v>45414</v>
      </c>
      <c r="AB146" s="36">
        <v>45418</v>
      </c>
      <c r="AC146" s="29">
        <v>18.345012321436364</v>
      </c>
      <c r="AD146" s="7">
        <v>1</v>
      </c>
      <c r="AE146" s="26" t="s">
        <v>161</v>
      </c>
      <c r="AF146" s="26" t="s">
        <v>190</v>
      </c>
      <c r="AG146" s="26" t="s">
        <v>167</v>
      </c>
      <c r="AH146" s="26" t="s">
        <v>215</v>
      </c>
      <c r="AI146" s="7">
        <v>84</v>
      </c>
      <c r="AJ146" t="s">
        <v>1602</v>
      </c>
      <c r="AK146" t="s">
        <v>1694</v>
      </c>
    </row>
    <row r="147" spans="1:37">
      <c r="A147" s="2" t="s">
        <v>1368</v>
      </c>
      <c r="B147" s="20">
        <v>45111</v>
      </c>
      <c r="C147" s="2" t="s">
        <v>487</v>
      </c>
      <c r="D147" s="6">
        <v>3</v>
      </c>
      <c r="E147" s="6">
        <v>80</v>
      </c>
      <c r="F147" s="6">
        <v>7</v>
      </c>
      <c r="G147" s="6" t="s">
        <v>256</v>
      </c>
      <c r="H147" s="6" t="s">
        <v>256</v>
      </c>
      <c r="I147" s="24" t="s">
        <v>4</v>
      </c>
      <c r="J147" s="24" t="s">
        <v>40</v>
      </c>
      <c r="K147" s="6">
        <v>300</v>
      </c>
      <c r="L147" s="6">
        <v>6</v>
      </c>
      <c r="M147" s="6">
        <v>20</v>
      </c>
      <c r="N147" s="6" t="s">
        <v>493</v>
      </c>
      <c r="O147" s="6" t="s">
        <v>493</v>
      </c>
      <c r="P147" s="6" t="s">
        <v>493</v>
      </c>
      <c r="Q147" s="6" t="s">
        <v>493</v>
      </c>
      <c r="R147" s="8">
        <v>1.82</v>
      </c>
      <c r="S147" s="20">
        <v>45111</v>
      </c>
      <c r="T147" s="20">
        <v>45112</v>
      </c>
      <c r="U147" s="10">
        <v>1</v>
      </c>
      <c r="V147" s="3">
        <v>0.15</v>
      </c>
      <c r="W147" s="3" t="s">
        <v>256</v>
      </c>
      <c r="X147" t="s">
        <v>36</v>
      </c>
      <c r="Y147" s="7">
        <v>1</v>
      </c>
      <c r="Z147" s="11" t="s">
        <v>87</v>
      </c>
      <c r="AA147" s="36">
        <v>45414</v>
      </c>
      <c r="AB147" s="36">
        <v>45418</v>
      </c>
      <c r="AC147" s="29">
        <v>3.4455643379231402</v>
      </c>
      <c r="AD147" s="7">
        <v>1</v>
      </c>
      <c r="AE147" s="26" t="s">
        <v>162</v>
      </c>
      <c r="AF147" s="26" t="s">
        <v>192</v>
      </c>
      <c r="AG147" s="26" t="s">
        <v>167</v>
      </c>
      <c r="AH147" s="26" t="s">
        <v>215</v>
      </c>
      <c r="AI147" s="7">
        <v>96</v>
      </c>
      <c r="AJ147" t="s">
        <v>1603</v>
      </c>
      <c r="AK147" t="s">
        <v>1694</v>
      </c>
    </row>
    <row r="148" spans="1:37">
      <c r="A148" s="2" t="s">
        <v>1369</v>
      </c>
      <c r="B148" s="20">
        <v>45111</v>
      </c>
      <c r="C148" s="2" t="s">
        <v>487</v>
      </c>
      <c r="D148" s="6">
        <v>3</v>
      </c>
      <c r="E148" s="6">
        <v>81</v>
      </c>
      <c r="F148" s="6">
        <v>7</v>
      </c>
      <c r="G148" s="6" t="s">
        <v>256</v>
      </c>
      <c r="H148" s="6" t="s">
        <v>256</v>
      </c>
      <c r="I148" s="24" t="s">
        <v>4</v>
      </c>
      <c r="J148" s="24" t="s">
        <v>254</v>
      </c>
      <c r="K148" s="6">
        <v>300</v>
      </c>
      <c r="L148" s="6">
        <v>6</v>
      </c>
      <c r="M148" s="6">
        <v>21</v>
      </c>
      <c r="N148" s="6" t="s">
        <v>493</v>
      </c>
      <c r="O148" s="6" t="s">
        <v>493</v>
      </c>
      <c r="P148" s="6" t="s">
        <v>493</v>
      </c>
      <c r="Q148" s="6" t="s">
        <v>493</v>
      </c>
      <c r="R148" s="8">
        <v>1.32</v>
      </c>
      <c r="S148" s="20">
        <v>45111</v>
      </c>
      <c r="T148" s="20">
        <v>45112</v>
      </c>
      <c r="U148" s="10">
        <v>1</v>
      </c>
      <c r="V148" s="3">
        <v>0.41</v>
      </c>
      <c r="W148" s="3" t="s">
        <v>256</v>
      </c>
      <c r="X148" t="s">
        <v>36</v>
      </c>
      <c r="Y148" s="7">
        <v>1</v>
      </c>
      <c r="Z148" s="11" t="s">
        <v>94</v>
      </c>
      <c r="AA148" s="36">
        <v>45414</v>
      </c>
      <c r="AB148" s="36">
        <v>45418</v>
      </c>
      <c r="AC148" s="29">
        <v>6.6790840729434899</v>
      </c>
      <c r="AD148" s="7">
        <v>3</v>
      </c>
      <c r="AE148" s="26" t="s">
        <v>51</v>
      </c>
      <c r="AF148" s="26" t="s">
        <v>201</v>
      </c>
      <c r="AG148" s="26" t="s">
        <v>171</v>
      </c>
      <c r="AH148" s="26" t="s">
        <v>219</v>
      </c>
      <c r="AI148" s="7">
        <v>154</v>
      </c>
      <c r="AJ148" t="s">
        <v>1604</v>
      </c>
      <c r="AK148" t="s">
        <v>1694</v>
      </c>
    </row>
    <row r="149" spans="1:37">
      <c r="A149" s="2" t="s">
        <v>1370</v>
      </c>
      <c r="B149" s="20">
        <v>45111</v>
      </c>
      <c r="C149" s="2" t="s">
        <v>487</v>
      </c>
      <c r="D149" s="6">
        <v>3</v>
      </c>
      <c r="E149" s="6">
        <v>82</v>
      </c>
      <c r="F149" s="6">
        <v>7</v>
      </c>
      <c r="G149" s="6" t="s">
        <v>256</v>
      </c>
      <c r="H149" s="6" t="s">
        <v>256</v>
      </c>
      <c r="I149" s="24" t="s">
        <v>4</v>
      </c>
      <c r="J149" s="24" t="s">
        <v>253</v>
      </c>
      <c r="K149" s="6">
        <v>300</v>
      </c>
      <c r="L149" s="6">
        <v>6</v>
      </c>
      <c r="M149" s="6">
        <v>22</v>
      </c>
      <c r="N149" s="6" t="s">
        <v>493</v>
      </c>
      <c r="O149" s="6" t="s">
        <v>493</v>
      </c>
      <c r="P149" s="6" t="s">
        <v>493</v>
      </c>
      <c r="Q149" s="6" t="s">
        <v>493</v>
      </c>
      <c r="R149" s="8">
        <v>2.1</v>
      </c>
      <c r="S149" s="20">
        <v>45111</v>
      </c>
      <c r="T149" s="20">
        <v>45112</v>
      </c>
      <c r="U149" s="10">
        <v>1</v>
      </c>
      <c r="V149" s="3">
        <v>0.5</v>
      </c>
      <c r="W149" s="3" t="s">
        <v>256</v>
      </c>
      <c r="X149" t="s">
        <v>36</v>
      </c>
      <c r="Y149" s="7">
        <v>1</v>
      </c>
      <c r="Z149" s="11" t="s">
        <v>102</v>
      </c>
      <c r="AA149" s="36">
        <v>45414</v>
      </c>
      <c r="AB149" s="36">
        <v>45418</v>
      </c>
      <c r="AC149" s="29">
        <v>8.0502496012358478</v>
      </c>
      <c r="AD149" s="7">
        <v>3</v>
      </c>
      <c r="AE149" s="26" t="s">
        <v>53</v>
      </c>
      <c r="AF149" s="26" t="s">
        <v>203</v>
      </c>
      <c r="AG149" s="26" t="s">
        <v>171</v>
      </c>
      <c r="AH149" s="26" t="s">
        <v>219</v>
      </c>
      <c r="AI149" s="7">
        <v>166</v>
      </c>
      <c r="AJ149" t="s">
        <v>1605</v>
      </c>
      <c r="AK149" t="s">
        <v>1694</v>
      </c>
    </row>
    <row r="150" spans="1:37">
      <c r="A150" s="2" t="s">
        <v>1371</v>
      </c>
      <c r="B150" s="20">
        <v>45111</v>
      </c>
      <c r="C150" s="2" t="s">
        <v>487</v>
      </c>
      <c r="D150" s="6">
        <v>3</v>
      </c>
      <c r="E150" s="6">
        <v>87</v>
      </c>
      <c r="F150" s="6">
        <v>8</v>
      </c>
      <c r="G150" s="6" t="s">
        <v>256</v>
      </c>
      <c r="H150" s="6" t="s">
        <v>256</v>
      </c>
      <c r="I150" s="24" t="s">
        <v>6</v>
      </c>
      <c r="J150" s="24" t="s">
        <v>254</v>
      </c>
      <c r="K150" s="6">
        <v>300</v>
      </c>
      <c r="L150" s="6">
        <v>5</v>
      </c>
      <c r="M150" s="6">
        <v>15</v>
      </c>
      <c r="N150" s="6" t="s">
        <v>493</v>
      </c>
      <c r="O150" s="6" t="s">
        <v>493</v>
      </c>
      <c r="P150" s="6" t="s">
        <v>493</v>
      </c>
      <c r="Q150" s="6" t="s">
        <v>493</v>
      </c>
      <c r="R150" s="8">
        <v>1.26</v>
      </c>
      <c r="S150" s="20">
        <v>45111</v>
      </c>
      <c r="T150" s="20">
        <v>45112</v>
      </c>
      <c r="U150" s="10">
        <v>1</v>
      </c>
      <c r="V150" s="3">
        <v>0.2</v>
      </c>
      <c r="W150" s="3" t="s">
        <v>256</v>
      </c>
      <c r="X150" t="s">
        <v>36</v>
      </c>
      <c r="Y150" s="7">
        <v>1</v>
      </c>
      <c r="Z150" s="11" t="s">
        <v>88</v>
      </c>
      <c r="AA150" s="36">
        <v>45414</v>
      </c>
      <c r="AB150" s="36">
        <v>45418</v>
      </c>
      <c r="AC150" s="29">
        <v>5.695047109001159</v>
      </c>
      <c r="AD150" s="7">
        <v>3</v>
      </c>
      <c r="AE150" s="26" t="s">
        <v>55</v>
      </c>
      <c r="AF150" s="26" t="s">
        <v>205</v>
      </c>
      <c r="AG150" s="26" t="s">
        <v>171</v>
      </c>
      <c r="AH150" s="26" t="s">
        <v>219</v>
      </c>
      <c r="AI150" s="7">
        <v>178</v>
      </c>
      <c r="AJ150" t="s">
        <v>1606</v>
      </c>
      <c r="AK150" t="s">
        <v>1694</v>
      </c>
    </row>
    <row r="151" spans="1:37">
      <c r="A151" s="4" t="s">
        <v>1372</v>
      </c>
      <c r="B151" s="20">
        <v>45111</v>
      </c>
      <c r="C151" s="2" t="s">
        <v>487</v>
      </c>
      <c r="D151" s="6">
        <v>3</v>
      </c>
      <c r="E151" s="6">
        <v>88</v>
      </c>
      <c r="F151" s="6">
        <v>8</v>
      </c>
      <c r="G151" s="6" t="s">
        <v>256</v>
      </c>
      <c r="H151" s="6" t="s">
        <v>256</v>
      </c>
      <c r="I151" s="24" t="s">
        <v>6</v>
      </c>
      <c r="J151" s="24" t="s">
        <v>253</v>
      </c>
      <c r="K151" s="6">
        <v>300</v>
      </c>
      <c r="L151" s="6">
        <v>5</v>
      </c>
      <c r="M151" s="6">
        <v>16</v>
      </c>
      <c r="N151" s="6" t="s">
        <v>493</v>
      </c>
      <c r="O151" s="6" t="s">
        <v>493</v>
      </c>
      <c r="P151" s="6" t="s">
        <v>493</v>
      </c>
      <c r="Q151" s="6" t="s">
        <v>493</v>
      </c>
      <c r="R151" s="8">
        <v>1.78</v>
      </c>
      <c r="S151" s="20">
        <v>45111</v>
      </c>
      <c r="T151" s="20">
        <v>45112</v>
      </c>
      <c r="U151" s="10">
        <v>1</v>
      </c>
      <c r="V151" s="3">
        <v>7.0000000000000007E-2</v>
      </c>
      <c r="W151" s="3" t="s">
        <v>256</v>
      </c>
      <c r="X151" t="s">
        <v>36</v>
      </c>
      <c r="Y151" s="7">
        <v>1</v>
      </c>
      <c r="Z151" s="11" t="s">
        <v>148</v>
      </c>
      <c r="AA151" s="36">
        <v>45414</v>
      </c>
      <c r="AB151" s="36">
        <v>45418</v>
      </c>
      <c r="AC151" s="29">
        <v>3.6496776694642201</v>
      </c>
      <c r="AD151" s="7">
        <v>3</v>
      </c>
      <c r="AE151" s="26" t="s">
        <v>57</v>
      </c>
      <c r="AF151" s="26" t="s">
        <v>207</v>
      </c>
      <c r="AG151" s="26" t="s">
        <v>171</v>
      </c>
      <c r="AH151" s="26" t="s">
        <v>219</v>
      </c>
      <c r="AI151" s="7">
        <v>190</v>
      </c>
      <c r="AJ151" t="s">
        <v>1607</v>
      </c>
      <c r="AK151" t="s">
        <v>1694</v>
      </c>
    </row>
    <row r="152" spans="1:37">
      <c r="A152" s="2" t="s">
        <v>1373</v>
      </c>
      <c r="B152" s="20">
        <v>45111</v>
      </c>
      <c r="C152" s="2" t="s">
        <v>487</v>
      </c>
      <c r="D152" s="6">
        <v>3</v>
      </c>
      <c r="E152" s="6">
        <v>89</v>
      </c>
      <c r="F152" s="6">
        <v>8</v>
      </c>
      <c r="G152" s="6" t="s">
        <v>256</v>
      </c>
      <c r="H152" s="6" t="s">
        <v>256</v>
      </c>
      <c r="I152" s="24" t="s">
        <v>6</v>
      </c>
      <c r="J152" s="24" t="s">
        <v>255</v>
      </c>
      <c r="K152" s="6">
        <v>300</v>
      </c>
      <c r="L152" s="6">
        <v>5</v>
      </c>
      <c r="M152" s="6">
        <v>17</v>
      </c>
      <c r="N152" s="6" t="s">
        <v>493</v>
      </c>
      <c r="O152" s="6" t="s">
        <v>493</v>
      </c>
      <c r="P152" s="6" t="s">
        <v>493</v>
      </c>
      <c r="Q152" s="6" t="s">
        <v>493</v>
      </c>
      <c r="R152" s="8">
        <v>2.2799999999999998</v>
      </c>
      <c r="S152" s="20">
        <v>45111</v>
      </c>
      <c r="T152" s="20">
        <v>45112</v>
      </c>
      <c r="U152" s="10">
        <v>1</v>
      </c>
      <c r="V152" s="3">
        <v>0.2</v>
      </c>
      <c r="W152" s="3" t="s">
        <v>256</v>
      </c>
      <c r="X152" t="s">
        <v>36</v>
      </c>
      <c r="Y152" s="7">
        <v>1</v>
      </c>
      <c r="Z152" s="11" t="s">
        <v>96</v>
      </c>
      <c r="AA152" s="36">
        <v>45414</v>
      </c>
      <c r="AB152" s="36">
        <v>45418</v>
      </c>
      <c r="AC152" s="29">
        <v>7.6245374647585651</v>
      </c>
      <c r="AD152" s="7">
        <v>3</v>
      </c>
      <c r="AE152" s="26" t="s">
        <v>55</v>
      </c>
      <c r="AF152" s="26" t="s">
        <v>205</v>
      </c>
      <c r="AG152" s="26" t="s">
        <v>167</v>
      </c>
      <c r="AH152" s="26" t="s">
        <v>215</v>
      </c>
      <c r="AI152" s="7">
        <v>180</v>
      </c>
      <c r="AJ152" t="s">
        <v>1608</v>
      </c>
      <c r="AK152" t="s">
        <v>1694</v>
      </c>
    </row>
    <row r="153" spans="1:37">
      <c r="A153" s="2" t="s">
        <v>1374</v>
      </c>
      <c r="B153" s="20">
        <v>45111</v>
      </c>
      <c r="C153" s="2" t="s">
        <v>487</v>
      </c>
      <c r="D153" s="6">
        <v>3</v>
      </c>
      <c r="E153" s="6">
        <v>91</v>
      </c>
      <c r="F153" s="6">
        <v>8</v>
      </c>
      <c r="G153" s="6" t="s">
        <v>256</v>
      </c>
      <c r="H153" s="6" t="s">
        <v>256</v>
      </c>
      <c r="I153" s="24" t="s">
        <v>6</v>
      </c>
      <c r="J153" s="24" t="s">
        <v>40</v>
      </c>
      <c r="K153" s="6">
        <v>300</v>
      </c>
      <c r="L153" s="6">
        <v>5</v>
      </c>
      <c r="M153" s="6">
        <v>19</v>
      </c>
      <c r="N153" s="6" t="s">
        <v>493</v>
      </c>
      <c r="O153" s="6" t="s">
        <v>493</v>
      </c>
      <c r="P153" s="6" t="s">
        <v>493</v>
      </c>
      <c r="Q153" s="6" t="s">
        <v>493</v>
      </c>
      <c r="R153" s="8">
        <v>0.45</v>
      </c>
      <c r="S153" s="20">
        <v>45111</v>
      </c>
      <c r="T153" s="20">
        <v>45112</v>
      </c>
      <c r="U153" s="10">
        <v>1</v>
      </c>
      <c r="V153" s="3">
        <v>0.04</v>
      </c>
      <c r="W153" s="3" t="s">
        <v>256</v>
      </c>
      <c r="X153" t="s">
        <v>36</v>
      </c>
      <c r="Y153" s="7">
        <v>1</v>
      </c>
      <c r="Z153" s="11" t="s">
        <v>149</v>
      </c>
      <c r="AA153" s="36">
        <v>45414</v>
      </c>
      <c r="AB153" s="36">
        <v>45418</v>
      </c>
      <c r="AC153" s="29">
        <v>2.5779290964512285</v>
      </c>
      <c r="AD153" s="7">
        <v>3</v>
      </c>
      <c r="AE153" s="26" t="s">
        <v>57</v>
      </c>
      <c r="AF153" s="26" t="s">
        <v>207</v>
      </c>
      <c r="AG153" s="26" t="s">
        <v>167</v>
      </c>
      <c r="AH153" s="26" t="s">
        <v>215</v>
      </c>
      <c r="AI153" s="7">
        <v>192</v>
      </c>
      <c r="AJ153" t="s">
        <v>1609</v>
      </c>
      <c r="AK153" t="s">
        <v>1694</v>
      </c>
    </row>
    <row r="154" spans="1:37">
      <c r="A154" s="2" t="s">
        <v>1375</v>
      </c>
      <c r="B154" s="20">
        <v>45111</v>
      </c>
      <c r="C154" s="2" t="s">
        <v>487</v>
      </c>
      <c r="D154" s="6">
        <v>3</v>
      </c>
      <c r="E154" s="6">
        <v>98</v>
      </c>
      <c r="F154" s="6">
        <v>9</v>
      </c>
      <c r="G154" s="6" t="s">
        <v>256</v>
      </c>
      <c r="H154" s="6" t="s">
        <v>256</v>
      </c>
      <c r="I154" s="24" t="s">
        <v>5</v>
      </c>
      <c r="J154" s="24" t="s">
        <v>253</v>
      </c>
      <c r="K154" s="6">
        <v>300</v>
      </c>
      <c r="L154" s="6">
        <v>4</v>
      </c>
      <c r="M154" s="6">
        <v>14</v>
      </c>
      <c r="N154" s="6" t="s">
        <v>493</v>
      </c>
      <c r="O154" s="6" t="s">
        <v>493</v>
      </c>
      <c r="P154" s="6" t="s">
        <v>493</v>
      </c>
      <c r="Q154" s="6" t="s">
        <v>493</v>
      </c>
      <c r="R154" s="8">
        <v>4.5599999999999996</v>
      </c>
      <c r="S154" s="20">
        <v>45111</v>
      </c>
      <c r="T154" s="20">
        <v>45112</v>
      </c>
      <c r="U154" s="10">
        <v>1</v>
      </c>
      <c r="V154" s="3">
        <v>1.42</v>
      </c>
      <c r="W154" s="3" t="s">
        <v>256</v>
      </c>
      <c r="X154" t="s">
        <v>36</v>
      </c>
      <c r="Y154" s="7">
        <v>1</v>
      </c>
      <c r="Z154" s="11" t="s">
        <v>92</v>
      </c>
      <c r="AA154" s="36">
        <v>45414</v>
      </c>
      <c r="AB154" s="36">
        <v>45418</v>
      </c>
      <c r="AC154" s="29">
        <v>11.400299426124379</v>
      </c>
      <c r="AD154" s="7">
        <v>4</v>
      </c>
      <c r="AE154" s="26" t="s">
        <v>42</v>
      </c>
      <c r="AF154" s="26" t="s">
        <v>193</v>
      </c>
      <c r="AG154" s="26" t="s">
        <v>181</v>
      </c>
      <c r="AH154" s="26" t="s">
        <v>229</v>
      </c>
      <c r="AI154" s="7">
        <v>293</v>
      </c>
      <c r="AJ154" t="s">
        <v>1610</v>
      </c>
      <c r="AK154" t="s">
        <v>1694</v>
      </c>
    </row>
    <row r="155" spans="1:37">
      <c r="A155" s="2" t="s">
        <v>1376</v>
      </c>
      <c r="B155" s="20">
        <v>45111</v>
      </c>
      <c r="C155" s="2" t="s">
        <v>487</v>
      </c>
      <c r="D155" s="6">
        <v>3</v>
      </c>
      <c r="E155" s="6">
        <v>100</v>
      </c>
      <c r="F155" s="6">
        <v>9</v>
      </c>
      <c r="G155" s="6" t="s">
        <v>256</v>
      </c>
      <c r="H155" s="6" t="s">
        <v>256</v>
      </c>
      <c r="I155" s="24" t="s">
        <v>5</v>
      </c>
      <c r="J155" s="24" t="s">
        <v>40</v>
      </c>
      <c r="K155" s="6">
        <v>300</v>
      </c>
      <c r="L155" s="6">
        <v>4</v>
      </c>
      <c r="M155" s="6">
        <v>16</v>
      </c>
      <c r="N155" s="6" t="s">
        <v>493</v>
      </c>
      <c r="O155" s="6" t="s">
        <v>493</v>
      </c>
      <c r="P155" s="6" t="s">
        <v>493</v>
      </c>
      <c r="Q155" s="6" t="s">
        <v>493</v>
      </c>
      <c r="R155" s="8">
        <v>1.62</v>
      </c>
      <c r="S155" s="20">
        <v>45111</v>
      </c>
      <c r="T155" s="20">
        <v>45112</v>
      </c>
      <c r="U155" s="10">
        <v>1</v>
      </c>
      <c r="V155" s="3">
        <v>0.25</v>
      </c>
      <c r="W155" s="3" t="s">
        <v>256</v>
      </c>
      <c r="X155" t="s">
        <v>36</v>
      </c>
      <c r="Y155" s="7">
        <v>1</v>
      </c>
      <c r="Z155" s="11" t="s">
        <v>99</v>
      </c>
      <c r="AA155" s="36">
        <v>45414</v>
      </c>
      <c r="AB155" s="36">
        <v>45418</v>
      </c>
      <c r="AC155" s="29">
        <v>2.7136134358854362</v>
      </c>
      <c r="AD155" s="7">
        <v>4</v>
      </c>
      <c r="AE155" s="26" t="s">
        <v>45</v>
      </c>
      <c r="AF155" s="26" t="s">
        <v>195</v>
      </c>
      <c r="AG155" s="26" t="s">
        <v>181</v>
      </c>
      <c r="AH155" s="26" t="s">
        <v>229</v>
      </c>
      <c r="AI155" s="7">
        <v>305</v>
      </c>
      <c r="AJ155" t="s">
        <v>1611</v>
      </c>
      <c r="AK155" t="s">
        <v>1694</v>
      </c>
    </row>
    <row r="156" spans="1:37">
      <c r="A156" s="2" t="s">
        <v>1377</v>
      </c>
      <c r="B156" s="20">
        <v>45111</v>
      </c>
      <c r="C156" s="2" t="s">
        <v>487</v>
      </c>
      <c r="D156" s="6">
        <v>3</v>
      </c>
      <c r="E156" s="6">
        <v>104</v>
      </c>
      <c r="F156" s="6">
        <v>9</v>
      </c>
      <c r="G156" s="6" t="s">
        <v>256</v>
      </c>
      <c r="H156" s="6" t="s">
        <v>256</v>
      </c>
      <c r="I156" s="24" t="s">
        <v>5</v>
      </c>
      <c r="J156" s="24" t="s">
        <v>254</v>
      </c>
      <c r="K156" s="6">
        <v>300</v>
      </c>
      <c r="L156" s="6">
        <v>4</v>
      </c>
      <c r="M156" s="6">
        <v>20</v>
      </c>
      <c r="N156" s="6" t="s">
        <v>493</v>
      </c>
      <c r="O156" s="6" t="s">
        <v>493</v>
      </c>
      <c r="P156" s="6" t="s">
        <v>493</v>
      </c>
      <c r="Q156" s="6" t="s">
        <v>493</v>
      </c>
      <c r="R156" s="8">
        <v>2.35</v>
      </c>
      <c r="S156" s="20">
        <v>45111</v>
      </c>
      <c r="T156" s="20">
        <v>45112</v>
      </c>
      <c r="U156" s="10">
        <v>1</v>
      </c>
      <c r="V156" s="3">
        <v>0.57999999999999996</v>
      </c>
      <c r="W156" s="3" t="s">
        <v>256</v>
      </c>
      <c r="X156" t="s">
        <v>36</v>
      </c>
      <c r="Y156" s="7">
        <v>1</v>
      </c>
      <c r="Z156" s="11" t="s">
        <v>100</v>
      </c>
      <c r="AA156" s="36">
        <v>45414</v>
      </c>
      <c r="AB156" s="36">
        <v>45418</v>
      </c>
      <c r="AC156" s="29">
        <v>4.0900603656857077</v>
      </c>
      <c r="AD156" s="7">
        <v>4</v>
      </c>
      <c r="AE156" s="26" t="s">
        <v>47</v>
      </c>
      <c r="AF156" s="26" t="s">
        <v>197</v>
      </c>
      <c r="AG156" s="26" t="s">
        <v>181</v>
      </c>
      <c r="AH156" s="26" t="s">
        <v>229</v>
      </c>
      <c r="AI156" s="7">
        <v>317</v>
      </c>
      <c r="AJ156" t="s">
        <v>1612</v>
      </c>
      <c r="AK156" t="s">
        <v>1694</v>
      </c>
    </row>
    <row r="157" spans="1:37">
      <c r="A157" s="2" t="s">
        <v>1378</v>
      </c>
      <c r="B157" s="20">
        <v>45111</v>
      </c>
      <c r="C157" s="2" t="s">
        <v>487</v>
      </c>
      <c r="D157" s="6">
        <v>3</v>
      </c>
      <c r="E157" s="6">
        <v>107</v>
      </c>
      <c r="F157" s="6">
        <v>9</v>
      </c>
      <c r="G157" s="6" t="s">
        <v>256</v>
      </c>
      <c r="H157" s="6" t="s">
        <v>256</v>
      </c>
      <c r="I157" s="24" t="s">
        <v>5</v>
      </c>
      <c r="J157" s="24" t="s">
        <v>255</v>
      </c>
      <c r="K157" s="6">
        <v>300</v>
      </c>
      <c r="L157" s="6">
        <v>4</v>
      </c>
      <c r="M157" s="6">
        <v>23</v>
      </c>
      <c r="N157" s="6" t="s">
        <v>493</v>
      </c>
      <c r="O157" s="6" t="s">
        <v>493</v>
      </c>
      <c r="P157" s="6" t="s">
        <v>493</v>
      </c>
      <c r="Q157" s="6" t="s">
        <v>493</v>
      </c>
      <c r="R157" s="8">
        <v>2.25</v>
      </c>
      <c r="S157" s="20">
        <v>45111</v>
      </c>
      <c r="T157" s="20">
        <v>45112</v>
      </c>
      <c r="U157" s="10">
        <v>1</v>
      </c>
      <c r="V157" s="3">
        <v>0.82</v>
      </c>
      <c r="W157" s="3" t="s">
        <v>256</v>
      </c>
      <c r="X157" t="s">
        <v>36</v>
      </c>
      <c r="Y157" s="7">
        <v>1</v>
      </c>
      <c r="Z157" s="11" t="s">
        <v>141</v>
      </c>
      <c r="AA157" s="36">
        <v>45414</v>
      </c>
      <c r="AB157" s="36">
        <v>45418</v>
      </c>
      <c r="AC157" s="29">
        <v>8.1397675229750135</v>
      </c>
      <c r="AD157" s="7">
        <v>4</v>
      </c>
      <c r="AE157" s="26" t="s">
        <v>49</v>
      </c>
      <c r="AF157" s="26" t="s">
        <v>199</v>
      </c>
      <c r="AG157" s="26" t="s">
        <v>181</v>
      </c>
      <c r="AH157" s="26" t="s">
        <v>229</v>
      </c>
      <c r="AI157" s="7">
        <v>329</v>
      </c>
      <c r="AJ157" t="s">
        <v>1613</v>
      </c>
      <c r="AK157" t="s">
        <v>1694</v>
      </c>
    </row>
    <row r="158" spans="1:37">
      <c r="A158" s="2" t="s">
        <v>1379</v>
      </c>
      <c r="B158" s="20">
        <v>45118</v>
      </c>
      <c r="C158" s="2" t="s">
        <v>487</v>
      </c>
      <c r="D158" s="6">
        <v>1</v>
      </c>
      <c r="E158" s="6">
        <v>3</v>
      </c>
      <c r="F158" s="6">
        <v>1</v>
      </c>
      <c r="G158" s="6" t="s">
        <v>256</v>
      </c>
      <c r="H158" s="6" t="s">
        <v>256</v>
      </c>
      <c r="I158" s="24" t="s">
        <v>5</v>
      </c>
      <c r="J158" s="24" t="s">
        <v>40</v>
      </c>
      <c r="K158" s="6">
        <v>300</v>
      </c>
      <c r="L158" s="6">
        <v>6</v>
      </c>
      <c r="M158" s="6">
        <v>3</v>
      </c>
      <c r="N158" s="6" t="s">
        <v>493</v>
      </c>
      <c r="O158" s="6" t="s">
        <v>493</v>
      </c>
      <c r="P158" s="6" t="s">
        <v>493</v>
      </c>
      <c r="Q158" s="6" t="s">
        <v>493</v>
      </c>
      <c r="R158" s="8">
        <v>2.0499999999999998</v>
      </c>
      <c r="S158" s="20">
        <v>45118</v>
      </c>
      <c r="T158" s="20">
        <v>45119</v>
      </c>
      <c r="U158" s="10">
        <v>1</v>
      </c>
      <c r="V158" s="3">
        <v>0.4</v>
      </c>
      <c r="W158" s="3" t="s">
        <v>256</v>
      </c>
      <c r="X158" t="s">
        <v>36</v>
      </c>
      <c r="Y158" s="7">
        <v>1</v>
      </c>
      <c r="Z158" s="11" t="s">
        <v>101</v>
      </c>
      <c r="AA158" s="36">
        <v>45414</v>
      </c>
      <c r="AB158" s="36">
        <v>45418</v>
      </c>
      <c r="AC158" s="29">
        <v>7.090529090069535</v>
      </c>
      <c r="AD158" s="7">
        <v>4</v>
      </c>
      <c r="AE158" s="26" t="s">
        <v>51</v>
      </c>
      <c r="AF158" s="26" t="s">
        <v>201</v>
      </c>
      <c r="AG158" s="26" t="s">
        <v>181</v>
      </c>
      <c r="AH158" s="26" t="s">
        <v>229</v>
      </c>
      <c r="AI158" s="7">
        <v>341</v>
      </c>
      <c r="AJ158" t="s">
        <v>1614</v>
      </c>
      <c r="AK158" t="s">
        <v>1694</v>
      </c>
    </row>
    <row r="159" spans="1:37">
      <c r="A159" s="2" t="s">
        <v>1380</v>
      </c>
      <c r="B159" s="20">
        <v>45118</v>
      </c>
      <c r="C159" s="2" t="s">
        <v>487</v>
      </c>
      <c r="D159" s="6">
        <v>1</v>
      </c>
      <c r="E159" s="6">
        <v>5</v>
      </c>
      <c r="F159" s="6">
        <v>1</v>
      </c>
      <c r="G159" s="6" t="s">
        <v>256</v>
      </c>
      <c r="H159" s="6" t="s">
        <v>256</v>
      </c>
      <c r="I159" s="24" t="s">
        <v>5</v>
      </c>
      <c r="J159" s="24" t="s">
        <v>255</v>
      </c>
      <c r="K159" s="6">
        <v>300</v>
      </c>
      <c r="L159" s="6">
        <v>6</v>
      </c>
      <c r="M159" s="6">
        <v>5</v>
      </c>
      <c r="N159" s="6" t="s">
        <v>493</v>
      </c>
      <c r="O159" s="6" t="s">
        <v>493</v>
      </c>
      <c r="P159" s="6" t="s">
        <v>493</v>
      </c>
      <c r="Q159" s="6" t="s">
        <v>493</v>
      </c>
      <c r="R159" s="8">
        <v>4.09</v>
      </c>
      <c r="S159" s="20">
        <v>45118</v>
      </c>
      <c r="T159" s="20">
        <v>45119</v>
      </c>
      <c r="U159" s="10">
        <v>1</v>
      </c>
      <c r="V159" s="3">
        <v>1.98</v>
      </c>
      <c r="W159" s="3" t="s">
        <v>256</v>
      </c>
      <c r="X159" t="s">
        <v>36</v>
      </c>
      <c r="Y159" s="7">
        <v>1</v>
      </c>
      <c r="Z159" s="11" t="s">
        <v>93</v>
      </c>
      <c r="AA159" s="36">
        <v>45414</v>
      </c>
      <c r="AB159" s="36">
        <v>45418</v>
      </c>
      <c r="AC159" s="29">
        <v>7.3433853563607325</v>
      </c>
      <c r="AD159" s="7">
        <v>4</v>
      </c>
      <c r="AE159" s="26" t="s">
        <v>53</v>
      </c>
      <c r="AF159" s="26" t="s">
        <v>203</v>
      </c>
      <c r="AG159" s="26" t="s">
        <v>181</v>
      </c>
      <c r="AH159" s="26" t="s">
        <v>229</v>
      </c>
      <c r="AI159" s="7">
        <v>353</v>
      </c>
      <c r="AJ159" t="s">
        <v>1615</v>
      </c>
      <c r="AK159" t="s">
        <v>1694</v>
      </c>
    </row>
    <row r="160" spans="1:37">
      <c r="A160" s="2" t="s">
        <v>1381</v>
      </c>
      <c r="B160" s="20">
        <v>45118</v>
      </c>
      <c r="C160" s="2" t="s">
        <v>487</v>
      </c>
      <c r="D160" s="6">
        <v>1</v>
      </c>
      <c r="E160" s="6">
        <v>9</v>
      </c>
      <c r="F160" s="6">
        <v>1</v>
      </c>
      <c r="G160" s="6" t="s">
        <v>256</v>
      </c>
      <c r="H160" s="6" t="s">
        <v>256</v>
      </c>
      <c r="I160" s="24" t="s">
        <v>5</v>
      </c>
      <c r="J160" s="24" t="s">
        <v>254</v>
      </c>
      <c r="K160" s="6">
        <v>300</v>
      </c>
      <c r="L160" s="6">
        <v>6</v>
      </c>
      <c r="M160" s="6">
        <v>9</v>
      </c>
      <c r="N160" s="6" t="s">
        <v>493</v>
      </c>
      <c r="O160" s="6" t="s">
        <v>493</v>
      </c>
      <c r="P160" s="6" t="s">
        <v>493</v>
      </c>
      <c r="Q160" s="6" t="s">
        <v>493</v>
      </c>
      <c r="R160" s="8">
        <v>3.79</v>
      </c>
      <c r="S160" s="20">
        <v>45118</v>
      </c>
      <c r="T160" s="20">
        <v>45119</v>
      </c>
      <c r="U160" s="10">
        <v>1</v>
      </c>
      <c r="V160" s="3">
        <v>1.85</v>
      </c>
      <c r="W160" s="3" t="s">
        <v>256</v>
      </c>
      <c r="X160" t="s">
        <v>36</v>
      </c>
      <c r="Y160" s="7">
        <v>1</v>
      </c>
      <c r="Z160" s="11" t="s">
        <v>104</v>
      </c>
      <c r="AA160" s="36">
        <v>45414</v>
      </c>
      <c r="AB160" s="36">
        <v>45418</v>
      </c>
      <c r="AC160" s="29">
        <v>7.2380507373973471</v>
      </c>
      <c r="AD160" s="7">
        <v>4</v>
      </c>
      <c r="AE160" s="26" t="s">
        <v>55</v>
      </c>
      <c r="AF160" s="26" t="s">
        <v>205</v>
      </c>
      <c r="AG160" s="26" t="s">
        <v>181</v>
      </c>
      <c r="AH160" s="26" t="s">
        <v>229</v>
      </c>
      <c r="AI160" s="7">
        <v>365</v>
      </c>
      <c r="AJ160" t="s">
        <v>1616</v>
      </c>
      <c r="AK160" t="s">
        <v>1694</v>
      </c>
    </row>
    <row r="161" spans="1:37">
      <c r="A161" s="2" t="s">
        <v>1382</v>
      </c>
      <c r="B161" s="20">
        <v>45118</v>
      </c>
      <c r="C161" s="2" t="s">
        <v>487</v>
      </c>
      <c r="D161" s="6">
        <v>1</v>
      </c>
      <c r="E161" s="6">
        <v>10</v>
      </c>
      <c r="F161" s="6">
        <v>1</v>
      </c>
      <c r="G161" s="6" t="s">
        <v>256</v>
      </c>
      <c r="H161" s="6" t="s">
        <v>256</v>
      </c>
      <c r="I161" s="24" t="s">
        <v>5</v>
      </c>
      <c r="J161" s="24" t="s">
        <v>253</v>
      </c>
      <c r="K161" s="6">
        <v>300</v>
      </c>
      <c r="L161" s="6">
        <v>6</v>
      </c>
      <c r="M161" s="6">
        <v>10</v>
      </c>
      <c r="N161" s="6" t="s">
        <v>493</v>
      </c>
      <c r="O161" s="6" t="s">
        <v>493</v>
      </c>
      <c r="P161" s="6" t="s">
        <v>493</v>
      </c>
      <c r="Q161" s="6" t="s">
        <v>493</v>
      </c>
      <c r="R161" s="8">
        <v>3.64</v>
      </c>
      <c r="S161" s="20">
        <v>45118</v>
      </c>
      <c r="T161" s="20">
        <v>45119</v>
      </c>
      <c r="U161" s="10">
        <v>1</v>
      </c>
      <c r="V161" s="3">
        <v>3.03</v>
      </c>
      <c r="W161" s="3" t="s">
        <v>256</v>
      </c>
      <c r="X161" t="s">
        <v>36</v>
      </c>
      <c r="Y161" s="7">
        <v>1</v>
      </c>
      <c r="Z161" s="11" t="s">
        <v>243</v>
      </c>
      <c r="AA161" s="36">
        <v>45414</v>
      </c>
      <c r="AB161" s="36">
        <v>45418</v>
      </c>
      <c r="AC161" s="29">
        <v>14.424947066786624</v>
      </c>
      <c r="AD161" s="7">
        <v>4</v>
      </c>
      <c r="AE161" s="26" t="s">
        <v>57</v>
      </c>
      <c r="AF161" s="26" t="s">
        <v>207</v>
      </c>
      <c r="AG161" s="26" t="s">
        <v>181</v>
      </c>
      <c r="AH161" s="26" t="s">
        <v>229</v>
      </c>
      <c r="AI161" s="7">
        <v>377</v>
      </c>
      <c r="AJ161" t="s">
        <v>1617</v>
      </c>
      <c r="AK161" t="s">
        <v>1694</v>
      </c>
    </row>
    <row r="162" spans="1:37">
      <c r="A162" s="2" t="s">
        <v>1383</v>
      </c>
      <c r="B162" s="20">
        <v>45118</v>
      </c>
      <c r="C162" s="2" t="s">
        <v>487</v>
      </c>
      <c r="D162" s="6">
        <v>1</v>
      </c>
      <c r="E162" s="6">
        <v>17</v>
      </c>
      <c r="F162" s="6">
        <v>2</v>
      </c>
      <c r="G162" s="6" t="s">
        <v>256</v>
      </c>
      <c r="H162" s="6" t="s">
        <v>256</v>
      </c>
      <c r="I162" s="24" t="s">
        <v>4</v>
      </c>
      <c r="J162" s="24" t="s">
        <v>253</v>
      </c>
      <c r="K162" s="6">
        <v>300</v>
      </c>
      <c r="L162" s="6">
        <v>5</v>
      </c>
      <c r="M162" s="6">
        <v>5</v>
      </c>
      <c r="N162" s="6" t="s">
        <v>493</v>
      </c>
      <c r="O162" s="6" t="s">
        <v>493</v>
      </c>
      <c r="P162" s="6" t="s">
        <v>493</v>
      </c>
      <c r="Q162" s="6" t="s">
        <v>493</v>
      </c>
      <c r="R162" s="8">
        <v>2.63</v>
      </c>
      <c r="S162" s="20">
        <v>45118</v>
      </c>
      <c r="T162" s="20">
        <v>45119</v>
      </c>
      <c r="U162" s="10">
        <v>1</v>
      </c>
      <c r="V162" s="3">
        <v>0.84</v>
      </c>
      <c r="W162" s="3" t="s">
        <v>256</v>
      </c>
      <c r="X162" t="s">
        <v>36</v>
      </c>
      <c r="Y162" s="7">
        <v>1</v>
      </c>
      <c r="Z162" s="11" t="s">
        <v>95</v>
      </c>
      <c r="AA162" s="36">
        <v>45414</v>
      </c>
      <c r="AB162" s="36">
        <v>45418</v>
      </c>
      <c r="AC162" s="29">
        <v>14.303401479305892</v>
      </c>
      <c r="AD162" s="7">
        <v>4</v>
      </c>
      <c r="AE162" s="26" t="s">
        <v>42</v>
      </c>
      <c r="AF162" s="26" t="s">
        <v>193</v>
      </c>
      <c r="AG162" s="26" t="s">
        <v>177</v>
      </c>
      <c r="AH162" s="26" t="s">
        <v>225</v>
      </c>
      <c r="AI162" s="7">
        <v>294</v>
      </c>
      <c r="AJ162" t="s">
        <v>1618</v>
      </c>
      <c r="AK162" t="s">
        <v>1694</v>
      </c>
    </row>
    <row r="163" spans="1:37">
      <c r="A163" s="2" t="s">
        <v>1384</v>
      </c>
      <c r="B163" s="20">
        <v>45118</v>
      </c>
      <c r="C163" s="2" t="s">
        <v>487</v>
      </c>
      <c r="D163" s="6">
        <v>1</v>
      </c>
      <c r="E163" s="6">
        <v>18</v>
      </c>
      <c r="F163" s="6">
        <v>2</v>
      </c>
      <c r="G163" s="6" t="s">
        <v>256</v>
      </c>
      <c r="H163" s="6" t="s">
        <v>256</v>
      </c>
      <c r="I163" s="24" t="s">
        <v>4</v>
      </c>
      <c r="J163" s="24" t="s">
        <v>40</v>
      </c>
      <c r="K163" s="6">
        <v>300</v>
      </c>
      <c r="L163" s="6">
        <v>5</v>
      </c>
      <c r="M163" s="6">
        <v>6</v>
      </c>
      <c r="N163" s="6" t="s">
        <v>493</v>
      </c>
      <c r="O163" s="6" t="s">
        <v>493</v>
      </c>
      <c r="P163" s="6" t="s">
        <v>493</v>
      </c>
      <c r="Q163" s="6" t="s">
        <v>493</v>
      </c>
      <c r="R163" s="8">
        <v>2.09</v>
      </c>
      <c r="S163" s="20">
        <v>45118</v>
      </c>
      <c r="T163" s="20">
        <v>45119</v>
      </c>
      <c r="U163" s="10">
        <v>1</v>
      </c>
      <c r="V163" s="3">
        <v>1.87</v>
      </c>
      <c r="W163" s="3" t="s">
        <v>256</v>
      </c>
      <c r="X163" t="s">
        <v>36</v>
      </c>
      <c r="Y163" s="7">
        <v>1</v>
      </c>
      <c r="Z163" s="11" t="s">
        <v>106</v>
      </c>
      <c r="AA163" s="36">
        <v>45414</v>
      </c>
      <c r="AB163" s="36">
        <v>45418</v>
      </c>
      <c r="AC163" s="29">
        <v>6.8648041902052741</v>
      </c>
      <c r="AD163" s="7">
        <v>4</v>
      </c>
      <c r="AE163" s="26" t="s">
        <v>45</v>
      </c>
      <c r="AF163" s="26" t="s">
        <v>195</v>
      </c>
      <c r="AG163" s="26" t="s">
        <v>177</v>
      </c>
      <c r="AH163" s="26" t="s">
        <v>225</v>
      </c>
      <c r="AI163" s="7">
        <v>306</v>
      </c>
      <c r="AJ163" t="s">
        <v>1619</v>
      </c>
      <c r="AK163" t="s">
        <v>1694</v>
      </c>
    </row>
    <row r="164" spans="1:37">
      <c r="A164" s="2" t="s">
        <v>1385</v>
      </c>
      <c r="B164" s="20">
        <v>45118</v>
      </c>
      <c r="C164" s="2" t="s">
        <v>487</v>
      </c>
      <c r="D164" s="6">
        <v>1</v>
      </c>
      <c r="E164" s="6">
        <v>22</v>
      </c>
      <c r="F164" s="6">
        <v>2</v>
      </c>
      <c r="G164" s="6" t="s">
        <v>256</v>
      </c>
      <c r="H164" s="6" t="s">
        <v>256</v>
      </c>
      <c r="I164" s="24" t="s">
        <v>4</v>
      </c>
      <c r="J164" s="24" t="s">
        <v>254</v>
      </c>
      <c r="K164" s="6">
        <v>300</v>
      </c>
      <c r="L164" s="6">
        <v>5</v>
      </c>
      <c r="M164" s="6">
        <v>10</v>
      </c>
      <c r="N164" s="6" t="s">
        <v>493</v>
      </c>
      <c r="O164" s="6" t="s">
        <v>493</v>
      </c>
      <c r="P164" s="6" t="s">
        <v>493</v>
      </c>
      <c r="Q164" s="6" t="s">
        <v>493</v>
      </c>
      <c r="R164" s="8">
        <v>1.97</v>
      </c>
      <c r="S164" s="20">
        <v>45118</v>
      </c>
      <c r="T164" s="20">
        <v>45119</v>
      </c>
      <c r="U164" s="10">
        <v>1</v>
      </c>
      <c r="V164" s="3">
        <v>2.12</v>
      </c>
      <c r="W164" s="3" t="s">
        <v>256</v>
      </c>
      <c r="X164" t="s">
        <v>36</v>
      </c>
      <c r="Y164" s="7">
        <v>1</v>
      </c>
      <c r="Z164" s="11" t="s">
        <v>107</v>
      </c>
      <c r="AA164" s="36">
        <v>45414</v>
      </c>
      <c r="AB164" s="36">
        <v>45418</v>
      </c>
      <c r="AC164" s="29">
        <v>5.2841247305660008</v>
      </c>
      <c r="AD164" s="7">
        <v>4</v>
      </c>
      <c r="AE164" s="26" t="s">
        <v>47</v>
      </c>
      <c r="AF164" s="26" t="s">
        <v>197</v>
      </c>
      <c r="AG164" s="26" t="s">
        <v>177</v>
      </c>
      <c r="AH164" s="26" t="s">
        <v>225</v>
      </c>
      <c r="AI164" s="7">
        <v>318</v>
      </c>
      <c r="AJ164" t="s">
        <v>1620</v>
      </c>
      <c r="AK164" t="s">
        <v>1694</v>
      </c>
    </row>
    <row r="165" spans="1:37">
      <c r="A165" s="2" t="s">
        <v>1386</v>
      </c>
      <c r="B165" s="20">
        <v>45118</v>
      </c>
      <c r="C165" s="2" t="s">
        <v>487</v>
      </c>
      <c r="D165" s="6">
        <v>1</v>
      </c>
      <c r="E165" s="6">
        <v>24</v>
      </c>
      <c r="F165" s="6">
        <v>2</v>
      </c>
      <c r="G165" s="6" t="s">
        <v>256</v>
      </c>
      <c r="H165" s="6" t="s">
        <v>256</v>
      </c>
      <c r="I165" s="24" t="s">
        <v>4</v>
      </c>
      <c r="J165" s="24" t="s">
        <v>255</v>
      </c>
      <c r="K165" s="6">
        <v>300</v>
      </c>
      <c r="L165" s="6">
        <v>5</v>
      </c>
      <c r="M165" s="6">
        <v>12</v>
      </c>
      <c r="N165" s="6" t="s">
        <v>493</v>
      </c>
      <c r="O165" s="6" t="s">
        <v>493</v>
      </c>
      <c r="P165" s="6" t="s">
        <v>493</v>
      </c>
      <c r="Q165" s="6" t="s">
        <v>493</v>
      </c>
      <c r="R165" s="8">
        <v>2.86</v>
      </c>
      <c r="S165" s="20">
        <v>45118</v>
      </c>
      <c r="T165" s="20">
        <v>45119</v>
      </c>
      <c r="U165" s="10">
        <v>1</v>
      </c>
      <c r="V165" s="3">
        <v>0.76</v>
      </c>
      <c r="W165" s="3" t="s">
        <v>256</v>
      </c>
      <c r="X165" t="s">
        <v>36</v>
      </c>
      <c r="Y165" s="7">
        <v>1</v>
      </c>
      <c r="Z165" s="11" t="s">
        <v>97</v>
      </c>
      <c r="AA165" s="36">
        <v>45414</v>
      </c>
      <c r="AB165" s="36">
        <v>45418</v>
      </c>
      <c r="AC165" s="29">
        <v>7.1005600852946342</v>
      </c>
      <c r="AD165" s="7">
        <v>4</v>
      </c>
      <c r="AE165" s="26" t="s">
        <v>49</v>
      </c>
      <c r="AF165" s="26" t="s">
        <v>199</v>
      </c>
      <c r="AG165" s="26" t="s">
        <v>177</v>
      </c>
      <c r="AH165" s="26" t="s">
        <v>225</v>
      </c>
      <c r="AI165" s="7">
        <v>330</v>
      </c>
      <c r="AJ165" t="s">
        <v>1621</v>
      </c>
      <c r="AK165" t="s">
        <v>1694</v>
      </c>
    </row>
    <row r="166" spans="1:37">
      <c r="A166" s="2" t="s">
        <v>1387</v>
      </c>
      <c r="B166" s="20">
        <v>45118</v>
      </c>
      <c r="C166" s="2" t="s">
        <v>487</v>
      </c>
      <c r="D166" s="6">
        <v>1</v>
      </c>
      <c r="E166" s="6">
        <v>25</v>
      </c>
      <c r="F166" s="6">
        <v>3</v>
      </c>
      <c r="G166" s="6" t="s">
        <v>256</v>
      </c>
      <c r="H166" s="6" t="s">
        <v>256</v>
      </c>
      <c r="I166" s="24" t="s">
        <v>6</v>
      </c>
      <c r="J166" s="24" t="s">
        <v>253</v>
      </c>
      <c r="K166" s="6">
        <v>300</v>
      </c>
      <c r="L166" s="6">
        <v>4</v>
      </c>
      <c r="M166" s="6">
        <v>1</v>
      </c>
      <c r="N166" s="6" t="s">
        <v>493</v>
      </c>
      <c r="O166" s="6" t="s">
        <v>493</v>
      </c>
      <c r="P166" s="6" t="s">
        <v>493</v>
      </c>
      <c r="Q166" s="6" t="s">
        <v>493</v>
      </c>
      <c r="R166" s="8">
        <v>1.37</v>
      </c>
      <c r="S166" s="20">
        <v>45118</v>
      </c>
      <c r="T166" s="20">
        <v>45119</v>
      </c>
      <c r="U166" s="10">
        <v>1</v>
      </c>
      <c r="V166" s="3">
        <v>0.24</v>
      </c>
      <c r="W166" s="3" t="s">
        <v>256</v>
      </c>
      <c r="X166" t="s">
        <v>36</v>
      </c>
      <c r="Y166" s="7">
        <v>1</v>
      </c>
      <c r="Z166" s="11" t="s">
        <v>98</v>
      </c>
      <c r="AA166" s="36">
        <v>45414</v>
      </c>
      <c r="AB166" s="36">
        <v>45418</v>
      </c>
      <c r="AC166" s="29">
        <v>4.0975148438557314</v>
      </c>
      <c r="AD166" s="7">
        <v>4</v>
      </c>
      <c r="AE166" s="26" t="s">
        <v>51</v>
      </c>
      <c r="AF166" s="26" t="s">
        <v>201</v>
      </c>
      <c r="AG166" s="26" t="s">
        <v>177</v>
      </c>
      <c r="AH166" s="26" t="s">
        <v>225</v>
      </c>
      <c r="AI166" s="7">
        <v>342</v>
      </c>
      <c r="AJ166" t="s">
        <v>1622</v>
      </c>
      <c r="AK166" t="s">
        <v>1694</v>
      </c>
    </row>
    <row r="167" spans="1:37">
      <c r="A167" s="2" t="s">
        <v>1388</v>
      </c>
      <c r="B167" s="20">
        <v>45118</v>
      </c>
      <c r="C167" s="2" t="s">
        <v>487</v>
      </c>
      <c r="D167" s="6">
        <v>1</v>
      </c>
      <c r="E167" s="6">
        <v>26</v>
      </c>
      <c r="F167" s="6">
        <v>3</v>
      </c>
      <c r="G167" s="6" t="s">
        <v>256</v>
      </c>
      <c r="H167" s="6" t="s">
        <v>256</v>
      </c>
      <c r="I167" s="24" t="s">
        <v>6</v>
      </c>
      <c r="J167" s="24" t="s">
        <v>255</v>
      </c>
      <c r="K167" s="6">
        <v>300</v>
      </c>
      <c r="L167" s="6">
        <v>4</v>
      </c>
      <c r="M167" s="6">
        <v>2</v>
      </c>
      <c r="N167" s="6" t="s">
        <v>493</v>
      </c>
      <c r="O167" s="6" t="s">
        <v>493</v>
      </c>
      <c r="P167" s="6" t="s">
        <v>493</v>
      </c>
      <c r="Q167" s="6" t="s">
        <v>493</v>
      </c>
      <c r="R167" s="8">
        <v>2.6</v>
      </c>
      <c r="S167" s="20">
        <v>45118</v>
      </c>
      <c r="T167" s="20">
        <v>45119</v>
      </c>
      <c r="U167" s="10">
        <v>1</v>
      </c>
      <c r="V167" s="3">
        <v>0.35</v>
      </c>
      <c r="W167" s="3" t="s">
        <v>256</v>
      </c>
      <c r="X167" t="s">
        <v>36</v>
      </c>
      <c r="Y167" s="7">
        <v>1</v>
      </c>
      <c r="Z167" s="11" t="s">
        <v>109</v>
      </c>
      <c r="AA167" s="36">
        <v>45414</v>
      </c>
      <c r="AB167" s="36">
        <v>45418</v>
      </c>
      <c r="AC167" s="29">
        <v>8.4204061617817985</v>
      </c>
      <c r="AD167" s="7">
        <v>4</v>
      </c>
      <c r="AE167" s="26" t="s">
        <v>53</v>
      </c>
      <c r="AF167" s="26" t="s">
        <v>203</v>
      </c>
      <c r="AG167" s="26" t="s">
        <v>177</v>
      </c>
      <c r="AH167" s="26" t="s">
        <v>225</v>
      </c>
      <c r="AI167" s="7">
        <v>354</v>
      </c>
      <c r="AJ167" t="s">
        <v>1623</v>
      </c>
      <c r="AK167" t="s">
        <v>1694</v>
      </c>
    </row>
    <row r="168" spans="1:37">
      <c r="A168" s="2" t="s">
        <v>1389</v>
      </c>
      <c r="B168" s="20">
        <v>45118</v>
      </c>
      <c r="C168" s="2" t="s">
        <v>487</v>
      </c>
      <c r="D168" s="6">
        <v>1</v>
      </c>
      <c r="E168" s="6">
        <v>28</v>
      </c>
      <c r="F168" s="6">
        <v>3</v>
      </c>
      <c r="G168" s="6" t="s">
        <v>256</v>
      </c>
      <c r="H168" s="6" t="s">
        <v>256</v>
      </c>
      <c r="I168" s="24" t="s">
        <v>6</v>
      </c>
      <c r="J168" s="24" t="s">
        <v>254</v>
      </c>
      <c r="K168" s="6">
        <v>300</v>
      </c>
      <c r="L168" s="6">
        <v>4</v>
      </c>
      <c r="M168" s="6">
        <v>4</v>
      </c>
      <c r="N168" s="6" t="s">
        <v>493</v>
      </c>
      <c r="O168" s="6" t="s">
        <v>493</v>
      </c>
      <c r="P168" s="6" t="s">
        <v>493</v>
      </c>
      <c r="Q168" s="6" t="s">
        <v>493</v>
      </c>
      <c r="R168" s="8">
        <v>1.77</v>
      </c>
      <c r="S168" s="20">
        <v>45118</v>
      </c>
      <c r="T168" s="20">
        <v>45119</v>
      </c>
      <c r="U168" s="10">
        <v>1</v>
      </c>
      <c r="V168" s="3">
        <v>0.21</v>
      </c>
      <c r="W168" s="3" t="s">
        <v>256</v>
      </c>
      <c r="X168" t="s">
        <v>36</v>
      </c>
      <c r="Y168" s="7">
        <v>1</v>
      </c>
      <c r="Z168" s="11" t="s">
        <v>110</v>
      </c>
      <c r="AA168" s="36">
        <v>45414</v>
      </c>
      <c r="AB168" s="36">
        <v>45418</v>
      </c>
      <c r="AC168" s="29">
        <v>2.1387017068095973</v>
      </c>
      <c r="AD168" s="7">
        <v>4</v>
      </c>
      <c r="AE168" s="26" t="s">
        <v>55</v>
      </c>
      <c r="AF168" s="26" t="s">
        <v>205</v>
      </c>
      <c r="AG168" s="26" t="s">
        <v>177</v>
      </c>
      <c r="AH168" s="26" t="s">
        <v>225</v>
      </c>
      <c r="AI168" s="7">
        <v>366</v>
      </c>
      <c r="AJ168" t="s">
        <v>1624</v>
      </c>
      <c r="AK168" t="s">
        <v>1694</v>
      </c>
    </row>
    <row r="169" spans="1:37">
      <c r="A169" s="2" t="s">
        <v>1390</v>
      </c>
      <c r="B169" s="20">
        <v>45118</v>
      </c>
      <c r="C169" s="2" t="s">
        <v>487</v>
      </c>
      <c r="D169" s="6">
        <v>1</v>
      </c>
      <c r="E169" s="6">
        <v>35</v>
      </c>
      <c r="F169" s="6">
        <v>3</v>
      </c>
      <c r="G169" s="6" t="s">
        <v>256</v>
      </c>
      <c r="H169" s="6" t="s">
        <v>256</v>
      </c>
      <c r="I169" s="24" t="s">
        <v>6</v>
      </c>
      <c r="J169" s="24" t="s">
        <v>40</v>
      </c>
      <c r="K169" s="6">
        <v>300</v>
      </c>
      <c r="L169" s="6">
        <v>4</v>
      </c>
      <c r="M169" s="6">
        <v>11</v>
      </c>
      <c r="N169" s="6" t="s">
        <v>493</v>
      </c>
      <c r="O169" s="6" t="s">
        <v>493</v>
      </c>
      <c r="P169" s="6" t="s">
        <v>493</v>
      </c>
      <c r="Q169" s="6" t="s">
        <v>493</v>
      </c>
      <c r="R169" s="8">
        <v>0.97</v>
      </c>
      <c r="S169" s="20">
        <v>45118</v>
      </c>
      <c r="T169" s="20">
        <v>45119</v>
      </c>
      <c r="U169" s="10">
        <v>1</v>
      </c>
      <c r="V169" s="3">
        <v>0.13</v>
      </c>
      <c r="W169" s="3" t="s">
        <v>256</v>
      </c>
      <c r="X169" t="s">
        <v>36</v>
      </c>
      <c r="Y169" s="7">
        <v>1</v>
      </c>
      <c r="Z169" s="11" t="s">
        <v>150</v>
      </c>
      <c r="AA169" s="36">
        <v>45414</v>
      </c>
      <c r="AB169" s="36">
        <v>45418</v>
      </c>
      <c r="AC169" s="29">
        <v>2.4477645551207772</v>
      </c>
      <c r="AD169" s="7">
        <v>4</v>
      </c>
      <c r="AE169" s="26" t="s">
        <v>57</v>
      </c>
      <c r="AF169" s="26" t="s">
        <v>207</v>
      </c>
      <c r="AG169" s="26" t="s">
        <v>177</v>
      </c>
      <c r="AH169" s="26" t="s">
        <v>225</v>
      </c>
      <c r="AI169" s="7">
        <v>378</v>
      </c>
      <c r="AJ169" t="s">
        <v>1625</v>
      </c>
      <c r="AK169" t="s">
        <v>1694</v>
      </c>
    </row>
    <row r="170" spans="1:37">
      <c r="A170" s="2" t="s">
        <v>1391</v>
      </c>
      <c r="B170" s="20">
        <v>45118</v>
      </c>
      <c r="C170" s="2" t="s">
        <v>487</v>
      </c>
      <c r="D170" s="6">
        <v>2</v>
      </c>
      <c r="E170" s="6">
        <v>37</v>
      </c>
      <c r="F170" s="6">
        <v>4</v>
      </c>
      <c r="G170" s="6" t="s">
        <v>256</v>
      </c>
      <c r="H170" s="6" t="s">
        <v>256</v>
      </c>
      <c r="I170" s="24" t="s">
        <v>4</v>
      </c>
      <c r="J170" s="24" t="s">
        <v>40</v>
      </c>
      <c r="K170" s="6">
        <v>300</v>
      </c>
      <c r="L170" s="6">
        <v>3</v>
      </c>
      <c r="M170" s="6">
        <v>1</v>
      </c>
      <c r="N170" s="6" t="s">
        <v>493</v>
      </c>
      <c r="O170" s="6" t="s">
        <v>493</v>
      </c>
      <c r="P170" s="6" t="s">
        <v>493</v>
      </c>
      <c r="Q170" s="6" t="s">
        <v>493</v>
      </c>
      <c r="R170" s="8">
        <v>1.25</v>
      </c>
      <c r="S170" s="20">
        <v>45118</v>
      </c>
      <c r="T170" s="20">
        <v>45119</v>
      </c>
      <c r="U170" s="10">
        <v>1</v>
      </c>
      <c r="V170" s="3">
        <v>3.33</v>
      </c>
      <c r="W170" s="3" t="s">
        <v>256</v>
      </c>
      <c r="X170" t="s">
        <v>36</v>
      </c>
      <c r="Y170" s="7">
        <v>1</v>
      </c>
      <c r="Z170" s="11" t="s">
        <v>103</v>
      </c>
      <c r="AA170" s="36">
        <v>45414</v>
      </c>
      <c r="AB170" s="36">
        <v>45418</v>
      </c>
      <c r="AC170" s="29">
        <v>8.9050297647319017</v>
      </c>
      <c r="AD170" s="7">
        <v>4</v>
      </c>
      <c r="AE170" s="26" t="s">
        <v>42</v>
      </c>
      <c r="AF170" s="26" t="s">
        <v>193</v>
      </c>
      <c r="AG170" s="26" t="s">
        <v>178</v>
      </c>
      <c r="AH170" s="26" t="s">
        <v>226</v>
      </c>
      <c r="AI170" s="7">
        <v>295</v>
      </c>
      <c r="AJ170" t="s">
        <v>1626</v>
      </c>
      <c r="AK170" t="s">
        <v>1694</v>
      </c>
    </row>
    <row r="171" spans="1:37">
      <c r="A171" s="2" t="s">
        <v>1392</v>
      </c>
      <c r="B171" s="20">
        <v>45118</v>
      </c>
      <c r="C171" s="2" t="s">
        <v>487</v>
      </c>
      <c r="D171" s="6">
        <v>2</v>
      </c>
      <c r="E171" s="6">
        <v>38</v>
      </c>
      <c r="F171" s="6">
        <v>4</v>
      </c>
      <c r="G171" s="6" t="s">
        <v>256</v>
      </c>
      <c r="H171" s="6" t="s">
        <v>256</v>
      </c>
      <c r="I171" s="24" t="s">
        <v>4</v>
      </c>
      <c r="J171" s="24" t="s">
        <v>255</v>
      </c>
      <c r="K171" s="6">
        <v>300</v>
      </c>
      <c r="L171" s="6">
        <v>3</v>
      </c>
      <c r="M171" s="6">
        <v>2</v>
      </c>
      <c r="N171" s="6" t="s">
        <v>493</v>
      </c>
      <c r="O171" s="6" t="s">
        <v>493</v>
      </c>
      <c r="P171" s="6" t="s">
        <v>493</v>
      </c>
      <c r="Q171" s="6" t="s">
        <v>493</v>
      </c>
      <c r="R171" s="8">
        <v>3.07</v>
      </c>
      <c r="S171" s="20">
        <v>45118</v>
      </c>
      <c r="T171" s="20">
        <v>45119</v>
      </c>
      <c r="U171" s="10">
        <v>1</v>
      </c>
      <c r="V171" s="3">
        <v>7.34</v>
      </c>
      <c r="W171" s="3" t="s">
        <v>256</v>
      </c>
      <c r="X171" t="s">
        <v>36</v>
      </c>
      <c r="Y171" s="7">
        <v>1</v>
      </c>
      <c r="Z171" s="11" t="s">
        <v>112</v>
      </c>
      <c r="AA171" s="36">
        <v>45414</v>
      </c>
      <c r="AB171" s="36">
        <v>45418</v>
      </c>
      <c r="AC171" s="29">
        <v>3.4498096311491193</v>
      </c>
      <c r="AD171" s="7">
        <v>4</v>
      </c>
      <c r="AE171" s="26" t="s">
        <v>45</v>
      </c>
      <c r="AF171" s="26" t="s">
        <v>195</v>
      </c>
      <c r="AG171" s="26" t="s">
        <v>178</v>
      </c>
      <c r="AH171" s="26" t="s">
        <v>226</v>
      </c>
      <c r="AI171" s="7">
        <v>307</v>
      </c>
      <c r="AJ171" t="s">
        <v>1627</v>
      </c>
      <c r="AK171" t="s">
        <v>1694</v>
      </c>
    </row>
    <row r="172" spans="1:37">
      <c r="A172" s="2" t="s">
        <v>1393</v>
      </c>
      <c r="B172" s="20">
        <v>45118</v>
      </c>
      <c r="C172" s="2" t="s">
        <v>487</v>
      </c>
      <c r="D172" s="6">
        <v>2</v>
      </c>
      <c r="E172" s="6">
        <v>41</v>
      </c>
      <c r="F172" s="6">
        <v>4</v>
      </c>
      <c r="G172" s="6" t="s">
        <v>256</v>
      </c>
      <c r="H172" s="6" t="s">
        <v>256</v>
      </c>
      <c r="I172" s="24" t="s">
        <v>4</v>
      </c>
      <c r="J172" s="24" t="s">
        <v>253</v>
      </c>
      <c r="K172" s="6">
        <v>300</v>
      </c>
      <c r="L172" s="6">
        <v>3</v>
      </c>
      <c r="M172" s="6">
        <v>5</v>
      </c>
      <c r="N172" s="6" t="s">
        <v>493</v>
      </c>
      <c r="O172" s="6" t="s">
        <v>493</v>
      </c>
      <c r="P172" s="6" t="s">
        <v>493</v>
      </c>
      <c r="Q172" s="6" t="s">
        <v>493</v>
      </c>
      <c r="R172" s="8">
        <v>1.94</v>
      </c>
      <c r="S172" s="20">
        <v>45118</v>
      </c>
      <c r="T172" s="20">
        <v>45119</v>
      </c>
      <c r="U172" s="10">
        <v>1</v>
      </c>
      <c r="V172" s="3">
        <v>1.95</v>
      </c>
      <c r="W172" s="3" t="s">
        <v>256</v>
      </c>
      <c r="X172" t="s">
        <v>36</v>
      </c>
      <c r="Y172" s="7">
        <v>1</v>
      </c>
      <c r="Z172" s="11" t="s">
        <v>151</v>
      </c>
      <c r="AA172" s="36">
        <v>45414</v>
      </c>
      <c r="AB172" s="36">
        <v>45418</v>
      </c>
      <c r="AC172" s="29">
        <v>4.9189836676326006</v>
      </c>
      <c r="AD172" s="7">
        <v>4</v>
      </c>
      <c r="AE172" s="26" t="s">
        <v>47</v>
      </c>
      <c r="AF172" s="26" t="s">
        <v>197</v>
      </c>
      <c r="AG172" s="26" t="s">
        <v>178</v>
      </c>
      <c r="AH172" s="26" t="s">
        <v>226</v>
      </c>
      <c r="AI172" s="7">
        <v>319</v>
      </c>
      <c r="AJ172" t="s">
        <v>1628</v>
      </c>
      <c r="AK172" t="s">
        <v>1694</v>
      </c>
    </row>
    <row r="173" spans="1:37">
      <c r="A173" s="2" t="s">
        <v>1394</v>
      </c>
      <c r="B173" s="20">
        <v>45118</v>
      </c>
      <c r="C173" s="2" t="s">
        <v>487</v>
      </c>
      <c r="D173" s="6">
        <v>2</v>
      </c>
      <c r="E173" s="6">
        <v>44</v>
      </c>
      <c r="F173" s="6">
        <v>4</v>
      </c>
      <c r="G173" s="6" t="s">
        <v>256</v>
      </c>
      <c r="H173" s="6" t="s">
        <v>256</v>
      </c>
      <c r="I173" s="24" t="s">
        <v>4</v>
      </c>
      <c r="J173" s="24" t="s">
        <v>254</v>
      </c>
      <c r="K173" s="6">
        <v>300</v>
      </c>
      <c r="L173" s="6">
        <v>3</v>
      </c>
      <c r="M173" s="6">
        <v>8</v>
      </c>
      <c r="N173" s="6" t="s">
        <v>493</v>
      </c>
      <c r="O173" s="6" t="s">
        <v>493</v>
      </c>
      <c r="P173" s="6" t="s">
        <v>493</v>
      </c>
      <c r="Q173" s="6" t="s">
        <v>493</v>
      </c>
      <c r="R173" s="8">
        <v>2.0699999999999998</v>
      </c>
      <c r="S173" s="20">
        <v>45118</v>
      </c>
      <c r="T173" s="20">
        <v>45119</v>
      </c>
      <c r="U173" s="10">
        <v>1</v>
      </c>
      <c r="V173" s="3">
        <v>0.8</v>
      </c>
      <c r="W173" s="3" t="s">
        <v>256</v>
      </c>
      <c r="X173" t="s">
        <v>36</v>
      </c>
      <c r="Y173" s="7">
        <v>1</v>
      </c>
      <c r="Z173" s="11" t="s">
        <v>152</v>
      </c>
      <c r="AA173" s="36">
        <v>45414</v>
      </c>
      <c r="AB173" s="36">
        <v>45418</v>
      </c>
      <c r="AC173" s="29">
        <v>8.3182898968622965</v>
      </c>
      <c r="AD173" s="7">
        <v>4</v>
      </c>
      <c r="AE173" s="26" t="s">
        <v>49</v>
      </c>
      <c r="AF173" s="26" t="s">
        <v>199</v>
      </c>
      <c r="AG173" s="26" t="s">
        <v>178</v>
      </c>
      <c r="AH173" s="26" t="s">
        <v>226</v>
      </c>
      <c r="AI173" s="7">
        <v>331</v>
      </c>
      <c r="AJ173" t="s">
        <v>1629</v>
      </c>
      <c r="AK173" t="s">
        <v>1694</v>
      </c>
    </row>
    <row r="174" spans="1:37">
      <c r="A174" s="2" t="s">
        <v>1395</v>
      </c>
      <c r="B174" s="20">
        <v>45118</v>
      </c>
      <c r="C174" s="2" t="s">
        <v>487</v>
      </c>
      <c r="D174" s="6">
        <v>2</v>
      </c>
      <c r="E174" s="6">
        <v>51</v>
      </c>
      <c r="F174" s="6">
        <v>5</v>
      </c>
      <c r="G174" s="6" t="s">
        <v>256</v>
      </c>
      <c r="H174" s="6" t="s">
        <v>256</v>
      </c>
      <c r="I174" s="24" t="s">
        <v>6</v>
      </c>
      <c r="J174" s="24" t="s">
        <v>40</v>
      </c>
      <c r="K174" s="6">
        <v>300</v>
      </c>
      <c r="L174" s="6">
        <v>2</v>
      </c>
      <c r="M174" s="6">
        <v>3</v>
      </c>
      <c r="N174" s="6" t="s">
        <v>493</v>
      </c>
      <c r="O174" s="6" t="s">
        <v>493</v>
      </c>
      <c r="P174" s="6" t="s">
        <v>493</v>
      </c>
      <c r="Q174" s="6" t="s">
        <v>493</v>
      </c>
      <c r="R174" s="8">
        <v>1.42</v>
      </c>
      <c r="S174" s="20">
        <v>45118</v>
      </c>
      <c r="T174" s="20">
        <v>45119</v>
      </c>
      <c r="U174" s="10">
        <v>1</v>
      </c>
      <c r="V174" s="3">
        <v>0.14000000000000001</v>
      </c>
      <c r="W174" s="3" t="s">
        <v>256</v>
      </c>
      <c r="X174" t="s">
        <v>36</v>
      </c>
      <c r="Y174" s="7">
        <v>1</v>
      </c>
      <c r="Z174" s="11" t="s">
        <v>105</v>
      </c>
      <c r="AA174" s="36">
        <v>45414</v>
      </c>
      <c r="AB174" s="36">
        <v>45418</v>
      </c>
      <c r="AC174" s="29">
        <v>1.7995091964237577</v>
      </c>
      <c r="AD174" s="7">
        <v>4</v>
      </c>
      <c r="AE174" s="26" t="s">
        <v>51</v>
      </c>
      <c r="AF174" s="26" t="s">
        <v>201</v>
      </c>
      <c r="AG174" s="26" t="s">
        <v>178</v>
      </c>
      <c r="AH174" s="26" t="s">
        <v>226</v>
      </c>
      <c r="AI174" s="7">
        <v>343</v>
      </c>
      <c r="AJ174" t="s">
        <v>1630</v>
      </c>
      <c r="AK174" t="s">
        <v>1694</v>
      </c>
    </row>
    <row r="175" spans="1:37">
      <c r="A175" s="2" t="s">
        <v>1396</v>
      </c>
      <c r="B175" s="20">
        <v>45118</v>
      </c>
      <c r="C175" s="2" t="s">
        <v>487</v>
      </c>
      <c r="D175" s="6">
        <v>2</v>
      </c>
      <c r="E175" s="6">
        <v>53</v>
      </c>
      <c r="F175" s="6">
        <v>5</v>
      </c>
      <c r="G175" s="6" t="s">
        <v>256</v>
      </c>
      <c r="H175" s="6" t="s">
        <v>256</v>
      </c>
      <c r="I175" s="24" t="s">
        <v>6</v>
      </c>
      <c r="J175" s="24" t="s">
        <v>255</v>
      </c>
      <c r="K175" s="6">
        <v>300</v>
      </c>
      <c r="L175" s="6">
        <v>2</v>
      </c>
      <c r="M175" s="6">
        <v>5</v>
      </c>
      <c r="N175" s="6" t="s">
        <v>493</v>
      </c>
      <c r="O175" s="6" t="s">
        <v>493</v>
      </c>
      <c r="P175" s="6" t="s">
        <v>493</v>
      </c>
      <c r="Q175" s="6" t="s">
        <v>493</v>
      </c>
      <c r="R175" s="8">
        <v>2.82</v>
      </c>
      <c r="S175" s="20">
        <v>45118</v>
      </c>
      <c r="T175" s="20">
        <v>45119</v>
      </c>
      <c r="U175" s="10">
        <v>1</v>
      </c>
      <c r="V175" s="3">
        <v>0.47</v>
      </c>
      <c r="W175" s="3" t="s">
        <v>256</v>
      </c>
      <c r="X175" t="s">
        <v>36</v>
      </c>
      <c r="Y175" s="7">
        <v>1</v>
      </c>
      <c r="Z175" s="11" t="s">
        <v>116</v>
      </c>
      <c r="AA175" s="36">
        <v>45414</v>
      </c>
      <c r="AB175" s="36">
        <v>45418</v>
      </c>
      <c r="AC175" s="29">
        <v>8.6071623873255163</v>
      </c>
      <c r="AD175" s="7">
        <v>4</v>
      </c>
      <c r="AE175" s="26" t="s">
        <v>53</v>
      </c>
      <c r="AF175" s="26" t="s">
        <v>203</v>
      </c>
      <c r="AG175" s="26" t="s">
        <v>178</v>
      </c>
      <c r="AH175" s="26" t="s">
        <v>226</v>
      </c>
      <c r="AI175" s="7">
        <v>355</v>
      </c>
      <c r="AJ175" t="s">
        <v>1631</v>
      </c>
      <c r="AK175" t="s">
        <v>1694</v>
      </c>
    </row>
    <row r="176" spans="1:37">
      <c r="A176" s="2" t="s">
        <v>1397</v>
      </c>
      <c r="B176" s="20">
        <v>45118</v>
      </c>
      <c r="C176" s="2" t="s">
        <v>487</v>
      </c>
      <c r="D176" s="6">
        <v>2</v>
      </c>
      <c r="E176" s="6">
        <v>55</v>
      </c>
      <c r="F176" s="6">
        <v>5</v>
      </c>
      <c r="G176" s="6" t="s">
        <v>256</v>
      </c>
      <c r="H176" s="6" t="s">
        <v>256</v>
      </c>
      <c r="I176" s="24" t="s">
        <v>6</v>
      </c>
      <c r="J176" s="24" t="s">
        <v>253</v>
      </c>
      <c r="K176" s="6">
        <v>300</v>
      </c>
      <c r="L176" s="6">
        <v>2</v>
      </c>
      <c r="M176" s="6">
        <v>7</v>
      </c>
      <c r="N176" s="6" t="s">
        <v>493</v>
      </c>
      <c r="O176" s="6" t="s">
        <v>493</v>
      </c>
      <c r="P176" s="6" t="s">
        <v>493</v>
      </c>
      <c r="Q176" s="6" t="s">
        <v>493</v>
      </c>
      <c r="R176" s="8">
        <v>1.92</v>
      </c>
      <c r="S176" s="20">
        <v>45118</v>
      </c>
      <c r="T176" s="20">
        <v>45119</v>
      </c>
      <c r="U176" s="10">
        <v>1</v>
      </c>
      <c r="V176" s="3">
        <v>0.42</v>
      </c>
      <c r="W176" s="3" t="s">
        <v>256</v>
      </c>
      <c r="X176" t="s">
        <v>36</v>
      </c>
      <c r="Y176" s="7">
        <v>1</v>
      </c>
      <c r="Z176" s="11" t="s">
        <v>117</v>
      </c>
      <c r="AA176" s="36">
        <v>45414</v>
      </c>
      <c r="AB176" s="36">
        <v>45418</v>
      </c>
      <c r="AC176" s="29">
        <v>7.1736103037209311</v>
      </c>
      <c r="AD176" s="7">
        <v>4</v>
      </c>
      <c r="AE176" s="26" t="s">
        <v>55</v>
      </c>
      <c r="AF176" s="26" t="s">
        <v>205</v>
      </c>
      <c r="AG176" s="26" t="s">
        <v>178</v>
      </c>
      <c r="AH176" s="26" t="s">
        <v>226</v>
      </c>
      <c r="AI176" s="7">
        <v>367</v>
      </c>
      <c r="AJ176" t="s">
        <v>1632</v>
      </c>
      <c r="AK176" t="s">
        <v>1694</v>
      </c>
    </row>
    <row r="177" spans="1:37">
      <c r="A177" s="2" t="s">
        <v>1398</v>
      </c>
      <c r="B177" s="20">
        <v>45118</v>
      </c>
      <c r="C177" s="2" t="s">
        <v>487</v>
      </c>
      <c r="D177" s="6">
        <v>2</v>
      </c>
      <c r="E177" s="6">
        <v>59</v>
      </c>
      <c r="F177" s="6">
        <v>5</v>
      </c>
      <c r="G177" s="6" t="s">
        <v>256</v>
      </c>
      <c r="H177" s="6" t="s">
        <v>256</v>
      </c>
      <c r="I177" s="24" t="s">
        <v>6</v>
      </c>
      <c r="J177" s="24" t="s">
        <v>254</v>
      </c>
      <c r="K177" s="6">
        <v>300</v>
      </c>
      <c r="L177" s="6">
        <v>2</v>
      </c>
      <c r="M177" s="6">
        <v>11</v>
      </c>
      <c r="N177" s="6" t="s">
        <v>493</v>
      </c>
      <c r="O177" s="6" t="s">
        <v>493</v>
      </c>
      <c r="P177" s="6" t="s">
        <v>493</v>
      </c>
      <c r="Q177" s="6" t="s">
        <v>493</v>
      </c>
      <c r="R177" s="8">
        <v>1.71</v>
      </c>
      <c r="S177" s="20">
        <v>45118</v>
      </c>
      <c r="T177" s="20">
        <v>45119</v>
      </c>
      <c r="U177" s="10">
        <v>1</v>
      </c>
      <c r="V177" s="3">
        <v>0.36</v>
      </c>
      <c r="W177" s="3" t="s">
        <v>256</v>
      </c>
      <c r="X177" t="s">
        <v>36</v>
      </c>
      <c r="Y177" s="7">
        <v>1</v>
      </c>
      <c r="Z177" s="11" t="s">
        <v>142</v>
      </c>
      <c r="AA177" s="36">
        <v>45414</v>
      </c>
      <c r="AB177" s="36">
        <v>45418</v>
      </c>
      <c r="AC177" s="29">
        <v>3.7025375300425556</v>
      </c>
      <c r="AD177" s="7">
        <v>4</v>
      </c>
      <c r="AE177" s="26" t="s">
        <v>57</v>
      </c>
      <c r="AF177" s="26" t="s">
        <v>207</v>
      </c>
      <c r="AG177" s="26" t="s">
        <v>178</v>
      </c>
      <c r="AH177" s="26" t="s">
        <v>226</v>
      </c>
      <c r="AI177" s="7">
        <v>379</v>
      </c>
      <c r="AJ177" t="s">
        <v>1633</v>
      </c>
      <c r="AK177" t="s">
        <v>1694</v>
      </c>
    </row>
    <row r="178" spans="1:37">
      <c r="A178" s="2" t="s">
        <v>1399</v>
      </c>
      <c r="B178" s="20">
        <v>45118</v>
      </c>
      <c r="C178" s="2" t="s">
        <v>487</v>
      </c>
      <c r="D178" s="6">
        <v>2</v>
      </c>
      <c r="E178" s="6">
        <v>61</v>
      </c>
      <c r="F178" s="6">
        <v>6</v>
      </c>
      <c r="G178" s="6" t="s">
        <v>256</v>
      </c>
      <c r="H178" s="6" t="s">
        <v>256</v>
      </c>
      <c r="I178" s="24" t="s">
        <v>5</v>
      </c>
      <c r="J178" s="24" t="s">
        <v>40</v>
      </c>
      <c r="K178" s="6">
        <v>300</v>
      </c>
      <c r="L178" s="6">
        <v>1</v>
      </c>
      <c r="M178" s="6">
        <v>1</v>
      </c>
      <c r="N178" s="6" t="s">
        <v>493</v>
      </c>
      <c r="O178" s="6" t="s">
        <v>493</v>
      </c>
      <c r="P178" s="6" t="s">
        <v>493</v>
      </c>
      <c r="Q178" s="6" t="s">
        <v>493</v>
      </c>
      <c r="R178" s="8">
        <v>1.65</v>
      </c>
      <c r="S178" s="20">
        <v>45118</v>
      </c>
      <c r="T178" s="20">
        <v>45119</v>
      </c>
      <c r="U178" s="10">
        <v>1</v>
      </c>
      <c r="V178" s="3">
        <v>4.18</v>
      </c>
      <c r="W178" s="3" t="s">
        <v>256</v>
      </c>
      <c r="X178" t="s">
        <v>36</v>
      </c>
      <c r="Y178" s="7">
        <v>2</v>
      </c>
      <c r="Z178" s="11" t="s">
        <v>81</v>
      </c>
      <c r="AA178" s="36">
        <v>45474</v>
      </c>
      <c r="AB178" s="36">
        <v>45475</v>
      </c>
      <c r="AC178" s="29">
        <v>14.757382654175666</v>
      </c>
      <c r="AD178" s="7">
        <v>4</v>
      </c>
      <c r="AE178" s="26" t="s">
        <v>42</v>
      </c>
      <c r="AF178" s="26" t="s">
        <v>193</v>
      </c>
      <c r="AG178" s="26" t="s">
        <v>175</v>
      </c>
      <c r="AH178" s="26" t="s">
        <v>223</v>
      </c>
      <c r="AI178" s="7">
        <v>291</v>
      </c>
      <c r="AJ178" t="s">
        <v>1634</v>
      </c>
      <c r="AK178" t="s">
        <v>1693</v>
      </c>
    </row>
    <row r="179" spans="1:37">
      <c r="A179" s="2" t="s">
        <v>1400</v>
      </c>
      <c r="B179" s="20">
        <v>45118</v>
      </c>
      <c r="C179" s="2" t="s">
        <v>487</v>
      </c>
      <c r="D179" s="6">
        <v>2</v>
      </c>
      <c r="E179" s="6">
        <v>66</v>
      </c>
      <c r="F179" s="6">
        <v>6</v>
      </c>
      <c r="G179" s="6" t="s">
        <v>256</v>
      </c>
      <c r="H179" s="6" t="s">
        <v>256</v>
      </c>
      <c r="I179" s="24" t="s">
        <v>5</v>
      </c>
      <c r="J179" s="24" t="s">
        <v>254</v>
      </c>
      <c r="K179" s="6">
        <v>300</v>
      </c>
      <c r="L179" s="6">
        <v>1</v>
      </c>
      <c r="M179" s="6">
        <v>6</v>
      </c>
      <c r="N179" s="6" t="s">
        <v>493</v>
      </c>
      <c r="O179" s="6" t="s">
        <v>493</v>
      </c>
      <c r="P179" s="6" t="s">
        <v>493</v>
      </c>
      <c r="Q179" s="6" t="s">
        <v>493</v>
      </c>
      <c r="R179" s="8">
        <v>3.24</v>
      </c>
      <c r="S179" s="20">
        <v>45118</v>
      </c>
      <c r="T179" s="20">
        <v>45119</v>
      </c>
      <c r="U179" s="10">
        <v>1</v>
      </c>
      <c r="V179" s="3">
        <v>2.87</v>
      </c>
      <c r="W179" s="3" t="s">
        <v>256</v>
      </c>
      <c r="X179" t="s">
        <v>36</v>
      </c>
      <c r="Y179" s="7">
        <v>2</v>
      </c>
      <c r="Z179" s="11" t="s">
        <v>82</v>
      </c>
      <c r="AA179" s="36">
        <v>45474</v>
      </c>
      <c r="AB179" s="36">
        <v>45475</v>
      </c>
      <c r="AC179" s="29">
        <v>14.516059712480482</v>
      </c>
      <c r="AD179" s="7">
        <v>4</v>
      </c>
      <c r="AE179" s="26" t="s">
        <v>194</v>
      </c>
      <c r="AF179" s="26" t="s">
        <v>195</v>
      </c>
      <c r="AG179" s="26" t="s">
        <v>175</v>
      </c>
      <c r="AH179" s="26" t="s">
        <v>223</v>
      </c>
      <c r="AI179" s="7">
        <v>303</v>
      </c>
      <c r="AJ179" t="s">
        <v>1635</v>
      </c>
      <c r="AK179" t="s">
        <v>1693</v>
      </c>
    </row>
    <row r="180" spans="1:37">
      <c r="A180" s="2" t="s">
        <v>1401</v>
      </c>
      <c r="B180" s="20">
        <v>45118</v>
      </c>
      <c r="C180" s="2" t="s">
        <v>487</v>
      </c>
      <c r="D180" s="6">
        <v>2</v>
      </c>
      <c r="E180" s="6">
        <v>68</v>
      </c>
      <c r="F180" s="6">
        <v>6</v>
      </c>
      <c r="G180" s="6" t="s">
        <v>256</v>
      </c>
      <c r="H180" s="6" t="s">
        <v>256</v>
      </c>
      <c r="I180" s="24" t="s">
        <v>5</v>
      </c>
      <c r="J180" s="24" t="s">
        <v>255</v>
      </c>
      <c r="K180" s="6">
        <v>300</v>
      </c>
      <c r="L180" s="6">
        <v>1</v>
      </c>
      <c r="M180" s="6">
        <v>8</v>
      </c>
      <c r="N180" s="6" t="s">
        <v>493</v>
      </c>
      <c r="O180" s="6" t="s">
        <v>493</v>
      </c>
      <c r="P180" s="6" t="s">
        <v>493</v>
      </c>
      <c r="Q180" s="6" t="s">
        <v>493</v>
      </c>
      <c r="R180" s="8">
        <v>3.1</v>
      </c>
      <c r="S180" s="20">
        <v>45118</v>
      </c>
      <c r="T180" s="20">
        <v>45119</v>
      </c>
      <c r="U180" s="10">
        <v>1</v>
      </c>
      <c r="V180" s="3">
        <v>2.75</v>
      </c>
      <c r="W180" s="3" t="s">
        <v>256</v>
      </c>
      <c r="X180" t="s">
        <v>36</v>
      </c>
      <c r="Y180" s="7">
        <v>1</v>
      </c>
      <c r="Z180" s="11" t="s">
        <v>139</v>
      </c>
      <c r="AA180" s="36">
        <v>45414</v>
      </c>
      <c r="AB180" s="36">
        <v>45418</v>
      </c>
      <c r="AC180" s="29">
        <v>4.0508349565696413</v>
      </c>
      <c r="AD180" s="7">
        <v>4</v>
      </c>
      <c r="AE180" s="26" t="s">
        <v>47</v>
      </c>
      <c r="AF180" s="26" t="s">
        <v>197</v>
      </c>
      <c r="AG180" s="26" t="s">
        <v>179</v>
      </c>
      <c r="AH180" s="26" t="s">
        <v>227</v>
      </c>
      <c r="AI180" s="7">
        <v>320</v>
      </c>
      <c r="AJ180" t="s">
        <v>1636</v>
      </c>
      <c r="AK180" t="s">
        <v>1694</v>
      </c>
    </row>
    <row r="181" spans="1:37">
      <c r="A181" s="2" t="s">
        <v>1402</v>
      </c>
      <c r="B181" s="20">
        <v>45118</v>
      </c>
      <c r="C181" s="2" t="s">
        <v>487</v>
      </c>
      <c r="D181" s="6">
        <v>2</v>
      </c>
      <c r="E181" s="6">
        <v>72</v>
      </c>
      <c r="F181" s="6">
        <v>6</v>
      </c>
      <c r="G181" s="6" t="s">
        <v>256</v>
      </c>
      <c r="H181" s="6" t="s">
        <v>256</v>
      </c>
      <c r="I181" s="24" t="s">
        <v>5</v>
      </c>
      <c r="J181" s="24" t="s">
        <v>253</v>
      </c>
      <c r="K181" s="6">
        <v>300</v>
      </c>
      <c r="L181" s="6">
        <v>1</v>
      </c>
      <c r="M181" s="6">
        <v>12</v>
      </c>
      <c r="N181" s="6" t="s">
        <v>493</v>
      </c>
      <c r="O181" s="6" t="s">
        <v>493</v>
      </c>
      <c r="P181" s="6" t="s">
        <v>493</v>
      </c>
      <c r="Q181" s="6" t="s">
        <v>493</v>
      </c>
      <c r="R181" s="8">
        <v>3.48</v>
      </c>
      <c r="S181" s="20">
        <v>45118</v>
      </c>
      <c r="T181" s="20">
        <v>45119</v>
      </c>
      <c r="U181" s="10">
        <v>1</v>
      </c>
      <c r="V181" s="3">
        <v>2.73</v>
      </c>
      <c r="W181" s="3" t="s">
        <v>256</v>
      </c>
      <c r="X181" t="s">
        <v>36</v>
      </c>
      <c r="Y181" s="7">
        <v>1</v>
      </c>
      <c r="Z181" s="11" t="s">
        <v>140</v>
      </c>
      <c r="AA181" s="36">
        <v>45414</v>
      </c>
      <c r="AB181" s="36">
        <v>45418</v>
      </c>
      <c r="AC181" s="29">
        <v>2.6927812410486665</v>
      </c>
      <c r="AD181" s="7">
        <v>4</v>
      </c>
      <c r="AE181" s="26" t="s">
        <v>49</v>
      </c>
      <c r="AF181" s="26" t="s">
        <v>199</v>
      </c>
      <c r="AG181" s="26" t="s">
        <v>179</v>
      </c>
      <c r="AH181" s="26" t="s">
        <v>227</v>
      </c>
      <c r="AI181" s="7">
        <v>332</v>
      </c>
      <c r="AJ181" t="s">
        <v>1637</v>
      </c>
      <c r="AK181" t="s">
        <v>1694</v>
      </c>
    </row>
    <row r="182" spans="1:37">
      <c r="A182" s="2" t="s">
        <v>1403</v>
      </c>
      <c r="B182" s="20">
        <v>45118</v>
      </c>
      <c r="C182" s="2" t="s">
        <v>487</v>
      </c>
      <c r="D182" s="6">
        <v>3</v>
      </c>
      <c r="E182" s="6">
        <v>75</v>
      </c>
      <c r="F182" s="6">
        <v>7</v>
      </c>
      <c r="G182" s="6" t="s">
        <v>256</v>
      </c>
      <c r="H182" s="6" t="s">
        <v>256</v>
      </c>
      <c r="I182" s="24" t="s">
        <v>4</v>
      </c>
      <c r="J182" s="24" t="s">
        <v>255</v>
      </c>
      <c r="K182" s="6">
        <v>300</v>
      </c>
      <c r="L182" s="6">
        <v>6</v>
      </c>
      <c r="M182" s="6">
        <v>15</v>
      </c>
      <c r="N182" s="6" t="s">
        <v>493</v>
      </c>
      <c r="O182" s="6" t="s">
        <v>493</v>
      </c>
      <c r="P182" s="6" t="s">
        <v>493</v>
      </c>
      <c r="Q182" s="6" t="s">
        <v>493</v>
      </c>
      <c r="R182" s="8">
        <v>4.54</v>
      </c>
      <c r="S182" s="20">
        <v>45118</v>
      </c>
      <c r="T182" s="20">
        <v>45119</v>
      </c>
      <c r="U182" s="10">
        <v>1</v>
      </c>
      <c r="V182" s="3">
        <v>1.8</v>
      </c>
      <c r="W182" s="3" t="s">
        <v>256</v>
      </c>
      <c r="X182" t="s">
        <v>36</v>
      </c>
      <c r="Y182" s="7">
        <v>1</v>
      </c>
      <c r="Z182" s="11" t="s">
        <v>120</v>
      </c>
      <c r="AA182" s="36">
        <v>45414</v>
      </c>
      <c r="AB182" s="36">
        <v>45418</v>
      </c>
      <c r="AC182" s="29">
        <v>7.9696073681419257</v>
      </c>
      <c r="AD182" s="7">
        <v>4</v>
      </c>
      <c r="AE182" s="26" t="s">
        <v>51</v>
      </c>
      <c r="AF182" s="26" t="s">
        <v>201</v>
      </c>
      <c r="AG182" s="26" t="s">
        <v>179</v>
      </c>
      <c r="AH182" s="26" t="s">
        <v>227</v>
      </c>
      <c r="AI182" s="7">
        <v>344</v>
      </c>
      <c r="AJ182" t="s">
        <v>1638</v>
      </c>
      <c r="AK182" t="s">
        <v>1694</v>
      </c>
    </row>
    <row r="183" spans="1:37">
      <c r="A183" s="2" t="s">
        <v>1404</v>
      </c>
      <c r="B183" s="20">
        <v>45118</v>
      </c>
      <c r="C183" s="2" t="s">
        <v>487</v>
      </c>
      <c r="D183" s="6">
        <v>3</v>
      </c>
      <c r="E183" s="6">
        <v>80</v>
      </c>
      <c r="F183" s="6">
        <v>7</v>
      </c>
      <c r="G183" s="6" t="s">
        <v>256</v>
      </c>
      <c r="H183" s="6" t="s">
        <v>256</v>
      </c>
      <c r="I183" s="24" t="s">
        <v>4</v>
      </c>
      <c r="J183" s="24" t="s">
        <v>40</v>
      </c>
      <c r="K183" s="6">
        <v>300</v>
      </c>
      <c r="L183" s="6">
        <v>6</v>
      </c>
      <c r="M183" s="6">
        <v>20</v>
      </c>
      <c r="N183" s="6" t="s">
        <v>493</v>
      </c>
      <c r="O183" s="6" t="s">
        <v>493</v>
      </c>
      <c r="P183" s="6" t="s">
        <v>493</v>
      </c>
      <c r="Q183" s="6" t="s">
        <v>493</v>
      </c>
      <c r="R183" s="8">
        <v>2.88</v>
      </c>
      <c r="S183" s="20">
        <v>45118</v>
      </c>
      <c r="T183" s="20">
        <v>45119</v>
      </c>
      <c r="U183" s="10">
        <v>1</v>
      </c>
      <c r="V183" s="3">
        <v>0.45</v>
      </c>
      <c r="W183" s="3" t="s">
        <v>256</v>
      </c>
      <c r="X183" t="s">
        <v>36</v>
      </c>
      <c r="Y183" s="7">
        <v>1</v>
      </c>
      <c r="Z183" s="11" t="s">
        <v>121</v>
      </c>
      <c r="AA183" s="36">
        <v>45414</v>
      </c>
      <c r="AB183" s="36">
        <v>45418</v>
      </c>
      <c r="AC183" s="29">
        <v>5.6927364958414461</v>
      </c>
      <c r="AD183" s="7">
        <v>4</v>
      </c>
      <c r="AE183" s="26" t="s">
        <v>53</v>
      </c>
      <c r="AF183" s="26" t="s">
        <v>203</v>
      </c>
      <c r="AG183" s="26" t="s">
        <v>179</v>
      </c>
      <c r="AH183" s="26" t="s">
        <v>227</v>
      </c>
      <c r="AI183" s="7">
        <v>356</v>
      </c>
      <c r="AJ183" t="s">
        <v>1639</v>
      </c>
      <c r="AK183" t="s">
        <v>1694</v>
      </c>
    </row>
    <row r="184" spans="1:37">
      <c r="A184" s="2" t="s">
        <v>1405</v>
      </c>
      <c r="B184" s="20">
        <v>45118</v>
      </c>
      <c r="C184" s="2" t="s">
        <v>487</v>
      </c>
      <c r="D184" s="6">
        <v>3</v>
      </c>
      <c r="E184" s="6">
        <v>81</v>
      </c>
      <c r="F184" s="6">
        <v>7</v>
      </c>
      <c r="G184" s="6" t="s">
        <v>256</v>
      </c>
      <c r="H184" s="6" t="s">
        <v>256</v>
      </c>
      <c r="I184" s="24" t="s">
        <v>4</v>
      </c>
      <c r="J184" s="24" t="s">
        <v>254</v>
      </c>
      <c r="K184" s="6">
        <v>300</v>
      </c>
      <c r="L184" s="6">
        <v>6</v>
      </c>
      <c r="M184" s="6">
        <v>21</v>
      </c>
      <c r="N184" s="6" t="s">
        <v>493</v>
      </c>
      <c r="O184" s="6" t="s">
        <v>493</v>
      </c>
      <c r="P184" s="6" t="s">
        <v>493</v>
      </c>
      <c r="Q184" s="6" t="s">
        <v>493</v>
      </c>
      <c r="R184" s="8">
        <v>3.26</v>
      </c>
      <c r="S184" s="20">
        <v>45118</v>
      </c>
      <c r="T184" s="20">
        <v>45119</v>
      </c>
      <c r="U184" s="10">
        <v>1</v>
      </c>
      <c r="V184" s="3">
        <v>0.43</v>
      </c>
      <c r="W184" s="3" t="s">
        <v>256</v>
      </c>
      <c r="X184" t="s">
        <v>36</v>
      </c>
      <c r="Y184" s="7">
        <v>1</v>
      </c>
      <c r="Z184" s="11" t="s">
        <v>122</v>
      </c>
      <c r="AA184" s="36">
        <v>45414</v>
      </c>
      <c r="AB184" s="36">
        <v>45418</v>
      </c>
      <c r="AC184" s="29">
        <v>5.0514588221227639</v>
      </c>
      <c r="AD184" s="7">
        <v>4</v>
      </c>
      <c r="AE184" s="26" t="s">
        <v>55</v>
      </c>
      <c r="AF184" s="26" t="s">
        <v>205</v>
      </c>
      <c r="AG184" s="26" t="s">
        <v>179</v>
      </c>
      <c r="AH184" s="26" t="s">
        <v>227</v>
      </c>
      <c r="AI184" s="7">
        <v>368</v>
      </c>
      <c r="AJ184" t="s">
        <v>1640</v>
      </c>
      <c r="AK184" t="s">
        <v>1694</v>
      </c>
    </row>
    <row r="185" spans="1:37">
      <c r="A185" s="2" t="s">
        <v>1406</v>
      </c>
      <c r="B185" s="20">
        <v>45118</v>
      </c>
      <c r="C185" s="2" t="s">
        <v>487</v>
      </c>
      <c r="D185" s="6">
        <v>3</v>
      </c>
      <c r="E185" s="6">
        <v>82</v>
      </c>
      <c r="F185" s="6">
        <v>7</v>
      </c>
      <c r="G185" s="6" t="s">
        <v>256</v>
      </c>
      <c r="H185" s="6" t="s">
        <v>256</v>
      </c>
      <c r="I185" s="24" t="s">
        <v>4</v>
      </c>
      <c r="J185" s="24" t="s">
        <v>253</v>
      </c>
      <c r="K185" s="6">
        <v>300</v>
      </c>
      <c r="L185" s="6">
        <v>6</v>
      </c>
      <c r="M185" s="6">
        <v>22</v>
      </c>
      <c r="N185" s="6" t="s">
        <v>493</v>
      </c>
      <c r="O185" s="6" t="s">
        <v>493</v>
      </c>
      <c r="P185" s="6" t="s">
        <v>493</v>
      </c>
      <c r="Q185" s="6" t="s">
        <v>493</v>
      </c>
      <c r="R185" s="8">
        <v>3.67</v>
      </c>
      <c r="S185" s="20">
        <v>45118</v>
      </c>
      <c r="T185" s="20">
        <v>45119</v>
      </c>
      <c r="U185" s="10">
        <v>1</v>
      </c>
      <c r="V185" s="3">
        <v>3.55</v>
      </c>
      <c r="W185" s="3" t="s">
        <v>256</v>
      </c>
      <c r="X185" t="s">
        <v>36</v>
      </c>
      <c r="Y185" s="7">
        <v>1</v>
      </c>
      <c r="Z185" s="11" t="s">
        <v>154</v>
      </c>
      <c r="AA185" s="36">
        <v>45414</v>
      </c>
      <c r="AB185" s="36">
        <v>45418</v>
      </c>
      <c r="AC185" s="29">
        <v>11.145380112369152</v>
      </c>
      <c r="AD185" s="7">
        <v>4</v>
      </c>
      <c r="AE185" s="26" t="s">
        <v>57</v>
      </c>
      <c r="AF185" s="26" t="s">
        <v>207</v>
      </c>
      <c r="AG185" s="26" t="s">
        <v>179</v>
      </c>
      <c r="AH185" s="26" t="s">
        <v>227</v>
      </c>
      <c r="AI185" s="7">
        <v>380</v>
      </c>
      <c r="AJ185" t="s">
        <v>1641</v>
      </c>
      <c r="AK185" t="s">
        <v>1694</v>
      </c>
    </row>
    <row r="186" spans="1:37">
      <c r="A186" s="2" t="s">
        <v>1407</v>
      </c>
      <c r="B186" s="20">
        <v>45118</v>
      </c>
      <c r="C186" s="2" t="s">
        <v>487</v>
      </c>
      <c r="D186" s="6">
        <v>3</v>
      </c>
      <c r="E186" s="6">
        <v>87</v>
      </c>
      <c r="F186" s="6">
        <v>8</v>
      </c>
      <c r="G186" s="6" t="s">
        <v>256</v>
      </c>
      <c r="H186" s="6" t="s">
        <v>256</v>
      </c>
      <c r="I186" s="24" t="s">
        <v>6</v>
      </c>
      <c r="J186" s="24" t="s">
        <v>254</v>
      </c>
      <c r="K186" s="6">
        <v>300</v>
      </c>
      <c r="L186" s="6">
        <v>5</v>
      </c>
      <c r="M186" s="6">
        <v>15</v>
      </c>
      <c r="N186" s="6" t="s">
        <v>493</v>
      </c>
      <c r="O186" s="6" t="s">
        <v>493</v>
      </c>
      <c r="P186" s="6" t="s">
        <v>493</v>
      </c>
      <c r="Q186" s="6" t="s">
        <v>493</v>
      </c>
      <c r="R186" s="8">
        <v>2.27</v>
      </c>
      <c r="S186" s="20">
        <v>45118</v>
      </c>
      <c r="T186" s="20">
        <v>45119</v>
      </c>
      <c r="U186" s="10">
        <v>1</v>
      </c>
      <c r="V186" s="3">
        <v>0.12</v>
      </c>
      <c r="W186" s="3" t="s">
        <v>256</v>
      </c>
      <c r="X186" t="s">
        <v>36</v>
      </c>
      <c r="Y186" s="7">
        <v>1</v>
      </c>
      <c r="Z186" s="11" t="s">
        <v>113</v>
      </c>
      <c r="AA186" s="36">
        <v>45414</v>
      </c>
      <c r="AB186" s="36">
        <v>45418</v>
      </c>
      <c r="AC186" s="29">
        <v>15.359718457287949</v>
      </c>
      <c r="AD186" s="7">
        <v>4</v>
      </c>
      <c r="AE186" s="26" t="s">
        <v>42</v>
      </c>
      <c r="AF186" s="26" t="s">
        <v>193</v>
      </c>
      <c r="AG186" s="26" t="s">
        <v>180</v>
      </c>
      <c r="AH186" s="26" t="s">
        <v>228</v>
      </c>
      <c r="AI186" s="7">
        <v>297</v>
      </c>
      <c r="AJ186" t="s">
        <v>1642</v>
      </c>
      <c r="AK186" t="s">
        <v>1694</v>
      </c>
    </row>
    <row r="187" spans="1:37">
      <c r="A187" s="2" t="s">
        <v>1408</v>
      </c>
      <c r="B187" s="20">
        <v>45118</v>
      </c>
      <c r="C187" s="2" t="s">
        <v>487</v>
      </c>
      <c r="D187" s="6">
        <v>3</v>
      </c>
      <c r="E187" s="6">
        <v>88</v>
      </c>
      <c r="F187" s="6">
        <v>8</v>
      </c>
      <c r="G187" s="6" t="s">
        <v>256</v>
      </c>
      <c r="H187" s="6" t="s">
        <v>256</v>
      </c>
      <c r="I187" s="24" t="s">
        <v>6</v>
      </c>
      <c r="J187" s="24" t="s">
        <v>253</v>
      </c>
      <c r="K187" s="6">
        <v>300</v>
      </c>
      <c r="L187" s="6">
        <v>5</v>
      </c>
      <c r="M187" s="6">
        <v>16</v>
      </c>
      <c r="N187" s="6" t="s">
        <v>493</v>
      </c>
      <c r="O187" s="6" t="s">
        <v>493</v>
      </c>
      <c r="P187" s="6" t="s">
        <v>493</v>
      </c>
      <c r="Q187" s="6" t="s">
        <v>493</v>
      </c>
      <c r="R187" s="8">
        <v>2.33</v>
      </c>
      <c r="S187" s="20">
        <v>45118</v>
      </c>
      <c r="T187" s="20">
        <v>45119</v>
      </c>
      <c r="U187" s="10">
        <v>1</v>
      </c>
      <c r="V187" s="3">
        <v>2.34</v>
      </c>
      <c r="W187" s="3" t="s">
        <v>256</v>
      </c>
      <c r="X187" t="s">
        <v>36</v>
      </c>
      <c r="Y187" s="7">
        <v>1</v>
      </c>
      <c r="Z187" s="11" t="s">
        <v>114</v>
      </c>
      <c r="AA187" s="36">
        <v>45414</v>
      </c>
      <c r="AB187" s="36">
        <v>45418</v>
      </c>
      <c r="AC187" s="29">
        <v>6.8630070466366089</v>
      </c>
      <c r="AD187" s="7">
        <v>4</v>
      </c>
      <c r="AE187" s="26" t="s">
        <v>45</v>
      </c>
      <c r="AF187" s="26" t="s">
        <v>195</v>
      </c>
      <c r="AG187" s="26" t="s">
        <v>180</v>
      </c>
      <c r="AH187" s="26" t="s">
        <v>228</v>
      </c>
      <c r="AI187" s="7">
        <v>309</v>
      </c>
      <c r="AJ187" t="s">
        <v>1643</v>
      </c>
      <c r="AK187" t="s">
        <v>1694</v>
      </c>
    </row>
    <row r="188" spans="1:37">
      <c r="A188" s="2" t="s">
        <v>1409</v>
      </c>
      <c r="B188" s="20">
        <v>45118</v>
      </c>
      <c r="C188" s="2" t="s">
        <v>487</v>
      </c>
      <c r="D188" s="6">
        <v>3</v>
      </c>
      <c r="E188" s="6">
        <v>89</v>
      </c>
      <c r="F188" s="6">
        <v>8</v>
      </c>
      <c r="G188" s="6" t="s">
        <v>256</v>
      </c>
      <c r="H188" s="6" t="s">
        <v>256</v>
      </c>
      <c r="I188" s="24" t="s">
        <v>6</v>
      </c>
      <c r="J188" s="24" t="s">
        <v>255</v>
      </c>
      <c r="K188" s="6">
        <v>300</v>
      </c>
      <c r="L188" s="6">
        <v>5</v>
      </c>
      <c r="M188" s="6">
        <v>17</v>
      </c>
      <c r="N188" s="6" t="s">
        <v>493</v>
      </c>
      <c r="O188" s="6" t="s">
        <v>493</v>
      </c>
      <c r="P188" s="6" t="s">
        <v>493</v>
      </c>
      <c r="Q188" s="6" t="s">
        <v>493</v>
      </c>
      <c r="R188" s="8">
        <v>3.25</v>
      </c>
      <c r="S188" s="20">
        <v>45118</v>
      </c>
      <c r="T188" s="20">
        <v>45119</v>
      </c>
      <c r="U188" s="10">
        <v>1</v>
      </c>
      <c r="V188" s="3">
        <v>1.24</v>
      </c>
      <c r="W188" s="3" t="s">
        <v>256</v>
      </c>
      <c r="X188" t="s">
        <v>36</v>
      </c>
      <c r="Y188" s="7">
        <v>1</v>
      </c>
      <c r="Z188" s="11" t="s">
        <v>115</v>
      </c>
      <c r="AA188" s="36">
        <v>45414</v>
      </c>
      <c r="AB188" s="36">
        <v>45418</v>
      </c>
      <c r="AC188" s="29">
        <v>5.6075922347260221</v>
      </c>
      <c r="AD188" s="7">
        <v>4</v>
      </c>
      <c r="AE188" s="26" t="s">
        <v>47</v>
      </c>
      <c r="AF188" s="26" t="s">
        <v>197</v>
      </c>
      <c r="AG188" s="26" t="s">
        <v>180</v>
      </c>
      <c r="AH188" s="26" t="s">
        <v>228</v>
      </c>
      <c r="AI188" s="7">
        <v>321</v>
      </c>
      <c r="AJ188" t="s">
        <v>1644</v>
      </c>
      <c r="AK188" t="s">
        <v>1694</v>
      </c>
    </row>
    <row r="189" spans="1:37">
      <c r="A189" s="2" t="s">
        <v>1410</v>
      </c>
      <c r="B189" s="20">
        <v>45118</v>
      </c>
      <c r="C189" s="2" t="s">
        <v>487</v>
      </c>
      <c r="D189" s="6">
        <v>3</v>
      </c>
      <c r="E189" s="6">
        <v>91</v>
      </c>
      <c r="F189" s="6">
        <v>8</v>
      </c>
      <c r="G189" s="6" t="s">
        <v>256</v>
      </c>
      <c r="H189" s="6" t="s">
        <v>256</v>
      </c>
      <c r="I189" s="24" t="s">
        <v>6</v>
      </c>
      <c r="J189" s="24" t="s">
        <v>40</v>
      </c>
      <c r="K189" s="6">
        <v>300</v>
      </c>
      <c r="L189" s="6">
        <v>5</v>
      </c>
      <c r="M189" s="6">
        <v>19</v>
      </c>
      <c r="N189" s="6" t="s">
        <v>493</v>
      </c>
      <c r="O189" s="6" t="s">
        <v>493</v>
      </c>
      <c r="P189" s="6" t="s">
        <v>493</v>
      </c>
      <c r="Q189" s="6" t="s">
        <v>493</v>
      </c>
      <c r="R189" s="8">
        <v>1.97</v>
      </c>
      <c r="S189" s="20">
        <v>45118</v>
      </c>
      <c r="T189" s="20">
        <v>45119</v>
      </c>
      <c r="U189" s="10">
        <v>1</v>
      </c>
      <c r="V189" s="3">
        <v>0.97</v>
      </c>
      <c r="W189" s="3" t="s">
        <v>256</v>
      </c>
      <c r="X189" t="s">
        <v>36</v>
      </c>
      <c r="Y189" s="7">
        <v>1</v>
      </c>
      <c r="Z189" s="11" t="s">
        <v>123</v>
      </c>
      <c r="AA189" s="36">
        <v>45414</v>
      </c>
      <c r="AB189" s="36">
        <v>45418</v>
      </c>
      <c r="AC189" s="29">
        <v>5.9400637949290473</v>
      </c>
      <c r="AD189" s="7">
        <v>4</v>
      </c>
      <c r="AE189" s="26" t="s">
        <v>49</v>
      </c>
      <c r="AF189" s="26" t="s">
        <v>199</v>
      </c>
      <c r="AG189" s="26" t="s">
        <v>180</v>
      </c>
      <c r="AH189" s="26" t="s">
        <v>228</v>
      </c>
      <c r="AI189" s="7">
        <v>333</v>
      </c>
      <c r="AJ189" t="s">
        <v>1645</v>
      </c>
      <c r="AK189" t="s">
        <v>1694</v>
      </c>
    </row>
    <row r="190" spans="1:37">
      <c r="A190" s="2" t="s">
        <v>1411</v>
      </c>
      <c r="B190" s="20">
        <v>45118</v>
      </c>
      <c r="C190" s="2" t="s">
        <v>487</v>
      </c>
      <c r="D190" s="6">
        <v>3</v>
      </c>
      <c r="E190" s="6">
        <v>98</v>
      </c>
      <c r="F190" s="6">
        <v>9</v>
      </c>
      <c r="G190" s="6" t="s">
        <v>256</v>
      </c>
      <c r="H190" s="6" t="s">
        <v>256</v>
      </c>
      <c r="I190" s="24" t="s">
        <v>5</v>
      </c>
      <c r="J190" s="24" t="s">
        <v>253</v>
      </c>
      <c r="K190" s="6">
        <v>300</v>
      </c>
      <c r="L190" s="6">
        <v>4</v>
      </c>
      <c r="M190" s="6">
        <v>14</v>
      </c>
      <c r="N190" s="6" t="s">
        <v>493</v>
      </c>
      <c r="O190" s="6" t="s">
        <v>493</v>
      </c>
      <c r="P190" s="6" t="s">
        <v>493</v>
      </c>
      <c r="Q190" s="6" t="s">
        <v>493</v>
      </c>
      <c r="R190" s="8">
        <v>5.81</v>
      </c>
      <c r="S190" s="20">
        <v>45118</v>
      </c>
      <c r="T190" s="20">
        <v>45119</v>
      </c>
      <c r="U190" s="10">
        <v>1</v>
      </c>
      <c r="V190" s="3">
        <v>8.81</v>
      </c>
      <c r="W190" s="3" t="s">
        <v>256</v>
      </c>
      <c r="X190" t="s">
        <v>36</v>
      </c>
      <c r="Y190" s="7">
        <v>1</v>
      </c>
      <c r="Z190" s="11" t="s">
        <v>124</v>
      </c>
      <c r="AA190" s="36">
        <v>45414</v>
      </c>
      <c r="AB190" s="36">
        <v>45418</v>
      </c>
      <c r="AC190" s="29">
        <v>9.8530505045022121</v>
      </c>
      <c r="AD190" s="7">
        <v>4</v>
      </c>
      <c r="AE190" s="26" t="s">
        <v>51</v>
      </c>
      <c r="AF190" s="26" t="s">
        <v>201</v>
      </c>
      <c r="AG190" s="26" t="s">
        <v>180</v>
      </c>
      <c r="AH190" s="26" t="s">
        <v>228</v>
      </c>
      <c r="AI190" s="7">
        <v>345</v>
      </c>
      <c r="AJ190" t="s">
        <v>1646</v>
      </c>
      <c r="AK190" t="s">
        <v>1694</v>
      </c>
    </row>
    <row r="191" spans="1:37">
      <c r="A191" s="2" t="s">
        <v>1412</v>
      </c>
      <c r="B191" s="20">
        <v>45118</v>
      </c>
      <c r="C191" s="2" t="s">
        <v>487</v>
      </c>
      <c r="D191" s="6">
        <v>3</v>
      </c>
      <c r="E191" s="6">
        <v>100</v>
      </c>
      <c r="F191" s="6">
        <v>9</v>
      </c>
      <c r="G191" s="6" t="s">
        <v>256</v>
      </c>
      <c r="H191" s="6" t="s">
        <v>256</v>
      </c>
      <c r="I191" s="24" t="s">
        <v>5</v>
      </c>
      <c r="J191" s="24" t="s">
        <v>40</v>
      </c>
      <c r="K191" s="6">
        <v>300</v>
      </c>
      <c r="L191" s="6">
        <v>4</v>
      </c>
      <c r="M191" s="6">
        <v>16</v>
      </c>
      <c r="N191" s="6" t="s">
        <v>493</v>
      </c>
      <c r="O191" s="6" t="s">
        <v>493</v>
      </c>
      <c r="P191" s="6" t="s">
        <v>493</v>
      </c>
      <c r="Q191" s="6" t="s">
        <v>493</v>
      </c>
      <c r="R191" s="8">
        <v>4.71</v>
      </c>
      <c r="S191" s="20">
        <v>45118</v>
      </c>
      <c r="T191" s="20">
        <v>45119</v>
      </c>
      <c r="U191" s="10">
        <v>1</v>
      </c>
      <c r="V191" s="3">
        <v>1.56</v>
      </c>
      <c r="W191" s="3" t="s">
        <v>256</v>
      </c>
      <c r="X191" t="s">
        <v>36</v>
      </c>
      <c r="Y191" s="7">
        <v>1</v>
      </c>
      <c r="Z191" s="11" t="s">
        <v>125</v>
      </c>
      <c r="AA191" s="36">
        <v>45414</v>
      </c>
      <c r="AB191" s="36">
        <v>45418</v>
      </c>
      <c r="AC191" s="29">
        <v>7.5621600785461771</v>
      </c>
      <c r="AD191" s="7">
        <v>4</v>
      </c>
      <c r="AE191" s="26" t="s">
        <v>53</v>
      </c>
      <c r="AF191" s="26" t="s">
        <v>203</v>
      </c>
      <c r="AG191" s="26" t="s">
        <v>180</v>
      </c>
      <c r="AH191" s="26" t="s">
        <v>228</v>
      </c>
      <c r="AI191" s="7">
        <v>357</v>
      </c>
      <c r="AJ191" t="s">
        <v>1647</v>
      </c>
      <c r="AK191" t="s">
        <v>1694</v>
      </c>
    </row>
    <row r="192" spans="1:37">
      <c r="A192" s="2" t="s">
        <v>1413</v>
      </c>
      <c r="B192" s="20">
        <v>45118</v>
      </c>
      <c r="C192" s="2" t="s">
        <v>487</v>
      </c>
      <c r="D192" s="6">
        <v>3</v>
      </c>
      <c r="E192" s="6">
        <v>104</v>
      </c>
      <c r="F192" s="6">
        <v>9</v>
      </c>
      <c r="G192" s="6" t="s">
        <v>256</v>
      </c>
      <c r="H192" s="6" t="s">
        <v>256</v>
      </c>
      <c r="I192" s="24" t="s">
        <v>5</v>
      </c>
      <c r="J192" s="24" t="s">
        <v>254</v>
      </c>
      <c r="K192" s="6">
        <v>300</v>
      </c>
      <c r="L192" s="6">
        <v>4</v>
      </c>
      <c r="M192" s="6">
        <v>20</v>
      </c>
      <c r="N192" s="6" t="s">
        <v>493</v>
      </c>
      <c r="O192" s="6" t="s">
        <v>493</v>
      </c>
      <c r="P192" s="6" t="s">
        <v>493</v>
      </c>
      <c r="Q192" s="6" t="s">
        <v>493</v>
      </c>
      <c r="R192" s="8">
        <v>4.21</v>
      </c>
      <c r="S192" s="20">
        <v>45118</v>
      </c>
      <c r="T192" s="20">
        <v>45119</v>
      </c>
      <c r="U192" s="10">
        <v>1</v>
      </c>
      <c r="V192" s="3">
        <v>1.78</v>
      </c>
      <c r="W192" s="3" t="s">
        <v>256</v>
      </c>
      <c r="X192" t="s">
        <v>36</v>
      </c>
      <c r="Y192" s="7">
        <v>1</v>
      </c>
      <c r="Z192" s="11" t="s">
        <v>126</v>
      </c>
      <c r="AA192" s="36">
        <v>45414</v>
      </c>
      <c r="AB192" s="36">
        <v>45418</v>
      </c>
      <c r="AC192" s="29">
        <v>5.9817281846025878</v>
      </c>
      <c r="AD192" s="7">
        <v>4</v>
      </c>
      <c r="AE192" s="26" t="s">
        <v>55</v>
      </c>
      <c r="AF192" s="26" t="s">
        <v>205</v>
      </c>
      <c r="AG192" s="26" t="s">
        <v>180</v>
      </c>
      <c r="AH192" s="26" t="s">
        <v>228</v>
      </c>
      <c r="AI192" s="7">
        <v>369</v>
      </c>
      <c r="AJ192" t="s">
        <v>1648</v>
      </c>
      <c r="AK192" t="s">
        <v>1694</v>
      </c>
    </row>
    <row r="193" spans="1:38">
      <c r="A193" s="2" t="s">
        <v>1414</v>
      </c>
      <c r="B193" s="20">
        <v>45118</v>
      </c>
      <c r="C193" s="2" t="s">
        <v>487</v>
      </c>
      <c r="D193" s="6">
        <v>3</v>
      </c>
      <c r="E193" s="6">
        <v>107</v>
      </c>
      <c r="F193" s="6">
        <v>9</v>
      </c>
      <c r="G193" s="6" t="s">
        <v>256</v>
      </c>
      <c r="H193" s="6" t="s">
        <v>256</v>
      </c>
      <c r="I193" s="24" t="s">
        <v>5</v>
      </c>
      <c r="J193" s="24" t="s">
        <v>255</v>
      </c>
      <c r="K193" s="6">
        <v>300</v>
      </c>
      <c r="L193" s="6">
        <v>4</v>
      </c>
      <c r="M193" s="6">
        <v>23</v>
      </c>
      <c r="N193" s="6" t="s">
        <v>493</v>
      </c>
      <c r="O193" s="6" t="s">
        <v>493</v>
      </c>
      <c r="P193" s="6" t="s">
        <v>493</v>
      </c>
      <c r="Q193" s="6" t="s">
        <v>493</v>
      </c>
      <c r="R193" s="8">
        <v>4.16</v>
      </c>
      <c r="S193" s="20">
        <v>45118</v>
      </c>
      <c r="T193" s="20">
        <v>45119</v>
      </c>
      <c r="U193" s="10">
        <v>1</v>
      </c>
      <c r="V193" s="3">
        <v>6.73</v>
      </c>
      <c r="W193" s="3" t="s">
        <v>256</v>
      </c>
      <c r="X193" t="s">
        <v>36</v>
      </c>
      <c r="Y193" s="7">
        <v>1</v>
      </c>
      <c r="Z193" s="11" t="s">
        <v>127</v>
      </c>
      <c r="AA193" s="36">
        <v>45414</v>
      </c>
      <c r="AB193" s="36">
        <v>45418</v>
      </c>
      <c r="AC193" s="29">
        <v>13.911000682547792</v>
      </c>
      <c r="AD193" s="7">
        <v>4</v>
      </c>
      <c r="AE193" s="26" t="s">
        <v>57</v>
      </c>
      <c r="AF193" s="26" t="s">
        <v>207</v>
      </c>
      <c r="AG193" s="26" t="s">
        <v>180</v>
      </c>
      <c r="AH193" s="26" t="s">
        <v>228</v>
      </c>
      <c r="AI193" s="7">
        <v>381</v>
      </c>
      <c r="AJ193" t="s">
        <v>1649</v>
      </c>
      <c r="AK193" t="s">
        <v>1694</v>
      </c>
    </row>
    <row r="194" spans="1:38">
      <c r="A194" s="4" t="s">
        <v>1415</v>
      </c>
      <c r="B194" s="103">
        <v>45125</v>
      </c>
      <c r="C194" s="2" t="s">
        <v>487</v>
      </c>
      <c r="D194" s="6">
        <v>1</v>
      </c>
      <c r="E194" s="6">
        <v>3</v>
      </c>
      <c r="F194" s="6">
        <v>1</v>
      </c>
      <c r="G194" s="6" t="s">
        <v>256</v>
      </c>
      <c r="H194" s="6" t="s">
        <v>256</v>
      </c>
      <c r="I194" s="24" t="s">
        <v>5</v>
      </c>
      <c r="J194" s="24" t="s">
        <v>40</v>
      </c>
      <c r="K194" s="6">
        <v>300</v>
      </c>
      <c r="L194" s="6">
        <v>6</v>
      </c>
      <c r="M194" s="6">
        <v>3</v>
      </c>
      <c r="N194" s="6" t="s">
        <v>493</v>
      </c>
      <c r="O194" s="6" t="s">
        <v>493</v>
      </c>
      <c r="P194" s="6" t="s">
        <v>493</v>
      </c>
      <c r="Q194" s="6" t="s">
        <v>493</v>
      </c>
      <c r="R194" s="8">
        <v>2.0499999999999998</v>
      </c>
      <c r="S194" s="20">
        <v>45125</v>
      </c>
      <c r="T194" s="20">
        <v>45126</v>
      </c>
      <c r="U194" s="10">
        <v>1</v>
      </c>
      <c r="V194" s="3">
        <v>7.3999999999999996E-2</v>
      </c>
      <c r="W194" s="3" t="s">
        <v>256</v>
      </c>
      <c r="X194" t="s">
        <v>36</v>
      </c>
      <c r="Y194" s="7">
        <v>1</v>
      </c>
      <c r="Z194" s="11" t="s">
        <v>118</v>
      </c>
      <c r="AA194" s="36">
        <v>45414</v>
      </c>
      <c r="AB194" s="36">
        <v>45418</v>
      </c>
      <c r="AC194" s="29">
        <v>6.0987717440618159</v>
      </c>
      <c r="AD194" s="7">
        <v>4</v>
      </c>
      <c r="AE194" s="26" t="s">
        <v>42</v>
      </c>
      <c r="AF194" s="26" t="s">
        <v>193</v>
      </c>
      <c r="AG194" s="26" t="s">
        <v>234</v>
      </c>
      <c r="AH194" s="26" t="s">
        <v>235</v>
      </c>
      <c r="AI194" s="7">
        <v>298</v>
      </c>
      <c r="AJ194" t="s">
        <v>1650</v>
      </c>
      <c r="AK194" t="s">
        <v>1694</v>
      </c>
    </row>
    <row r="195" spans="1:38">
      <c r="A195" s="2" t="s">
        <v>1416</v>
      </c>
      <c r="B195" s="103">
        <v>45125</v>
      </c>
      <c r="C195" s="2" t="s">
        <v>487</v>
      </c>
      <c r="D195" s="6">
        <v>1</v>
      </c>
      <c r="E195" s="6">
        <v>5</v>
      </c>
      <c r="F195" s="6">
        <v>1</v>
      </c>
      <c r="G195" s="6" t="s">
        <v>256</v>
      </c>
      <c r="H195" s="6" t="s">
        <v>256</v>
      </c>
      <c r="I195" s="24" t="s">
        <v>5</v>
      </c>
      <c r="J195" s="24" t="s">
        <v>255</v>
      </c>
      <c r="K195" s="6">
        <v>300</v>
      </c>
      <c r="L195" s="6">
        <v>6</v>
      </c>
      <c r="M195" s="6">
        <v>5</v>
      </c>
      <c r="N195" s="6" t="s">
        <v>493</v>
      </c>
      <c r="O195" s="6" t="s">
        <v>493</v>
      </c>
      <c r="P195" s="6" t="s">
        <v>493</v>
      </c>
      <c r="Q195" s="6" t="s">
        <v>493</v>
      </c>
      <c r="R195" s="8">
        <v>4.09</v>
      </c>
      <c r="S195" s="20">
        <v>45125</v>
      </c>
      <c r="T195" s="20">
        <v>45126</v>
      </c>
      <c r="U195" s="10">
        <v>1</v>
      </c>
      <c r="V195" s="3">
        <v>0.28999999999999998</v>
      </c>
      <c r="W195" s="3" t="s">
        <v>256</v>
      </c>
      <c r="X195" t="s">
        <v>36</v>
      </c>
      <c r="Y195" s="7">
        <v>1</v>
      </c>
      <c r="Z195" s="11" t="s">
        <v>119</v>
      </c>
      <c r="AA195" s="36">
        <v>45414</v>
      </c>
      <c r="AB195" s="36">
        <v>45418</v>
      </c>
      <c r="AC195" s="29">
        <v>0.87951839486471728</v>
      </c>
      <c r="AD195" s="7">
        <v>4</v>
      </c>
      <c r="AE195" s="26" t="s">
        <v>45</v>
      </c>
      <c r="AF195" s="26" t="s">
        <v>195</v>
      </c>
      <c r="AG195" s="26" t="s">
        <v>234</v>
      </c>
      <c r="AH195" s="26" t="s">
        <v>235</v>
      </c>
      <c r="AI195" s="7">
        <v>310</v>
      </c>
      <c r="AJ195" t="s">
        <v>1651</v>
      </c>
      <c r="AK195" t="s">
        <v>1694</v>
      </c>
    </row>
    <row r="196" spans="1:38">
      <c r="A196" s="2" t="s">
        <v>1417</v>
      </c>
      <c r="B196" s="103">
        <v>45125</v>
      </c>
      <c r="C196" s="2" t="s">
        <v>487</v>
      </c>
      <c r="D196" s="6">
        <v>1</v>
      </c>
      <c r="E196" s="6">
        <v>9</v>
      </c>
      <c r="F196" s="6">
        <v>1</v>
      </c>
      <c r="G196" s="6" t="s">
        <v>256</v>
      </c>
      <c r="H196" s="6" t="s">
        <v>256</v>
      </c>
      <c r="I196" s="24" t="s">
        <v>5</v>
      </c>
      <c r="J196" s="24" t="s">
        <v>254</v>
      </c>
      <c r="K196" s="6">
        <v>300</v>
      </c>
      <c r="L196" s="6">
        <v>6</v>
      </c>
      <c r="M196" s="6">
        <v>9</v>
      </c>
      <c r="N196" s="6" t="s">
        <v>493</v>
      </c>
      <c r="O196" s="6" t="s">
        <v>493</v>
      </c>
      <c r="P196" s="6" t="s">
        <v>493</v>
      </c>
      <c r="Q196" s="6" t="s">
        <v>493</v>
      </c>
      <c r="R196" s="8">
        <v>3.79</v>
      </c>
      <c r="S196" s="20">
        <v>45125</v>
      </c>
      <c r="T196" s="20">
        <v>45126</v>
      </c>
      <c r="U196" s="10">
        <v>1</v>
      </c>
      <c r="V196" s="3">
        <v>0.45</v>
      </c>
      <c r="W196" s="3" t="s">
        <v>256</v>
      </c>
      <c r="X196" t="s">
        <v>36</v>
      </c>
      <c r="Y196" s="7">
        <v>1</v>
      </c>
      <c r="Z196" s="11" t="s">
        <v>244</v>
      </c>
      <c r="AA196" s="36">
        <v>45414</v>
      </c>
      <c r="AB196" s="36">
        <v>45418</v>
      </c>
      <c r="AC196" s="29">
        <v>1.5650369753120152</v>
      </c>
      <c r="AD196" s="7">
        <v>4</v>
      </c>
      <c r="AE196" s="26" t="s">
        <v>47</v>
      </c>
      <c r="AF196" s="26" t="s">
        <v>197</v>
      </c>
      <c r="AG196" s="26" t="s">
        <v>234</v>
      </c>
      <c r="AH196" s="26" t="s">
        <v>235</v>
      </c>
      <c r="AI196" s="7">
        <v>322</v>
      </c>
      <c r="AJ196" t="s">
        <v>1652</v>
      </c>
      <c r="AK196" t="s">
        <v>1694</v>
      </c>
    </row>
    <row r="197" spans="1:38">
      <c r="A197" s="2" t="s">
        <v>1418</v>
      </c>
      <c r="B197" s="103">
        <v>45125</v>
      </c>
      <c r="C197" s="2" t="s">
        <v>487</v>
      </c>
      <c r="D197" s="6">
        <v>1</v>
      </c>
      <c r="E197" s="6">
        <v>10</v>
      </c>
      <c r="F197" s="6">
        <v>1</v>
      </c>
      <c r="G197" s="6" t="s">
        <v>256</v>
      </c>
      <c r="H197" s="6" t="s">
        <v>256</v>
      </c>
      <c r="I197" s="24" t="s">
        <v>5</v>
      </c>
      <c r="J197" s="24" t="s">
        <v>253</v>
      </c>
      <c r="K197" s="6">
        <v>300</v>
      </c>
      <c r="L197" s="6">
        <v>6</v>
      </c>
      <c r="M197" s="6">
        <v>10</v>
      </c>
      <c r="N197" s="6" t="s">
        <v>493</v>
      </c>
      <c r="O197" s="6" t="s">
        <v>493</v>
      </c>
      <c r="P197" s="6" t="s">
        <v>493</v>
      </c>
      <c r="Q197" s="6" t="s">
        <v>493</v>
      </c>
      <c r="R197" s="8">
        <v>3.64</v>
      </c>
      <c r="S197" s="20">
        <v>45125</v>
      </c>
      <c r="T197" s="20">
        <v>45126</v>
      </c>
      <c r="U197" s="10">
        <v>1</v>
      </c>
      <c r="V197" s="3">
        <v>0.77</v>
      </c>
      <c r="W197" s="3" t="s">
        <v>256</v>
      </c>
      <c r="X197" t="s">
        <v>36</v>
      </c>
      <c r="Y197" s="7">
        <v>1</v>
      </c>
      <c r="Z197" s="11" t="s">
        <v>130</v>
      </c>
      <c r="AA197" s="36">
        <v>45414</v>
      </c>
      <c r="AB197" s="36">
        <v>45418</v>
      </c>
      <c r="AC197" s="29">
        <v>2.0513751999322221</v>
      </c>
      <c r="AD197" s="7">
        <v>4</v>
      </c>
      <c r="AE197" s="26" t="s">
        <v>49</v>
      </c>
      <c r="AF197" s="26" t="s">
        <v>199</v>
      </c>
      <c r="AG197" s="26" t="s">
        <v>234</v>
      </c>
      <c r="AH197" s="26" t="s">
        <v>235</v>
      </c>
      <c r="AI197" s="7">
        <v>334</v>
      </c>
      <c r="AJ197" t="s">
        <v>1653</v>
      </c>
      <c r="AK197" t="s">
        <v>1694</v>
      </c>
    </row>
    <row r="198" spans="1:38">
      <c r="A198" s="2" t="s">
        <v>1419</v>
      </c>
      <c r="B198" s="103">
        <v>45125</v>
      </c>
      <c r="C198" s="2" t="s">
        <v>487</v>
      </c>
      <c r="D198" s="6">
        <v>1</v>
      </c>
      <c r="E198" s="6">
        <v>17</v>
      </c>
      <c r="F198" s="6">
        <v>2</v>
      </c>
      <c r="G198" s="6" t="s">
        <v>256</v>
      </c>
      <c r="H198" s="6" t="s">
        <v>256</v>
      </c>
      <c r="I198" s="24" t="s">
        <v>4</v>
      </c>
      <c r="J198" s="24" t="s">
        <v>253</v>
      </c>
      <c r="K198" s="6">
        <v>300</v>
      </c>
      <c r="L198" s="6">
        <v>5</v>
      </c>
      <c r="M198" s="6">
        <v>5</v>
      </c>
      <c r="N198" s="6" t="s">
        <v>493</v>
      </c>
      <c r="O198" s="6" t="s">
        <v>493</v>
      </c>
      <c r="P198" s="6" t="s">
        <v>493</v>
      </c>
      <c r="Q198" s="6" t="s">
        <v>493</v>
      </c>
      <c r="R198" s="8">
        <v>2.63</v>
      </c>
      <c r="S198" s="20">
        <v>45125</v>
      </c>
      <c r="T198" s="20">
        <v>45126</v>
      </c>
      <c r="U198" s="10">
        <v>1</v>
      </c>
      <c r="V198" s="3">
        <v>0.12</v>
      </c>
      <c r="W198" s="3" t="s">
        <v>256</v>
      </c>
      <c r="X198" t="s">
        <v>36</v>
      </c>
      <c r="Y198" s="7">
        <v>1</v>
      </c>
      <c r="Z198" s="11" t="s">
        <v>131</v>
      </c>
      <c r="AA198" s="36">
        <v>45414</v>
      </c>
      <c r="AB198" s="36">
        <v>45418</v>
      </c>
      <c r="AC198" s="29">
        <v>1.4161491321080237</v>
      </c>
      <c r="AD198" s="7">
        <v>4</v>
      </c>
      <c r="AE198" s="26" t="s">
        <v>51</v>
      </c>
      <c r="AF198" s="26" t="s">
        <v>201</v>
      </c>
      <c r="AG198" s="26" t="s">
        <v>234</v>
      </c>
      <c r="AH198" s="26" t="s">
        <v>235</v>
      </c>
      <c r="AI198" s="7">
        <v>346</v>
      </c>
      <c r="AJ198" t="s">
        <v>1654</v>
      </c>
      <c r="AK198" t="s">
        <v>1694</v>
      </c>
    </row>
    <row r="199" spans="1:38">
      <c r="A199" s="2" t="s">
        <v>1420</v>
      </c>
      <c r="B199" s="103">
        <v>45125</v>
      </c>
      <c r="C199" s="2" t="s">
        <v>487</v>
      </c>
      <c r="D199" s="6">
        <v>1</v>
      </c>
      <c r="E199" s="6">
        <v>18</v>
      </c>
      <c r="F199" s="6">
        <v>2</v>
      </c>
      <c r="G199" s="6" t="s">
        <v>256</v>
      </c>
      <c r="H199" s="6" t="s">
        <v>256</v>
      </c>
      <c r="I199" s="24" t="s">
        <v>4</v>
      </c>
      <c r="J199" s="24" t="s">
        <v>40</v>
      </c>
      <c r="K199" s="6">
        <v>300</v>
      </c>
      <c r="L199" s="6">
        <v>5</v>
      </c>
      <c r="M199" s="6">
        <v>6</v>
      </c>
      <c r="N199" s="6" t="s">
        <v>493</v>
      </c>
      <c r="O199" s="6" t="s">
        <v>493</v>
      </c>
      <c r="P199" s="6" t="s">
        <v>493</v>
      </c>
      <c r="Q199" s="6" t="s">
        <v>493</v>
      </c>
      <c r="R199" s="8">
        <v>2.09</v>
      </c>
      <c r="S199" s="20">
        <v>45125</v>
      </c>
      <c r="T199" s="20">
        <v>45126</v>
      </c>
      <c r="U199" s="10">
        <v>1</v>
      </c>
      <c r="V199" s="3">
        <v>0.28999999999999998</v>
      </c>
      <c r="W199" s="3" t="s">
        <v>256</v>
      </c>
      <c r="X199" t="s">
        <v>36</v>
      </c>
      <c r="Y199" s="7">
        <v>1</v>
      </c>
      <c r="Z199" s="11" t="s">
        <v>132</v>
      </c>
      <c r="AA199" s="36">
        <v>45414</v>
      </c>
      <c r="AB199" s="36">
        <v>45418</v>
      </c>
      <c r="AC199" s="29">
        <v>3.761705731310899</v>
      </c>
      <c r="AD199" s="7">
        <v>4</v>
      </c>
      <c r="AE199" s="26" t="s">
        <v>53</v>
      </c>
      <c r="AF199" s="26" t="s">
        <v>203</v>
      </c>
      <c r="AG199" s="26" t="s">
        <v>234</v>
      </c>
      <c r="AH199" s="26" t="s">
        <v>235</v>
      </c>
      <c r="AI199" s="7">
        <v>358</v>
      </c>
      <c r="AJ199" t="s">
        <v>1655</v>
      </c>
      <c r="AK199" t="s">
        <v>1694</v>
      </c>
    </row>
    <row r="200" spans="1:38">
      <c r="A200" s="2" t="s">
        <v>1421</v>
      </c>
      <c r="B200" s="103">
        <v>45125</v>
      </c>
      <c r="C200" s="2" t="s">
        <v>487</v>
      </c>
      <c r="D200" s="6">
        <v>1</v>
      </c>
      <c r="E200" s="6">
        <v>22</v>
      </c>
      <c r="F200" s="6">
        <v>2</v>
      </c>
      <c r="G200" s="6" t="s">
        <v>256</v>
      </c>
      <c r="H200" s="6" t="s">
        <v>256</v>
      </c>
      <c r="I200" s="24" t="s">
        <v>4</v>
      </c>
      <c r="J200" s="24" t="s">
        <v>254</v>
      </c>
      <c r="K200" s="6">
        <v>300</v>
      </c>
      <c r="L200" s="6">
        <v>5</v>
      </c>
      <c r="M200" s="6">
        <v>10</v>
      </c>
      <c r="N200" s="6" t="s">
        <v>493</v>
      </c>
      <c r="O200" s="6" t="s">
        <v>493</v>
      </c>
      <c r="P200" s="6" t="s">
        <v>493</v>
      </c>
      <c r="Q200" s="6" t="s">
        <v>493</v>
      </c>
      <c r="R200" s="8">
        <v>1.97</v>
      </c>
      <c r="S200" s="20">
        <v>45125</v>
      </c>
      <c r="T200" s="20">
        <v>45126</v>
      </c>
      <c r="U200" s="10">
        <v>1</v>
      </c>
      <c r="V200" s="3">
        <v>0.29499999999999998</v>
      </c>
      <c r="W200" s="3" t="s">
        <v>256</v>
      </c>
      <c r="X200" t="s">
        <v>36</v>
      </c>
      <c r="Y200" s="7">
        <v>2</v>
      </c>
      <c r="Z200" s="11" t="s">
        <v>83</v>
      </c>
      <c r="AA200" s="36">
        <v>45474</v>
      </c>
      <c r="AB200" s="36">
        <v>45475</v>
      </c>
      <c r="AC200" s="29">
        <v>14.338572130670096</v>
      </c>
      <c r="AD200" s="7">
        <v>4</v>
      </c>
      <c r="AE200" s="26" t="s">
        <v>196</v>
      </c>
      <c r="AF200" s="26" t="s">
        <v>197</v>
      </c>
      <c r="AG200" s="26" t="s">
        <v>175</v>
      </c>
      <c r="AH200" s="26" t="s">
        <v>223</v>
      </c>
      <c r="AI200" s="7">
        <v>315</v>
      </c>
      <c r="AJ200" t="s">
        <v>1656</v>
      </c>
      <c r="AK200" t="s">
        <v>1693</v>
      </c>
    </row>
    <row r="201" spans="1:38">
      <c r="A201" s="2" t="s">
        <v>1422</v>
      </c>
      <c r="B201" s="103">
        <v>45125</v>
      </c>
      <c r="C201" s="2" t="s">
        <v>487</v>
      </c>
      <c r="D201" s="6">
        <v>1</v>
      </c>
      <c r="E201" s="6">
        <v>24</v>
      </c>
      <c r="F201" s="6">
        <v>2</v>
      </c>
      <c r="G201" s="6" t="s">
        <v>256</v>
      </c>
      <c r="H201" s="6" t="s">
        <v>256</v>
      </c>
      <c r="I201" s="24" t="s">
        <v>4</v>
      </c>
      <c r="J201" s="24" t="s">
        <v>255</v>
      </c>
      <c r="K201" s="6">
        <v>300</v>
      </c>
      <c r="L201" s="6">
        <v>5</v>
      </c>
      <c r="M201" s="6">
        <v>12</v>
      </c>
      <c r="N201" s="6" t="s">
        <v>493</v>
      </c>
      <c r="O201" s="6" t="s">
        <v>493</v>
      </c>
      <c r="P201" s="6" t="s">
        <v>493</v>
      </c>
      <c r="Q201" s="6" t="s">
        <v>493</v>
      </c>
      <c r="R201" s="8">
        <v>2.86</v>
      </c>
      <c r="S201" s="20">
        <v>45125</v>
      </c>
      <c r="T201" s="20">
        <v>45126</v>
      </c>
      <c r="U201" s="10">
        <v>1</v>
      </c>
      <c r="V201" s="3">
        <v>0.755</v>
      </c>
      <c r="W201" s="3" t="s">
        <v>256</v>
      </c>
      <c r="X201" t="s">
        <v>36</v>
      </c>
      <c r="Y201" s="7">
        <v>2</v>
      </c>
      <c r="Z201" s="11" t="s">
        <v>146</v>
      </c>
      <c r="AA201" s="36">
        <v>45474</v>
      </c>
      <c r="AB201" s="36">
        <v>45475</v>
      </c>
      <c r="AC201" s="29">
        <v>21.401935740925012</v>
      </c>
      <c r="AD201" s="7">
        <v>4</v>
      </c>
      <c r="AE201" s="26" t="s">
        <v>198</v>
      </c>
      <c r="AF201" s="26" t="s">
        <v>199</v>
      </c>
      <c r="AG201" s="26" t="s">
        <v>175</v>
      </c>
      <c r="AH201" s="26" t="s">
        <v>223</v>
      </c>
      <c r="AI201" s="7">
        <v>327</v>
      </c>
      <c r="AJ201" t="s">
        <v>1657</v>
      </c>
      <c r="AK201" t="s">
        <v>1693</v>
      </c>
    </row>
    <row r="202" spans="1:38">
      <c r="A202" s="2" t="s">
        <v>1423</v>
      </c>
      <c r="B202" s="103">
        <v>45125</v>
      </c>
      <c r="C202" s="2" t="s">
        <v>487</v>
      </c>
      <c r="D202" s="6">
        <v>1</v>
      </c>
      <c r="E202" s="6">
        <v>25</v>
      </c>
      <c r="F202" s="6">
        <v>3</v>
      </c>
      <c r="G202" s="6" t="s">
        <v>256</v>
      </c>
      <c r="H202" s="6" t="s">
        <v>256</v>
      </c>
      <c r="I202" s="24" t="s">
        <v>6</v>
      </c>
      <c r="J202" s="24" t="s">
        <v>253</v>
      </c>
      <c r="K202" s="6">
        <v>300</v>
      </c>
      <c r="L202" s="6">
        <v>4</v>
      </c>
      <c r="M202" s="6">
        <v>1</v>
      </c>
      <c r="N202" s="6" t="s">
        <v>493</v>
      </c>
      <c r="O202" s="6" t="s">
        <v>493</v>
      </c>
      <c r="P202" s="6" t="s">
        <v>493</v>
      </c>
      <c r="Q202" s="6" t="s">
        <v>493</v>
      </c>
      <c r="R202" s="8">
        <v>1.37</v>
      </c>
      <c r="S202" s="20">
        <v>45125</v>
      </c>
      <c r="T202" s="20">
        <v>45126</v>
      </c>
      <c r="U202" s="10">
        <v>1</v>
      </c>
      <c r="V202" s="3">
        <v>0.215</v>
      </c>
      <c r="W202" s="3" t="s">
        <v>256</v>
      </c>
      <c r="X202" t="s">
        <v>36</v>
      </c>
      <c r="Y202" s="7">
        <v>1</v>
      </c>
      <c r="Z202" s="11" t="s">
        <v>67</v>
      </c>
      <c r="AA202" s="36">
        <v>45414</v>
      </c>
      <c r="AB202" s="36">
        <v>45418</v>
      </c>
      <c r="AC202" s="29">
        <v>8.4914025018439059</v>
      </c>
      <c r="AD202" s="7">
        <v>4</v>
      </c>
      <c r="AE202" s="26" t="s">
        <v>42</v>
      </c>
      <c r="AF202" s="26" t="s">
        <v>193</v>
      </c>
      <c r="AG202" s="26" t="s">
        <v>236</v>
      </c>
      <c r="AH202" s="26" t="s">
        <v>237</v>
      </c>
      <c r="AI202" s="7">
        <v>299</v>
      </c>
      <c r="AJ202" t="s">
        <v>1658</v>
      </c>
      <c r="AK202" t="s">
        <v>1694</v>
      </c>
    </row>
    <row r="203" spans="1:38">
      <c r="A203" s="2" t="s">
        <v>1424</v>
      </c>
      <c r="B203" s="103">
        <v>45125</v>
      </c>
      <c r="C203" s="2" t="s">
        <v>487</v>
      </c>
      <c r="D203" s="6">
        <v>1</v>
      </c>
      <c r="E203" s="6">
        <v>26</v>
      </c>
      <c r="F203" s="6">
        <v>3</v>
      </c>
      <c r="G203" s="6" t="s">
        <v>256</v>
      </c>
      <c r="H203" s="6" t="s">
        <v>256</v>
      </c>
      <c r="I203" s="24" t="s">
        <v>6</v>
      </c>
      <c r="J203" s="24" t="s">
        <v>255</v>
      </c>
      <c r="K203" s="6">
        <v>300</v>
      </c>
      <c r="L203" s="6">
        <v>4</v>
      </c>
      <c r="M203" s="6">
        <v>2</v>
      </c>
      <c r="N203" s="6" t="s">
        <v>493</v>
      </c>
      <c r="O203" s="6" t="s">
        <v>493</v>
      </c>
      <c r="P203" s="6" t="s">
        <v>493</v>
      </c>
      <c r="Q203" s="6" t="s">
        <v>493</v>
      </c>
      <c r="R203" s="8">
        <v>2.6</v>
      </c>
      <c r="S203" s="20">
        <v>45125</v>
      </c>
      <c r="T203" s="20">
        <v>45126</v>
      </c>
      <c r="U203" s="10">
        <v>1</v>
      </c>
      <c r="V203" s="3">
        <v>0.90800000000000003</v>
      </c>
      <c r="W203" s="3" t="s">
        <v>256</v>
      </c>
      <c r="X203" t="s">
        <v>36</v>
      </c>
      <c r="Y203" s="7">
        <v>1</v>
      </c>
      <c r="Z203" s="11" t="s">
        <v>70</v>
      </c>
      <c r="AA203" s="36">
        <v>45414</v>
      </c>
      <c r="AB203" s="36">
        <v>45418</v>
      </c>
      <c r="AC203" s="29">
        <v>1.8958764357434985</v>
      </c>
      <c r="AD203" s="7">
        <v>4</v>
      </c>
      <c r="AE203" s="26" t="s">
        <v>45</v>
      </c>
      <c r="AF203" s="26" t="s">
        <v>195</v>
      </c>
      <c r="AG203" s="26" t="s">
        <v>236</v>
      </c>
      <c r="AH203" s="26" t="s">
        <v>237</v>
      </c>
      <c r="AI203" s="7">
        <v>311</v>
      </c>
      <c r="AJ203" t="s">
        <v>1659</v>
      </c>
      <c r="AK203" t="s">
        <v>1694</v>
      </c>
    </row>
    <row r="204" spans="1:38">
      <c r="A204" s="2" t="s">
        <v>1425</v>
      </c>
      <c r="B204" s="103">
        <v>45125</v>
      </c>
      <c r="C204" s="2" t="s">
        <v>487</v>
      </c>
      <c r="D204" s="6">
        <v>1</v>
      </c>
      <c r="E204" s="6">
        <v>28</v>
      </c>
      <c r="F204" s="6">
        <v>3</v>
      </c>
      <c r="G204" s="6" t="s">
        <v>256</v>
      </c>
      <c r="H204" s="6" t="s">
        <v>256</v>
      </c>
      <c r="I204" s="24" t="s">
        <v>6</v>
      </c>
      <c r="J204" s="24" t="s">
        <v>254</v>
      </c>
      <c r="K204" s="6">
        <v>300</v>
      </c>
      <c r="L204" s="6">
        <v>4</v>
      </c>
      <c r="M204" s="6">
        <v>4</v>
      </c>
      <c r="N204" s="6" t="s">
        <v>493</v>
      </c>
      <c r="O204" s="6" t="s">
        <v>493</v>
      </c>
      <c r="P204" s="6" t="s">
        <v>493</v>
      </c>
      <c r="Q204" s="6" t="s">
        <v>493</v>
      </c>
      <c r="R204" s="8">
        <v>1.77</v>
      </c>
      <c r="S204" s="20">
        <v>45125</v>
      </c>
      <c r="T204" s="20">
        <v>45126</v>
      </c>
      <c r="U204" s="10">
        <v>1</v>
      </c>
      <c r="V204" s="3">
        <v>0.21</v>
      </c>
      <c r="W204" s="3" t="s">
        <v>256</v>
      </c>
      <c r="X204" t="s">
        <v>36</v>
      </c>
      <c r="Y204" s="7">
        <v>1</v>
      </c>
      <c r="Z204" s="11" t="s">
        <v>71</v>
      </c>
      <c r="AA204" s="36">
        <v>45414</v>
      </c>
      <c r="AB204" s="36">
        <v>45418</v>
      </c>
      <c r="AC204" s="29">
        <v>3.7533435122567025</v>
      </c>
      <c r="AD204" s="7">
        <v>4</v>
      </c>
      <c r="AE204" s="26" t="s">
        <v>47</v>
      </c>
      <c r="AF204" s="26" t="s">
        <v>197</v>
      </c>
      <c r="AG204" s="26" t="s">
        <v>236</v>
      </c>
      <c r="AH204" s="26" t="s">
        <v>237</v>
      </c>
      <c r="AI204" s="7">
        <v>323</v>
      </c>
      <c r="AJ204" t="s">
        <v>1660</v>
      </c>
      <c r="AK204" t="s">
        <v>1694</v>
      </c>
    </row>
    <row r="205" spans="1:38">
      <c r="A205" s="2" t="s">
        <v>1426</v>
      </c>
      <c r="B205" s="103">
        <v>45125</v>
      </c>
      <c r="C205" s="2" t="s">
        <v>487</v>
      </c>
      <c r="D205" s="6">
        <v>1</v>
      </c>
      <c r="E205" s="6">
        <v>35</v>
      </c>
      <c r="F205" s="6">
        <v>3</v>
      </c>
      <c r="G205" s="6" t="s">
        <v>256</v>
      </c>
      <c r="H205" s="6" t="s">
        <v>256</v>
      </c>
      <c r="I205" s="24" t="s">
        <v>6</v>
      </c>
      <c r="J205" s="24" t="s">
        <v>40</v>
      </c>
      <c r="K205" s="6">
        <v>300</v>
      </c>
      <c r="L205" s="6">
        <v>4</v>
      </c>
      <c r="M205" s="6">
        <v>11</v>
      </c>
      <c r="N205" s="6" t="s">
        <v>493</v>
      </c>
      <c r="O205" s="6" t="s">
        <v>493</v>
      </c>
      <c r="P205" s="6" t="s">
        <v>493</v>
      </c>
      <c r="Q205" s="6" t="s">
        <v>493</v>
      </c>
      <c r="R205" s="8">
        <v>0.97</v>
      </c>
      <c r="S205" s="20">
        <v>45125</v>
      </c>
      <c r="T205" s="20">
        <v>45126</v>
      </c>
      <c r="U205" s="10">
        <v>1</v>
      </c>
      <c r="V205" s="3">
        <v>8.9999999999999993E-3</v>
      </c>
      <c r="W205" s="3" t="s">
        <v>256</v>
      </c>
      <c r="X205" t="s">
        <v>36</v>
      </c>
      <c r="Y205" s="7">
        <v>1</v>
      </c>
      <c r="Z205" s="11" t="s">
        <v>72</v>
      </c>
      <c r="AA205" s="36">
        <v>45414</v>
      </c>
      <c r="AB205" s="36">
        <v>45418</v>
      </c>
      <c r="AC205" s="29">
        <v>0.37500701436137768</v>
      </c>
      <c r="AD205" s="8" t="s">
        <v>256</v>
      </c>
      <c r="AE205" s="31" t="s">
        <v>256</v>
      </c>
      <c r="AF205" s="31" t="s">
        <v>256</v>
      </c>
      <c r="AG205" s="31" t="s">
        <v>256</v>
      </c>
      <c r="AH205" s="31" t="s">
        <v>256</v>
      </c>
      <c r="AI205" s="8" t="s">
        <v>256</v>
      </c>
      <c r="AJ205" s="3"/>
      <c r="AK205" t="s">
        <v>1694</v>
      </c>
      <c r="AL205" t="s">
        <v>1812</v>
      </c>
    </row>
    <row r="206" spans="1:38">
      <c r="A206" s="2" t="s">
        <v>1427</v>
      </c>
      <c r="B206" s="103">
        <v>45125</v>
      </c>
      <c r="C206" s="2" t="s">
        <v>487</v>
      </c>
      <c r="D206" s="6">
        <v>2</v>
      </c>
      <c r="E206" s="6">
        <v>37</v>
      </c>
      <c r="F206" s="6">
        <v>4</v>
      </c>
      <c r="G206" s="6" t="s">
        <v>256</v>
      </c>
      <c r="H206" s="6" t="s">
        <v>256</v>
      </c>
      <c r="I206" s="24" t="s">
        <v>4</v>
      </c>
      <c r="J206" s="24" t="s">
        <v>40</v>
      </c>
      <c r="K206" s="6">
        <v>300</v>
      </c>
      <c r="L206" s="6">
        <v>3</v>
      </c>
      <c r="M206" s="6">
        <v>1</v>
      </c>
      <c r="N206" s="6" t="s">
        <v>493</v>
      </c>
      <c r="O206" s="6" t="s">
        <v>493</v>
      </c>
      <c r="P206" s="6" t="s">
        <v>493</v>
      </c>
      <c r="Q206" s="6" t="s">
        <v>493</v>
      </c>
      <c r="R206" s="8">
        <v>1.25</v>
      </c>
      <c r="S206" s="20">
        <v>45125</v>
      </c>
      <c r="T206" s="20">
        <v>45126</v>
      </c>
      <c r="U206" s="10">
        <v>1</v>
      </c>
      <c r="V206" s="3">
        <v>0.11600000000000001</v>
      </c>
      <c r="W206" s="3" t="s">
        <v>256</v>
      </c>
      <c r="X206" t="s">
        <v>36</v>
      </c>
      <c r="Y206" s="7">
        <v>1</v>
      </c>
      <c r="Z206" s="11" t="s">
        <v>73</v>
      </c>
      <c r="AA206" s="36">
        <v>45414</v>
      </c>
      <c r="AB206" s="36">
        <v>45418</v>
      </c>
      <c r="AC206" s="29">
        <v>1.4849815646078615</v>
      </c>
      <c r="AD206" s="7">
        <v>4</v>
      </c>
      <c r="AE206" s="26" t="s">
        <v>51</v>
      </c>
      <c r="AF206" s="26" t="s">
        <v>201</v>
      </c>
      <c r="AG206" s="26" t="s">
        <v>236</v>
      </c>
      <c r="AH206" s="26" t="s">
        <v>237</v>
      </c>
      <c r="AI206" s="7">
        <v>347</v>
      </c>
      <c r="AJ206" t="s">
        <v>1661</v>
      </c>
      <c r="AK206" t="s">
        <v>1694</v>
      </c>
    </row>
    <row r="207" spans="1:38">
      <c r="A207" s="2" t="s">
        <v>1428</v>
      </c>
      <c r="B207" s="103">
        <v>45125</v>
      </c>
      <c r="C207" s="2" t="s">
        <v>487</v>
      </c>
      <c r="D207" s="6">
        <v>2</v>
      </c>
      <c r="E207" s="6">
        <v>38</v>
      </c>
      <c r="F207" s="6">
        <v>4</v>
      </c>
      <c r="G207" s="6" t="s">
        <v>256</v>
      </c>
      <c r="H207" s="6" t="s">
        <v>256</v>
      </c>
      <c r="I207" s="24" t="s">
        <v>4</v>
      </c>
      <c r="J207" s="24" t="s">
        <v>255</v>
      </c>
      <c r="K207" s="6">
        <v>300</v>
      </c>
      <c r="L207" s="6">
        <v>3</v>
      </c>
      <c r="M207" s="6">
        <v>2</v>
      </c>
      <c r="N207" s="6" t="s">
        <v>493</v>
      </c>
      <c r="O207" s="6" t="s">
        <v>493</v>
      </c>
      <c r="P207" s="6" t="s">
        <v>493</v>
      </c>
      <c r="Q207" s="6" t="s">
        <v>493</v>
      </c>
      <c r="R207" s="8">
        <v>3.07</v>
      </c>
      <c r="S207" s="20">
        <v>45125</v>
      </c>
      <c r="T207" s="20">
        <v>45126</v>
      </c>
      <c r="U207" s="10">
        <v>1</v>
      </c>
      <c r="V207" s="3">
        <v>0.31</v>
      </c>
      <c r="W207" s="3" t="s">
        <v>256</v>
      </c>
      <c r="X207" t="s">
        <v>36</v>
      </c>
      <c r="Y207" s="7">
        <v>1</v>
      </c>
      <c r="Z207" s="11" t="s">
        <v>74</v>
      </c>
      <c r="AA207" s="36">
        <v>45414</v>
      </c>
      <c r="AB207" s="36">
        <v>45418</v>
      </c>
      <c r="AC207" s="29">
        <v>1.3835713203760505</v>
      </c>
      <c r="AD207" s="7">
        <v>4</v>
      </c>
      <c r="AE207" s="26" t="s">
        <v>53</v>
      </c>
      <c r="AF207" s="26" t="s">
        <v>203</v>
      </c>
      <c r="AG207" s="26" t="s">
        <v>236</v>
      </c>
      <c r="AH207" s="26" t="s">
        <v>237</v>
      </c>
      <c r="AI207" s="7">
        <v>359</v>
      </c>
      <c r="AJ207" t="s">
        <v>1662</v>
      </c>
      <c r="AK207" t="s">
        <v>1694</v>
      </c>
    </row>
    <row r="208" spans="1:38">
      <c r="A208" s="2" t="s">
        <v>1429</v>
      </c>
      <c r="B208" s="103">
        <v>45125</v>
      </c>
      <c r="C208" s="2" t="s">
        <v>487</v>
      </c>
      <c r="D208" s="6">
        <v>2</v>
      </c>
      <c r="E208" s="6">
        <v>41</v>
      </c>
      <c r="F208" s="6">
        <v>4</v>
      </c>
      <c r="G208" s="6" t="s">
        <v>256</v>
      </c>
      <c r="H208" s="6" t="s">
        <v>256</v>
      </c>
      <c r="I208" s="24" t="s">
        <v>4</v>
      </c>
      <c r="J208" s="24" t="s">
        <v>253</v>
      </c>
      <c r="K208" s="6">
        <v>300</v>
      </c>
      <c r="L208" s="6">
        <v>3</v>
      </c>
      <c r="M208" s="6">
        <v>5</v>
      </c>
      <c r="N208" s="6" t="s">
        <v>493</v>
      </c>
      <c r="O208" s="6" t="s">
        <v>493</v>
      </c>
      <c r="P208" s="6" t="s">
        <v>493</v>
      </c>
      <c r="Q208" s="6" t="s">
        <v>493</v>
      </c>
      <c r="R208" s="8">
        <v>1.94</v>
      </c>
      <c r="S208" s="20">
        <v>45125</v>
      </c>
      <c r="T208" s="20">
        <v>45126</v>
      </c>
      <c r="U208" s="10">
        <v>1</v>
      </c>
      <c r="V208" s="3">
        <v>0.58499999999999996</v>
      </c>
      <c r="W208" s="3" t="s">
        <v>256</v>
      </c>
      <c r="X208" t="s">
        <v>36</v>
      </c>
      <c r="Y208" s="7">
        <v>1</v>
      </c>
      <c r="Z208" s="11" t="s">
        <v>75</v>
      </c>
      <c r="AA208" s="36">
        <v>45414</v>
      </c>
      <c r="AB208" s="36">
        <v>45418</v>
      </c>
      <c r="AC208" s="29">
        <v>2.7606875944646512</v>
      </c>
      <c r="AD208" s="7">
        <v>4</v>
      </c>
      <c r="AE208" s="26" t="s">
        <v>55</v>
      </c>
      <c r="AF208" s="26" t="s">
        <v>205</v>
      </c>
      <c r="AG208" s="26" t="s">
        <v>236</v>
      </c>
      <c r="AH208" s="26" t="s">
        <v>237</v>
      </c>
      <c r="AI208" s="7">
        <v>371</v>
      </c>
      <c r="AJ208" t="s">
        <v>1663</v>
      </c>
      <c r="AK208" t="s">
        <v>1694</v>
      </c>
    </row>
    <row r="209" spans="1:39">
      <c r="A209" s="2" t="s">
        <v>1430</v>
      </c>
      <c r="B209" s="103">
        <v>45125</v>
      </c>
      <c r="C209" s="2" t="s">
        <v>487</v>
      </c>
      <c r="D209" s="6">
        <v>2</v>
      </c>
      <c r="E209" s="6">
        <v>44</v>
      </c>
      <c r="F209" s="6">
        <v>4</v>
      </c>
      <c r="G209" s="6" t="s">
        <v>256</v>
      </c>
      <c r="H209" s="6" t="s">
        <v>256</v>
      </c>
      <c r="I209" s="24" t="s">
        <v>4</v>
      </c>
      <c r="J209" s="24" t="s">
        <v>254</v>
      </c>
      <c r="K209" s="6">
        <v>300</v>
      </c>
      <c r="L209" s="6">
        <v>3</v>
      </c>
      <c r="M209" s="6">
        <v>8</v>
      </c>
      <c r="N209" s="6" t="s">
        <v>493</v>
      </c>
      <c r="O209" s="6" t="s">
        <v>493</v>
      </c>
      <c r="P209" s="6" t="s">
        <v>493</v>
      </c>
      <c r="Q209" s="6" t="s">
        <v>493</v>
      </c>
      <c r="R209" s="8">
        <v>2.0699999999999998</v>
      </c>
      <c r="S209" s="20">
        <v>45125</v>
      </c>
      <c r="T209" s="20">
        <v>45126</v>
      </c>
      <c r="U209" s="10">
        <v>1</v>
      </c>
      <c r="V209" s="3">
        <v>0.11</v>
      </c>
      <c r="W209" s="3" t="s">
        <v>256</v>
      </c>
      <c r="X209" t="s">
        <v>36</v>
      </c>
      <c r="Y209" s="8" t="s">
        <v>256</v>
      </c>
      <c r="Z209" s="27" t="s">
        <v>256</v>
      </c>
      <c r="AA209" s="27" t="s">
        <v>256</v>
      </c>
      <c r="AB209" s="27" t="s">
        <v>256</v>
      </c>
      <c r="AC209" s="8" t="s">
        <v>256</v>
      </c>
      <c r="AD209" s="8" t="s">
        <v>256</v>
      </c>
      <c r="AE209" s="31" t="s">
        <v>256</v>
      </c>
      <c r="AF209" s="31" t="s">
        <v>256</v>
      </c>
      <c r="AG209" s="31" t="s">
        <v>256</v>
      </c>
      <c r="AH209" s="31" t="s">
        <v>256</v>
      </c>
      <c r="AI209" s="8" t="s">
        <v>256</v>
      </c>
      <c r="AJ209" s="3"/>
      <c r="AK209" t="s">
        <v>1694</v>
      </c>
      <c r="AL209" t="s">
        <v>1811</v>
      </c>
    </row>
    <row r="210" spans="1:39">
      <c r="A210" s="2" t="s">
        <v>1431</v>
      </c>
      <c r="B210" s="103">
        <v>45125</v>
      </c>
      <c r="C210" s="2" t="s">
        <v>487</v>
      </c>
      <c r="D210" s="6">
        <v>2</v>
      </c>
      <c r="E210" s="6">
        <v>51</v>
      </c>
      <c r="F210" s="6">
        <v>5</v>
      </c>
      <c r="G210" s="6" t="s">
        <v>256</v>
      </c>
      <c r="H210" s="6" t="s">
        <v>256</v>
      </c>
      <c r="I210" s="24" t="s">
        <v>6</v>
      </c>
      <c r="J210" s="24" t="s">
        <v>40</v>
      </c>
      <c r="K210" s="6">
        <v>300</v>
      </c>
      <c r="L210" s="6">
        <v>2</v>
      </c>
      <c r="M210" s="6">
        <v>3</v>
      </c>
      <c r="N210" s="6" t="s">
        <v>493</v>
      </c>
      <c r="O210" s="6" t="s">
        <v>493</v>
      </c>
      <c r="P210" s="6" t="s">
        <v>493</v>
      </c>
      <c r="Q210" s="6" t="s">
        <v>493</v>
      </c>
      <c r="R210" s="8">
        <v>1.42</v>
      </c>
      <c r="S210" s="20">
        <v>45125</v>
      </c>
      <c r="T210" s="20">
        <v>45126</v>
      </c>
      <c r="U210" s="10">
        <v>1</v>
      </c>
      <c r="V210" s="3">
        <v>0.49</v>
      </c>
      <c r="W210" s="3" t="s">
        <v>256</v>
      </c>
      <c r="X210" t="s">
        <v>36</v>
      </c>
      <c r="Y210" s="7">
        <v>1</v>
      </c>
      <c r="Z210" s="11" t="s">
        <v>135</v>
      </c>
      <c r="AA210" s="36">
        <v>45414</v>
      </c>
      <c r="AB210" s="36">
        <v>45418</v>
      </c>
      <c r="AC210" s="29">
        <v>14.885135018662785</v>
      </c>
      <c r="AD210" s="7">
        <v>4</v>
      </c>
      <c r="AE210" s="26" t="s">
        <v>42</v>
      </c>
      <c r="AF210" s="26" t="s">
        <v>193</v>
      </c>
      <c r="AG210" s="26" t="s">
        <v>238</v>
      </c>
      <c r="AH210" s="26" t="s">
        <v>239</v>
      </c>
      <c r="AI210" s="7">
        <v>300</v>
      </c>
      <c r="AJ210" t="s">
        <v>1664</v>
      </c>
      <c r="AK210" t="s">
        <v>1694</v>
      </c>
    </row>
    <row r="211" spans="1:39">
      <c r="A211" s="2" t="s">
        <v>1432</v>
      </c>
      <c r="B211" s="103">
        <v>45125</v>
      </c>
      <c r="C211" s="2" t="s">
        <v>487</v>
      </c>
      <c r="D211" s="6">
        <v>2</v>
      </c>
      <c r="E211" s="6">
        <v>53</v>
      </c>
      <c r="F211" s="6">
        <v>5</v>
      </c>
      <c r="G211" s="6" t="s">
        <v>256</v>
      </c>
      <c r="H211" s="6" t="s">
        <v>256</v>
      </c>
      <c r="I211" s="24" t="s">
        <v>6</v>
      </c>
      <c r="J211" s="24" t="s">
        <v>255</v>
      </c>
      <c r="K211" s="6">
        <v>300</v>
      </c>
      <c r="L211" s="6">
        <v>2</v>
      </c>
      <c r="M211" s="6">
        <v>5</v>
      </c>
      <c r="N211" s="6" t="s">
        <v>493</v>
      </c>
      <c r="O211" s="6" t="s">
        <v>493</v>
      </c>
      <c r="P211" s="6" t="s">
        <v>493</v>
      </c>
      <c r="Q211" s="6" t="s">
        <v>493</v>
      </c>
      <c r="R211" s="8">
        <v>2.82</v>
      </c>
      <c r="S211" s="20">
        <v>45125</v>
      </c>
      <c r="T211" s="20">
        <v>45126</v>
      </c>
      <c r="U211" s="10">
        <v>1</v>
      </c>
      <c r="V211" s="3">
        <v>0.24099999999999999</v>
      </c>
      <c r="W211" s="3" t="s">
        <v>256</v>
      </c>
      <c r="X211" t="s">
        <v>36</v>
      </c>
      <c r="Y211" s="7">
        <v>1</v>
      </c>
      <c r="Z211" s="11" t="s">
        <v>128</v>
      </c>
      <c r="AA211" s="36">
        <v>45414</v>
      </c>
      <c r="AB211" s="36">
        <v>45418</v>
      </c>
      <c r="AC211" s="29">
        <v>13.915374343171534</v>
      </c>
      <c r="AD211" s="7">
        <v>4</v>
      </c>
      <c r="AE211" s="26" t="s">
        <v>45</v>
      </c>
      <c r="AF211" s="26" t="s">
        <v>195</v>
      </c>
      <c r="AG211" s="26" t="s">
        <v>238</v>
      </c>
      <c r="AH211" s="26" t="s">
        <v>239</v>
      </c>
      <c r="AI211" s="7">
        <v>312</v>
      </c>
      <c r="AJ211" t="s">
        <v>1665</v>
      </c>
      <c r="AK211" t="s">
        <v>1694</v>
      </c>
    </row>
    <row r="212" spans="1:39">
      <c r="A212" s="2" t="s">
        <v>1433</v>
      </c>
      <c r="B212" s="103">
        <v>45125</v>
      </c>
      <c r="C212" s="2" t="s">
        <v>487</v>
      </c>
      <c r="D212" s="6">
        <v>2</v>
      </c>
      <c r="E212" s="6">
        <v>55</v>
      </c>
      <c r="F212" s="6">
        <v>5</v>
      </c>
      <c r="G212" s="6" t="s">
        <v>256</v>
      </c>
      <c r="H212" s="6" t="s">
        <v>256</v>
      </c>
      <c r="I212" s="24" t="s">
        <v>6</v>
      </c>
      <c r="J212" s="24" t="s">
        <v>253</v>
      </c>
      <c r="K212" s="6">
        <v>300</v>
      </c>
      <c r="L212" s="6">
        <v>2</v>
      </c>
      <c r="M212" s="6">
        <v>7</v>
      </c>
      <c r="N212" s="6" t="s">
        <v>493</v>
      </c>
      <c r="O212" s="6" t="s">
        <v>493</v>
      </c>
      <c r="P212" s="6" t="s">
        <v>493</v>
      </c>
      <c r="Q212" s="6" t="s">
        <v>493</v>
      </c>
      <c r="R212" s="8">
        <v>1.92</v>
      </c>
      <c r="S212" s="20">
        <v>45125</v>
      </c>
      <c r="T212" s="20">
        <v>45126</v>
      </c>
      <c r="U212" s="10">
        <v>1</v>
      </c>
      <c r="V212" s="3">
        <v>1.49</v>
      </c>
      <c r="W212" s="3" t="s">
        <v>256</v>
      </c>
      <c r="X212" t="s">
        <v>36</v>
      </c>
      <c r="Y212" s="7">
        <v>1</v>
      </c>
      <c r="Z212" s="11" t="s">
        <v>136</v>
      </c>
      <c r="AA212" s="36">
        <v>45414</v>
      </c>
      <c r="AB212" s="36">
        <v>45418</v>
      </c>
      <c r="AC212" s="29">
        <v>19.386539541376298</v>
      </c>
      <c r="AD212" s="7">
        <v>4</v>
      </c>
      <c r="AE212" s="26" t="s">
        <v>47</v>
      </c>
      <c r="AF212" s="26" t="s">
        <v>197</v>
      </c>
      <c r="AG212" s="26" t="s">
        <v>238</v>
      </c>
      <c r="AH212" s="26" t="s">
        <v>239</v>
      </c>
      <c r="AI212" s="7">
        <v>324</v>
      </c>
      <c r="AJ212" t="s">
        <v>1666</v>
      </c>
      <c r="AK212" t="s">
        <v>1694</v>
      </c>
    </row>
    <row r="213" spans="1:39">
      <c r="A213" s="2" t="s">
        <v>1434</v>
      </c>
      <c r="B213" s="103">
        <v>45125</v>
      </c>
      <c r="C213" s="2" t="s">
        <v>487</v>
      </c>
      <c r="D213" s="6">
        <v>2</v>
      </c>
      <c r="E213" s="6">
        <v>59</v>
      </c>
      <c r="F213" s="6">
        <v>5</v>
      </c>
      <c r="G213" s="6" t="s">
        <v>256</v>
      </c>
      <c r="H213" s="6" t="s">
        <v>256</v>
      </c>
      <c r="I213" s="24" t="s">
        <v>6</v>
      </c>
      <c r="J213" s="24" t="s">
        <v>254</v>
      </c>
      <c r="K213" s="6">
        <v>300</v>
      </c>
      <c r="L213" s="6">
        <v>2</v>
      </c>
      <c r="M213" s="6">
        <v>11</v>
      </c>
      <c r="N213" s="6" t="s">
        <v>493</v>
      </c>
      <c r="O213" s="6" t="s">
        <v>493</v>
      </c>
      <c r="P213" s="6" t="s">
        <v>493</v>
      </c>
      <c r="Q213" s="6" t="s">
        <v>493</v>
      </c>
      <c r="R213" s="8">
        <v>1.71</v>
      </c>
      <c r="S213" s="20">
        <v>45125</v>
      </c>
      <c r="T213" s="20">
        <v>45126</v>
      </c>
      <c r="U213" s="10">
        <v>1</v>
      </c>
      <c r="V213" s="3">
        <v>0.13</v>
      </c>
      <c r="W213" s="3" t="s">
        <v>256</v>
      </c>
      <c r="X213" t="s">
        <v>36</v>
      </c>
      <c r="Y213" s="7">
        <v>2</v>
      </c>
      <c r="Z213" s="11" t="s">
        <v>90</v>
      </c>
      <c r="AA213" s="36">
        <v>45474</v>
      </c>
      <c r="AB213" s="36">
        <v>45475</v>
      </c>
      <c r="AC213" s="29">
        <v>13.917</v>
      </c>
      <c r="AD213" s="7">
        <v>4</v>
      </c>
      <c r="AE213" s="26" t="s">
        <v>200</v>
      </c>
      <c r="AF213" s="26" t="s">
        <v>201</v>
      </c>
      <c r="AG213" s="26" t="s">
        <v>175</v>
      </c>
      <c r="AH213" s="26" t="s">
        <v>223</v>
      </c>
      <c r="AI213" s="7">
        <v>339</v>
      </c>
      <c r="AJ213" t="s">
        <v>1667</v>
      </c>
      <c r="AK213" t="s">
        <v>1693</v>
      </c>
    </row>
    <row r="214" spans="1:39">
      <c r="A214" s="5" t="s">
        <v>758</v>
      </c>
      <c r="B214" s="12" t="s">
        <v>256</v>
      </c>
      <c r="C214" s="5" t="s">
        <v>256</v>
      </c>
      <c r="D214" s="8" t="s">
        <v>256</v>
      </c>
      <c r="E214" s="8" t="s">
        <v>256</v>
      </c>
      <c r="F214" s="8" t="s">
        <v>256</v>
      </c>
      <c r="G214" s="6" t="s">
        <v>256</v>
      </c>
      <c r="H214" s="6" t="s">
        <v>256</v>
      </c>
      <c r="I214" s="31" t="s">
        <v>256</v>
      </c>
      <c r="J214" s="31" t="s">
        <v>256</v>
      </c>
      <c r="K214" s="8" t="s">
        <v>256</v>
      </c>
      <c r="L214" s="8" t="s">
        <v>256</v>
      </c>
      <c r="M214" s="8" t="s">
        <v>256</v>
      </c>
      <c r="N214" s="8" t="s">
        <v>256</v>
      </c>
      <c r="O214" s="8" t="s">
        <v>256</v>
      </c>
      <c r="P214" s="8" t="s">
        <v>256</v>
      </c>
      <c r="Q214" s="8" t="s">
        <v>256</v>
      </c>
      <c r="R214" s="8" t="s">
        <v>256</v>
      </c>
      <c r="S214" s="27" t="s">
        <v>256</v>
      </c>
      <c r="T214" s="27" t="s">
        <v>256</v>
      </c>
      <c r="U214" s="3" t="s">
        <v>256</v>
      </c>
      <c r="V214" s="3" t="s">
        <v>256</v>
      </c>
      <c r="W214" s="3" t="s">
        <v>256</v>
      </c>
      <c r="X214" t="s">
        <v>36</v>
      </c>
      <c r="Y214" s="7">
        <v>1</v>
      </c>
      <c r="Z214" s="11" t="s">
        <v>137</v>
      </c>
      <c r="AA214" s="36">
        <v>45414</v>
      </c>
      <c r="AB214" s="36">
        <v>45418</v>
      </c>
      <c r="AC214" s="29">
        <v>2.636116204036678E-2</v>
      </c>
      <c r="AD214" s="7">
        <v>4</v>
      </c>
      <c r="AE214" s="26" t="s">
        <v>208</v>
      </c>
      <c r="AF214" s="26" t="s">
        <v>201</v>
      </c>
      <c r="AG214" s="26" t="s">
        <v>238</v>
      </c>
      <c r="AH214" s="26" t="s">
        <v>239</v>
      </c>
      <c r="AI214" s="7">
        <v>348</v>
      </c>
      <c r="AJ214" t="s">
        <v>1553</v>
      </c>
      <c r="AK214" t="s">
        <v>1694</v>
      </c>
      <c r="AM214" t="s">
        <v>1771</v>
      </c>
    </row>
    <row r="215" spans="1:39">
      <c r="A215" s="5" t="s">
        <v>759</v>
      </c>
      <c r="B215" s="12" t="s">
        <v>256</v>
      </c>
      <c r="C215" s="5" t="s">
        <v>256</v>
      </c>
      <c r="D215" s="8" t="s">
        <v>256</v>
      </c>
      <c r="E215" s="8" t="s">
        <v>256</v>
      </c>
      <c r="F215" s="8" t="s">
        <v>256</v>
      </c>
      <c r="G215" s="6" t="s">
        <v>256</v>
      </c>
      <c r="H215" s="6" t="s">
        <v>256</v>
      </c>
      <c r="I215" s="31" t="s">
        <v>256</v>
      </c>
      <c r="J215" s="31" t="s">
        <v>256</v>
      </c>
      <c r="K215" s="8" t="s">
        <v>256</v>
      </c>
      <c r="L215" s="8" t="s">
        <v>256</v>
      </c>
      <c r="M215" s="8" t="s">
        <v>256</v>
      </c>
      <c r="N215" s="8" t="s">
        <v>256</v>
      </c>
      <c r="O215" s="8" t="s">
        <v>256</v>
      </c>
      <c r="P215" s="8" t="s">
        <v>256</v>
      </c>
      <c r="Q215" s="8" t="s">
        <v>256</v>
      </c>
      <c r="R215" s="8" t="s">
        <v>256</v>
      </c>
      <c r="S215" s="27" t="s">
        <v>256</v>
      </c>
      <c r="T215" s="27" t="s">
        <v>256</v>
      </c>
      <c r="U215" s="3" t="s">
        <v>256</v>
      </c>
      <c r="V215" s="3" t="s">
        <v>256</v>
      </c>
      <c r="W215" s="3" t="s">
        <v>256</v>
      </c>
      <c r="X215" t="s">
        <v>36</v>
      </c>
      <c r="Y215" s="7">
        <v>1</v>
      </c>
      <c r="Z215" s="11" t="s">
        <v>138</v>
      </c>
      <c r="AA215" s="36">
        <v>45414</v>
      </c>
      <c r="AB215" s="36">
        <v>45418</v>
      </c>
      <c r="AC215" s="29">
        <v>12.200285048975831</v>
      </c>
      <c r="AD215" s="7">
        <v>4</v>
      </c>
      <c r="AE215" s="26" t="s">
        <v>49</v>
      </c>
      <c r="AF215" s="26" t="s">
        <v>203</v>
      </c>
      <c r="AG215" s="26" t="s">
        <v>238</v>
      </c>
      <c r="AH215" s="26" t="s">
        <v>239</v>
      </c>
      <c r="AI215" s="7">
        <v>360</v>
      </c>
      <c r="AJ215" t="s">
        <v>1554</v>
      </c>
      <c r="AK215" t="s">
        <v>1694</v>
      </c>
      <c r="AM215" t="s">
        <v>1772</v>
      </c>
    </row>
    <row r="216" spans="1:39">
      <c r="A216" s="2" t="s">
        <v>1435</v>
      </c>
      <c r="B216" s="103">
        <v>45125</v>
      </c>
      <c r="C216" s="2" t="s">
        <v>487</v>
      </c>
      <c r="D216" s="6">
        <v>2</v>
      </c>
      <c r="E216" s="6">
        <v>61</v>
      </c>
      <c r="F216" s="6">
        <v>6</v>
      </c>
      <c r="G216" s="6" t="s">
        <v>256</v>
      </c>
      <c r="H216" s="6" t="s">
        <v>256</v>
      </c>
      <c r="I216" s="24" t="s">
        <v>5</v>
      </c>
      <c r="J216" s="24" t="s">
        <v>40</v>
      </c>
      <c r="K216" s="6">
        <v>300</v>
      </c>
      <c r="L216" s="6">
        <v>1</v>
      </c>
      <c r="M216" s="6">
        <v>1</v>
      </c>
      <c r="N216" s="6" t="s">
        <v>493</v>
      </c>
      <c r="O216" s="6" t="s">
        <v>493</v>
      </c>
      <c r="P216" s="6" t="s">
        <v>493</v>
      </c>
      <c r="Q216" s="6" t="s">
        <v>493</v>
      </c>
      <c r="R216" s="8">
        <v>1.65</v>
      </c>
      <c r="S216" s="20">
        <v>45125</v>
      </c>
      <c r="T216" s="20">
        <v>45126</v>
      </c>
      <c r="U216" s="10">
        <v>1</v>
      </c>
      <c r="V216" s="3">
        <v>0.622</v>
      </c>
      <c r="W216" s="3" t="s">
        <v>256</v>
      </c>
      <c r="X216" t="s">
        <v>36</v>
      </c>
      <c r="Y216" s="7">
        <v>2</v>
      </c>
      <c r="Z216" s="11" t="s">
        <v>41</v>
      </c>
      <c r="AA216" s="36">
        <v>45474</v>
      </c>
      <c r="AB216" s="36">
        <v>45475</v>
      </c>
      <c r="AC216" s="29">
        <v>18.26140036324216</v>
      </c>
      <c r="AD216" s="7">
        <v>4</v>
      </c>
      <c r="AE216" s="26" t="s">
        <v>42</v>
      </c>
      <c r="AF216" s="26" t="s">
        <v>193</v>
      </c>
      <c r="AG216" s="26" t="s">
        <v>173</v>
      </c>
      <c r="AH216" s="26" t="s">
        <v>221</v>
      </c>
      <c r="AI216" s="7">
        <v>289</v>
      </c>
      <c r="AJ216" t="s">
        <v>1668</v>
      </c>
      <c r="AK216" t="s">
        <v>1693</v>
      </c>
    </row>
    <row r="217" spans="1:39">
      <c r="A217" s="2" t="s">
        <v>1436</v>
      </c>
      <c r="B217" s="103">
        <v>45125</v>
      </c>
      <c r="C217" s="2" t="s">
        <v>487</v>
      </c>
      <c r="D217" s="6">
        <v>2</v>
      </c>
      <c r="E217" s="6">
        <v>66</v>
      </c>
      <c r="F217" s="6">
        <v>6</v>
      </c>
      <c r="G217" s="6" t="s">
        <v>256</v>
      </c>
      <c r="H217" s="6" t="s">
        <v>256</v>
      </c>
      <c r="I217" s="24" t="s">
        <v>5</v>
      </c>
      <c r="J217" s="24" t="s">
        <v>254</v>
      </c>
      <c r="K217" s="6">
        <v>300</v>
      </c>
      <c r="L217" s="6">
        <v>1</v>
      </c>
      <c r="M217" s="6">
        <v>6</v>
      </c>
      <c r="N217" s="6" t="s">
        <v>493</v>
      </c>
      <c r="O217" s="6" t="s">
        <v>493</v>
      </c>
      <c r="P217" s="6" t="s">
        <v>493</v>
      </c>
      <c r="Q217" s="6" t="s">
        <v>493</v>
      </c>
      <c r="R217" s="8">
        <v>3.24</v>
      </c>
      <c r="S217" s="20">
        <v>45125</v>
      </c>
      <c r="T217" s="20">
        <v>45126</v>
      </c>
      <c r="U217" s="10">
        <v>1</v>
      </c>
      <c r="V217" s="3">
        <v>2.4209999999999998</v>
      </c>
      <c r="W217" s="3" t="s">
        <v>256</v>
      </c>
      <c r="X217" t="s">
        <v>36</v>
      </c>
      <c r="Y217" s="7">
        <v>2</v>
      </c>
      <c r="Z217" s="11" t="s">
        <v>44</v>
      </c>
      <c r="AA217" s="36">
        <v>45474</v>
      </c>
      <c r="AB217" s="36">
        <v>45475</v>
      </c>
      <c r="AC217" s="29">
        <v>14.213922529912871</v>
      </c>
      <c r="AD217" s="7">
        <v>4</v>
      </c>
      <c r="AE217" s="26" t="s">
        <v>45</v>
      </c>
      <c r="AF217" s="26" t="s">
        <v>195</v>
      </c>
      <c r="AG217" s="26" t="s">
        <v>173</v>
      </c>
      <c r="AH217" s="26" t="s">
        <v>221</v>
      </c>
      <c r="AI217" s="7">
        <v>301</v>
      </c>
      <c r="AJ217" t="s">
        <v>1669</v>
      </c>
      <c r="AK217" t="s">
        <v>1693</v>
      </c>
    </row>
    <row r="218" spans="1:39">
      <c r="A218" s="2" t="s">
        <v>1437</v>
      </c>
      <c r="B218" s="103">
        <v>45125</v>
      </c>
      <c r="C218" s="2" t="s">
        <v>487</v>
      </c>
      <c r="D218" s="6">
        <v>2</v>
      </c>
      <c r="E218" s="6">
        <v>68</v>
      </c>
      <c r="F218" s="6">
        <v>6</v>
      </c>
      <c r="G218" s="6" t="s">
        <v>256</v>
      </c>
      <c r="H218" s="6" t="s">
        <v>256</v>
      </c>
      <c r="I218" s="24" t="s">
        <v>5</v>
      </c>
      <c r="J218" s="24" t="s">
        <v>255</v>
      </c>
      <c r="K218" s="6">
        <v>300</v>
      </c>
      <c r="L218" s="6">
        <v>1</v>
      </c>
      <c r="M218" s="6">
        <v>8</v>
      </c>
      <c r="N218" s="6" t="s">
        <v>493</v>
      </c>
      <c r="O218" s="6" t="s">
        <v>493</v>
      </c>
      <c r="P218" s="6" t="s">
        <v>493</v>
      </c>
      <c r="Q218" s="6" t="s">
        <v>493</v>
      </c>
      <c r="R218" s="8">
        <v>3.1</v>
      </c>
      <c r="S218" s="20">
        <v>45125</v>
      </c>
      <c r="T218" s="20">
        <v>45126</v>
      </c>
      <c r="U218" s="10">
        <v>1</v>
      </c>
      <c r="V218" s="3">
        <v>3.5139999999999998</v>
      </c>
      <c r="W218" s="3" t="s">
        <v>256</v>
      </c>
      <c r="X218" t="s">
        <v>36</v>
      </c>
      <c r="Y218" s="7">
        <v>2</v>
      </c>
      <c r="Z218" s="11" t="s">
        <v>46</v>
      </c>
      <c r="AA218" s="36">
        <v>45474</v>
      </c>
      <c r="AB218" s="36">
        <v>45475</v>
      </c>
      <c r="AC218" s="29">
        <v>17.851817525422906</v>
      </c>
      <c r="AD218" s="7">
        <v>4</v>
      </c>
      <c r="AE218" s="26" t="s">
        <v>47</v>
      </c>
      <c r="AF218" s="26" t="s">
        <v>197</v>
      </c>
      <c r="AG218" s="26" t="s">
        <v>173</v>
      </c>
      <c r="AH218" s="26" t="s">
        <v>221</v>
      </c>
      <c r="AI218" s="7">
        <v>313</v>
      </c>
      <c r="AJ218" t="s">
        <v>1670</v>
      </c>
      <c r="AK218" t="s">
        <v>1693</v>
      </c>
    </row>
    <row r="219" spans="1:39">
      <c r="A219" s="2" t="s">
        <v>1438</v>
      </c>
      <c r="B219" s="103">
        <v>45125</v>
      </c>
      <c r="C219" s="2" t="s">
        <v>487</v>
      </c>
      <c r="D219" s="6">
        <v>2</v>
      </c>
      <c r="E219" s="6">
        <v>72</v>
      </c>
      <c r="F219" s="6">
        <v>6</v>
      </c>
      <c r="G219" s="6" t="s">
        <v>256</v>
      </c>
      <c r="H219" s="6" t="s">
        <v>256</v>
      </c>
      <c r="I219" s="24" t="s">
        <v>5</v>
      </c>
      <c r="J219" s="24" t="s">
        <v>253</v>
      </c>
      <c r="K219" s="6">
        <v>300</v>
      </c>
      <c r="L219" s="6">
        <v>1</v>
      </c>
      <c r="M219" s="6">
        <v>12</v>
      </c>
      <c r="N219" s="6" t="s">
        <v>493</v>
      </c>
      <c r="O219" s="6" t="s">
        <v>493</v>
      </c>
      <c r="P219" s="6" t="s">
        <v>493</v>
      </c>
      <c r="Q219" s="6" t="s">
        <v>493</v>
      </c>
      <c r="R219" s="8">
        <v>3.48</v>
      </c>
      <c r="S219" s="20">
        <v>45125</v>
      </c>
      <c r="T219" s="20">
        <v>45126</v>
      </c>
      <c r="U219" s="10">
        <v>1</v>
      </c>
      <c r="V219" s="3">
        <v>2.77</v>
      </c>
      <c r="W219" s="3" t="s">
        <v>256</v>
      </c>
      <c r="X219" t="s">
        <v>36</v>
      </c>
      <c r="Y219" s="7">
        <v>2</v>
      </c>
      <c r="Z219" s="11" t="s">
        <v>48</v>
      </c>
      <c r="AA219" s="36">
        <v>45474</v>
      </c>
      <c r="AB219" s="36">
        <v>45475</v>
      </c>
      <c r="AC219" s="29">
        <v>16.984592040223607</v>
      </c>
      <c r="AD219" s="7">
        <v>4</v>
      </c>
      <c r="AE219" s="26" t="s">
        <v>49</v>
      </c>
      <c r="AF219" s="26" t="s">
        <v>199</v>
      </c>
      <c r="AG219" s="26" t="s">
        <v>173</v>
      </c>
      <c r="AH219" s="26" t="s">
        <v>221</v>
      </c>
      <c r="AI219" s="7">
        <v>325</v>
      </c>
      <c r="AJ219" t="s">
        <v>1671</v>
      </c>
      <c r="AK219" t="s">
        <v>1693</v>
      </c>
    </row>
    <row r="220" spans="1:39">
      <c r="A220" s="2" t="s">
        <v>1439</v>
      </c>
      <c r="B220" s="103">
        <v>45125</v>
      </c>
      <c r="C220" s="2" t="s">
        <v>487</v>
      </c>
      <c r="D220" s="6">
        <v>3</v>
      </c>
      <c r="E220" s="6">
        <v>75</v>
      </c>
      <c r="F220" s="6">
        <v>7</v>
      </c>
      <c r="G220" s="6" t="s">
        <v>256</v>
      </c>
      <c r="H220" s="6" t="s">
        <v>256</v>
      </c>
      <c r="I220" s="24" t="s">
        <v>4</v>
      </c>
      <c r="J220" s="24" t="s">
        <v>255</v>
      </c>
      <c r="K220" s="6">
        <v>300</v>
      </c>
      <c r="L220" s="6">
        <v>6</v>
      </c>
      <c r="M220" s="6">
        <v>15</v>
      </c>
      <c r="N220" s="6" t="s">
        <v>493</v>
      </c>
      <c r="O220" s="6" t="s">
        <v>493</v>
      </c>
      <c r="P220" s="6" t="s">
        <v>493</v>
      </c>
      <c r="Q220" s="6" t="s">
        <v>493</v>
      </c>
      <c r="R220" s="8">
        <v>4.54</v>
      </c>
      <c r="S220" s="20">
        <v>45125</v>
      </c>
      <c r="T220" s="20">
        <v>45126</v>
      </c>
      <c r="U220" s="10">
        <v>1</v>
      </c>
      <c r="V220" s="3">
        <v>0.45</v>
      </c>
      <c r="W220" s="3" t="s">
        <v>256</v>
      </c>
      <c r="X220" t="s">
        <v>36</v>
      </c>
      <c r="Y220" s="7">
        <v>2</v>
      </c>
      <c r="Z220" s="11" t="s">
        <v>50</v>
      </c>
      <c r="AA220" s="36">
        <v>45474</v>
      </c>
      <c r="AB220" s="36">
        <v>45475</v>
      </c>
      <c r="AC220" s="29">
        <v>20.495347223907643</v>
      </c>
      <c r="AD220" s="7">
        <v>4</v>
      </c>
      <c r="AE220" s="26" t="s">
        <v>51</v>
      </c>
      <c r="AF220" s="26" t="s">
        <v>201</v>
      </c>
      <c r="AG220" s="26" t="s">
        <v>173</v>
      </c>
      <c r="AH220" s="26" t="s">
        <v>221</v>
      </c>
      <c r="AI220" s="7">
        <v>337</v>
      </c>
      <c r="AJ220" t="s">
        <v>1672</v>
      </c>
      <c r="AK220" t="s">
        <v>1693</v>
      </c>
    </row>
    <row r="221" spans="1:39">
      <c r="A221" s="2" t="s">
        <v>1440</v>
      </c>
      <c r="B221" s="103">
        <v>45125</v>
      </c>
      <c r="C221" s="2" t="s">
        <v>487</v>
      </c>
      <c r="D221" s="6">
        <v>3</v>
      </c>
      <c r="E221" s="6">
        <v>80</v>
      </c>
      <c r="F221" s="6">
        <v>7</v>
      </c>
      <c r="G221" s="6" t="s">
        <v>256</v>
      </c>
      <c r="H221" s="6" t="s">
        <v>256</v>
      </c>
      <c r="I221" s="24" t="s">
        <v>4</v>
      </c>
      <c r="J221" s="24" t="s">
        <v>40</v>
      </c>
      <c r="K221" s="6">
        <v>300</v>
      </c>
      <c r="L221" s="6">
        <v>6</v>
      </c>
      <c r="M221" s="6">
        <v>20</v>
      </c>
      <c r="N221" s="6" t="s">
        <v>493</v>
      </c>
      <c r="O221" s="6" t="s">
        <v>493</v>
      </c>
      <c r="P221" s="6" t="s">
        <v>493</v>
      </c>
      <c r="Q221" s="6" t="s">
        <v>493</v>
      </c>
      <c r="R221" s="8">
        <v>2.88</v>
      </c>
      <c r="S221" s="20">
        <v>45125</v>
      </c>
      <c r="T221" s="20">
        <v>45126</v>
      </c>
      <c r="U221" s="10">
        <v>1</v>
      </c>
      <c r="V221" s="3">
        <v>0.38</v>
      </c>
      <c r="W221" s="3" t="s">
        <v>256</v>
      </c>
      <c r="X221" t="s">
        <v>36</v>
      </c>
      <c r="Y221" s="7">
        <v>2</v>
      </c>
      <c r="Z221" s="11" t="s">
        <v>52</v>
      </c>
      <c r="AA221" s="36">
        <v>45474</v>
      </c>
      <c r="AB221" s="36">
        <v>45475</v>
      </c>
      <c r="AC221" s="29">
        <v>10.711674513991699</v>
      </c>
      <c r="AD221" s="7">
        <v>4</v>
      </c>
      <c r="AE221" s="26" t="s">
        <v>53</v>
      </c>
      <c r="AF221" s="26" t="s">
        <v>203</v>
      </c>
      <c r="AG221" s="26" t="s">
        <v>173</v>
      </c>
      <c r="AH221" s="26" t="s">
        <v>221</v>
      </c>
      <c r="AI221" s="7">
        <v>349</v>
      </c>
      <c r="AJ221" t="s">
        <v>1673</v>
      </c>
      <c r="AK221" t="s">
        <v>1693</v>
      </c>
    </row>
    <row r="222" spans="1:39">
      <c r="A222" s="2" t="s">
        <v>1441</v>
      </c>
      <c r="B222" s="103">
        <v>45125</v>
      </c>
      <c r="C222" s="2" t="s">
        <v>487</v>
      </c>
      <c r="D222" s="6">
        <v>3</v>
      </c>
      <c r="E222" s="6">
        <v>81</v>
      </c>
      <c r="F222" s="6">
        <v>7</v>
      </c>
      <c r="G222" s="6" t="s">
        <v>256</v>
      </c>
      <c r="H222" s="6" t="s">
        <v>256</v>
      </c>
      <c r="I222" s="24" t="s">
        <v>4</v>
      </c>
      <c r="J222" s="24" t="s">
        <v>254</v>
      </c>
      <c r="K222" s="6">
        <v>300</v>
      </c>
      <c r="L222" s="6">
        <v>6</v>
      </c>
      <c r="M222" s="6">
        <v>21</v>
      </c>
      <c r="N222" s="6" t="s">
        <v>493</v>
      </c>
      <c r="O222" s="6" t="s">
        <v>493</v>
      </c>
      <c r="P222" s="6" t="s">
        <v>493</v>
      </c>
      <c r="Q222" s="6" t="s">
        <v>493</v>
      </c>
      <c r="R222" s="8">
        <v>3.26</v>
      </c>
      <c r="S222" s="20">
        <v>45125</v>
      </c>
      <c r="T222" s="20">
        <v>45126</v>
      </c>
      <c r="U222" s="10">
        <v>1</v>
      </c>
      <c r="V222" s="3">
        <v>0.441</v>
      </c>
      <c r="W222" s="3" t="s">
        <v>256</v>
      </c>
      <c r="X222" t="s">
        <v>36</v>
      </c>
      <c r="Y222" s="7">
        <v>2</v>
      </c>
      <c r="Z222" s="11" t="s">
        <v>54</v>
      </c>
      <c r="AA222" s="36">
        <v>45474</v>
      </c>
      <c r="AB222" s="36">
        <v>45475</v>
      </c>
      <c r="AC222" s="29">
        <v>8.9546978779862307</v>
      </c>
      <c r="AD222" s="7">
        <v>4</v>
      </c>
      <c r="AE222" s="26" t="s">
        <v>55</v>
      </c>
      <c r="AF222" s="26" t="s">
        <v>205</v>
      </c>
      <c r="AG222" s="26" t="s">
        <v>173</v>
      </c>
      <c r="AH222" s="26" t="s">
        <v>221</v>
      </c>
      <c r="AI222" s="7">
        <v>361</v>
      </c>
      <c r="AJ222" t="s">
        <v>1674</v>
      </c>
      <c r="AK222" t="s">
        <v>1693</v>
      </c>
    </row>
    <row r="223" spans="1:39">
      <c r="A223" s="2" t="s">
        <v>1442</v>
      </c>
      <c r="B223" s="103">
        <v>45125</v>
      </c>
      <c r="C223" s="2" t="s">
        <v>487</v>
      </c>
      <c r="D223" s="6">
        <v>3</v>
      </c>
      <c r="E223" s="6">
        <v>82</v>
      </c>
      <c r="F223" s="6">
        <v>7</v>
      </c>
      <c r="G223" s="6" t="s">
        <v>256</v>
      </c>
      <c r="H223" s="6" t="s">
        <v>256</v>
      </c>
      <c r="I223" s="24" t="s">
        <v>4</v>
      </c>
      <c r="J223" s="24" t="s">
        <v>253</v>
      </c>
      <c r="K223" s="6">
        <v>300</v>
      </c>
      <c r="L223" s="6">
        <v>6</v>
      </c>
      <c r="M223" s="6">
        <v>22</v>
      </c>
      <c r="N223" s="6" t="s">
        <v>493</v>
      </c>
      <c r="O223" s="6" t="s">
        <v>493</v>
      </c>
      <c r="P223" s="6" t="s">
        <v>493</v>
      </c>
      <c r="Q223" s="6" t="s">
        <v>493</v>
      </c>
      <c r="R223" s="8">
        <v>3.67</v>
      </c>
      <c r="S223" s="20">
        <v>45125</v>
      </c>
      <c r="T223" s="20">
        <v>45126</v>
      </c>
      <c r="U223" s="10">
        <v>1</v>
      </c>
      <c r="V223" s="3">
        <v>0.93100000000000005</v>
      </c>
      <c r="W223" s="3" t="s">
        <v>256</v>
      </c>
      <c r="X223" t="s">
        <v>36</v>
      </c>
      <c r="Y223" s="7">
        <v>2</v>
      </c>
      <c r="Z223" s="11" t="s">
        <v>56</v>
      </c>
      <c r="AA223" s="36">
        <v>45474</v>
      </c>
      <c r="AB223" s="36">
        <v>45475</v>
      </c>
      <c r="AC223" s="29">
        <v>7.8193765219361051</v>
      </c>
      <c r="AD223" s="7">
        <v>4</v>
      </c>
      <c r="AE223" s="26" t="s">
        <v>57</v>
      </c>
      <c r="AF223" s="26" t="s">
        <v>207</v>
      </c>
      <c r="AG223" s="26" t="s">
        <v>173</v>
      </c>
      <c r="AH223" s="26" t="s">
        <v>221</v>
      </c>
      <c r="AI223" s="7">
        <v>373</v>
      </c>
      <c r="AJ223" t="s">
        <v>1675</v>
      </c>
      <c r="AK223" t="s">
        <v>1693</v>
      </c>
    </row>
    <row r="224" spans="1:39">
      <c r="A224" s="2" t="s">
        <v>1443</v>
      </c>
      <c r="B224" s="103">
        <v>45125</v>
      </c>
      <c r="C224" s="2" t="s">
        <v>487</v>
      </c>
      <c r="D224" s="6">
        <v>3</v>
      </c>
      <c r="E224" s="6">
        <v>87</v>
      </c>
      <c r="F224" s="6">
        <v>8</v>
      </c>
      <c r="G224" s="6" t="s">
        <v>256</v>
      </c>
      <c r="H224" s="6" t="s">
        <v>256</v>
      </c>
      <c r="I224" s="24" t="s">
        <v>6</v>
      </c>
      <c r="J224" s="24" t="s">
        <v>254</v>
      </c>
      <c r="K224" s="6">
        <v>300</v>
      </c>
      <c r="L224" s="6">
        <v>5</v>
      </c>
      <c r="M224" s="6">
        <v>15</v>
      </c>
      <c r="N224" s="6" t="s">
        <v>493</v>
      </c>
      <c r="O224" s="6" t="s">
        <v>493</v>
      </c>
      <c r="P224" s="6" t="s">
        <v>493</v>
      </c>
      <c r="Q224" s="6" t="s">
        <v>493</v>
      </c>
      <c r="R224" s="8">
        <v>2.27</v>
      </c>
      <c r="S224" s="20">
        <v>45125</v>
      </c>
      <c r="T224" s="20">
        <v>45126</v>
      </c>
      <c r="U224" s="10">
        <v>1</v>
      </c>
      <c r="V224" s="3">
        <v>0.1</v>
      </c>
      <c r="W224" s="3" t="s">
        <v>256</v>
      </c>
      <c r="X224" t="s">
        <v>36</v>
      </c>
      <c r="Y224" s="7">
        <v>2</v>
      </c>
      <c r="Z224" s="11" t="s">
        <v>79</v>
      </c>
      <c r="AA224" s="36">
        <v>45474</v>
      </c>
      <c r="AB224" s="36">
        <v>45475</v>
      </c>
      <c r="AC224" s="29">
        <v>18.09579500683607</v>
      </c>
      <c r="AD224" s="7">
        <v>4</v>
      </c>
      <c r="AE224" s="26" t="s">
        <v>42</v>
      </c>
      <c r="AF224" s="26" t="s">
        <v>193</v>
      </c>
      <c r="AG224" s="26" t="s">
        <v>174</v>
      </c>
      <c r="AH224" s="26" t="s">
        <v>222</v>
      </c>
      <c r="AI224" s="7">
        <v>290</v>
      </c>
      <c r="AJ224" t="s">
        <v>1676</v>
      </c>
      <c r="AK224" t="s">
        <v>1693</v>
      </c>
    </row>
    <row r="225" spans="1:39">
      <c r="A225" s="2" t="s">
        <v>1444</v>
      </c>
      <c r="B225" s="103">
        <v>45125</v>
      </c>
      <c r="C225" s="2" t="s">
        <v>487</v>
      </c>
      <c r="D225" s="6">
        <v>3</v>
      </c>
      <c r="E225" s="6">
        <v>88</v>
      </c>
      <c r="F225" s="6">
        <v>8</v>
      </c>
      <c r="G225" s="6" t="s">
        <v>256</v>
      </c>
      <c r="H225" s="6" t="s">
        <v>256</v>
      </c>
      <c r="I225" s="24" t="s">
        <v>6</v>
      </c>
      <c r="J225" s="24" t="s">
        <v>253</v>
      </c>
      <c r="K225" s="6">
        <v>300</v>
      </c>
      <c r="L225" s="6">
        <v>5</v>
      </c>
      <c r="M225" s="6">
        <v>16</v>
      </c>
      <c r="N225" s="6" t="s">
        <v>493</v>
      </c>
      <c r="O225" s="6" t="s">
        <v>493</v>
      </c>
      <c r="P225" s="6" t="s">
        <v>493</v>
      </c>
      <c r="Q225" s="6" t="s">
        <v>493</v>
      </c>
      <c r="R225" s="8">
        <v>2.33</v>
      </c>
      <c r="S225" s="20">
        <v>45125</v>
      </c>
      <c r="T225" s="20">
        <v>45126</v>
      </c>
      <c r="U225" s="10">
        <v>1</v>
      </c>
      <c r="V225" s="3">
        <v>0.312</v>
      </c>
      <c r="W225" s="3" t="s">
        <v>256</v>
      </c>
      <c r="X225" t="s">
        <v>36</v>
      </c>
      <c r="Y225" s="7">
        <v>2</v>
      </c>
      <c r="Z225" s="11" t="s">
        <v>78</v>
      </c>
      <c r="AA225" s="36">
        <v>45474</v>
      </c>
      <c r="AB225" s="36">
        <v>45475</v>
      </c>
      <c r="AC225" s="29">
        <v>12.740109437824106</v>
      </c>
      <c r="AD225" s="7">
        <v>4</v>
      </c>
      <c r="AE225" s="26" t="s">
        <v>45</v>
      </c>
      <c r="AF225" s="26" t="s">
        <v>195</v>
      </c>
      <c r="AG225" s="26" t="s">
        <v>174</v>
      </c>
      <c r="AH225" s="26" t="s">
        <v>222</v>
      </c>
      <c r="AI225" s="7">
        <v>302</v>
      </c>
      <c r="AJ225" t="s">
        <v>1677</v>
      </c>
      <c r="AK225" t="s">
        <v>1693</v>
      </c>
    </row>
    <row r="226" spans="1:39">
      <c r="A226" s="2" t="s">
        <v>1445</v>
      </c>
      <c r="B226" s="103">
        <v>45125</v>
      </c>
      <c r="C226" s="2" t="s">
        <v>487</v>
      </c>
      <c r="D226" s="6">
        <v>3</v>
      </c>
      <c r="E226" s="6">
        <v>89</v>
      </c>
      <c r="F226" s="6">
        <v>8</v>
      </c>
      <c r="G226" s="6" t="s">
        <v>256</v>
      </c>
      <c r="H226" s="6" t="s">
        <v>256</v>
      </c>
      <c r="I226" s="24" t="s">
        <v>6</v>
      </c>
      <c r="J226" s="24" t="s">
        <v>255</v>
      </c>
      <c r="K226" s="6">
        <v>300</v>
      </c>
      <c r="L226" s="6">
        <v>5</v>
      </c>
      <c r="M226" s="6">
        <v>17</v>
      </c>
      <c r="N226" s="6" t="s">
        <v>493</v>
      </c>
      <c r="O226" s="6" t="s">
        <v>493</v>
      </c>
      <c r="P226" s="6" t="s">
        <v>493</v>
      </c>
      <c r="Q226" s="6" t="s">
        <v>493</v>
      </c>
      <c r="R226" s="8">
        <v>3.25</v>
      </c>
      <c r="S226" s="20">
        <v>45125</v>
      </c>
      <c r="T226" s="20">
        <v>45126</v>
      </c>
      <c r="U226" s="10">
        <v>1</v>
      </c>
      <c r="V226" s="3">
        <v>0.61299999999999999</v>
      </c>
      <c r="W226" s="3" t="s">
        <v>256</v>
      </c>
      <c r="X226" t="s">
        <v>36</v>
      </c>
      <c r="Y226" s="7">
        <v>2</v>
      </c>
      <c r="Z226" s="11" t="s">
        <v>80</v>
      </c>
      <c r="AA226" s="36">
        <v>45474</v>
      </c>
      <c r="AB226" s="36">
        <v>45475</v>
      </c>
      <c r="AC226" s="29">
        <v>14.765535883309468</v>
      </c>
      <c r="AD226" s="7">
        <v>4</v>
      </c>
      <c r="AE226" s="26" t="s">
        <v>47</v>
      </c>
      <c r="AF226" s="26" t="s">
        <v>197</v>
      </c>
      <c r="AG226" s="26" t="s">
        <v>174</v>
      </c>
      <c r="AH226" s="26" t="s">
        <v>222</v>
      </c>
      <c r="AI226" s="7">
        <v>314</v>
      </c>
      <c r="AJ226" t="s">
        <v>1678</v>
      </c>
      <c r="AK226" t="s">
        <v>1693</v>
      </c>
    </row>
    <row r="227" spans="1:39">
      <c r="A227" s="2" t="s">
        <v>1446</v>
      </c>
      <c r="B227" s="103">
        <v>45125</v>
      </c>
      <c r="C227" s="2" t="s">
        <v>487</v>
      </c>
      <c r="D227" s="6">
        <v>3</v>
      </c>
      <c r="E227" s="6">
        <v>91</v>
      </c>
      <c r="F227" s="6">
        <v>8</v>
      </c>
      <c r="G227" s="6" t="s">
        <v>256</v>
      </c>
      <c r="H227" s="6" t="s">
        <v>256</v>
      </c>
      <c r="I227" s="24" t="s">
        <v>6</v>
      </c>
      <c r="J227" s="24" t="s">
        <v>40</v>
      </c>
      <c r="K227" s="6">
        <v>300</v>
      </c>
      <c r="L227" s="6">
        <v>5</v>
      </c>
      <c r="M227" s="6">
        <v>19</v>
      </c>
      <c r="N227" s="6" t="s">
        <v>493</v>
      </c>
      <c r="O227" s="6" t="s">
        <v>493</v>
      </c>
      <c r="P227" s="6" t="s">
        <v>493</v>
      </c>
      <c r="Q227" s="6" t="s">
        <v>493</v>
      </c>
      <c r="R227" s="8">
        <v>1.97</v>
      </c>
      <c r="S227" s="20">
        <v>45125</v>
      </c>
      <c r="T227" s="20">
        <v>45126</v>
      </c>
      <c r="U227" s="10">
        <v>1</v>
      </c>
      <c r="V227" s="3">
        <v>0.15</v>
      </c>
      <c r="W227" s="3" t="s">
        <v>256</v>
      </c>
      <c r="X227" t="s">
        <v>36</v>
      </c>
      <c r="Y227" s="7">
        <v>2</v>
      </c>
      <c r="Z227" s="11" t="s">
        <v>143</v>
      </c>
      <c r="AA227" s="36">
        <v>45474</v>
      </c>
      <c r="AB227" s="36">
        <v>45475</v>
      </c>
      <c r="AC227" s="29">
        <v>12.66493540114393</v>
      </c>
      <c r="AD227" s="7">
        <v>4</v>
      </c>
      <c r="AE227" s="26" t="s">
        <v>49</v>
      </c>
      <c r="AF227" s="26" t="s">
        <v>199</v>
      </c>
      <c r="AG227" s="26" t="s">
        <v>174</v>
      </c>
      <c r="AH227" s="26" t="s">
        <v>222</v>
      </c>
      <c r="AI227" s="7">
        <v>326</v>
      </c>
      <c r="AJ227" t="s">
        <v>1679</v>
      </c>
      <c r="AK227" t="s">
        <v>1693</v>
      </c>
    </row>
    <row r="228" spans="1:39">
      <c r="A228" s="2" t="s">
        <v>1447</v>
      </c>
      <c r="B228" s="103">
        <v>45125</v>
      </c>
      <c r="C228" s="2" t="s">
        <v>487</v>
      </c>
      <c r="D228" s="6">
        <v>3</v>
      </c>
      <c r="E228" s="6">
        <v>98</v>
      </c>
      <c r="F228" s="6">
        <v>9</v>
      </c>
      <c r="G228" s="6" t="s">
        <v>256</v>
      </c>
      <c r="H228" s="6" t="s">
        <v>256</v>
      </c>
      <c r="I228" s="24" t="s">
        <v>5</v>
      </c>
      <c r="J228" s="24" t="s">
        <v>253</v>
      </c>
      <c r="K228" s="6">
        <v>300</v>
      </c>
      <c r="L228" s="6">
        <v>4</v>
      </c>
      <c r="M228" s="6">
        <v>14</v>
      </c>
      <c r="N228" s="6" t="s">
        <v>493</v>
      </c>
      <c r="O228" s="6" t="s">
        <v>493</v>
      </c>
      <c r="P228" s="6" t="s">
        <v>493</v>
      </c>
      <c r="Q228" s="6" t="s">
        <v>493</v>
      </c>
      <c r="R228" s="8">
        <v>5.81</v>
      </c>
      <c r="S228" s="20">
        <v>45125</v>
      </c>
      <c r="T228" s="20">
        <v>45126</v>
      </c>
      <c r="U228" s="10">
        <v>1</v>
      </c>
      <c r="V228" s="3">
        <v>2.9740000000000002</v>
      </c>
      <c r="W228" s="3" t="s">
        <v>256</v>
      </c>
      <c r="X228" t="s">
        <v>36</v>
      </c>
      <c r="Y228" s="7">
        <v>2</v>
      </c>
      <c r="Z228" s="11" t="s">
        <v>144</v>
      </c>
      <c r="AA228" s="36">
        <v>45474</v>
      </c>
      <c r="AB228" s="36">
        <v>45475</v>
      </c>
      <c r="AC228" s="29">
        <v>11.868636689076038</v>
      </c>
      <c r="AD228" s="7">
        <v>4</v>
      </c>
      <c r="AE228" s="26" t="s">
        <v>51</v>
      </c>
      <c r="AF228" s="26" t="s">
        <v>201</v>
      </c>
      <c r="AG228" s="26" t="s">
        <v>174</v>
      </c>
      <c r="AH228" s="26" t="s">
        <v>222</v>
      </c>
      <c r="AI228" s="7">
        <v>338</v>
      </c>
      <c r="AJ228" t="s">
        <v>1680</v>
      </c>
      <c r="AK228" t="s">
        <v>1693</v>
      </c>
    </row>
    <row r="229" spans="1:39">
      <c r="A229" s="2" t="s">
        <v>1448</v>
      </c>
      <c r="B229" s="103">
        <v>45125</v>
      </c>
      <c r="C229" s="2" t="s">
        <v>487</v>
      </c>
      <c r="D229" s="6">
        <v>3</v>
      </c>
      <c r="E229" s="6">
        <v>100</v>
      </c>
      <c r="F229" s="6">
        <v>9</v>
      </c>
      <c r="G229" s="6" t="s">
        <v>256</v>
      </c>
      <c r="H229" s="6" t="s">
        <v>256</v>
      </c>
      <c r="I229" s="24" t="s">
        <v>5</v>
      </c>
      <c r="J229" s="24" t="s">
        <v>40</v>
      </c>
      <c r="K229" s="6">
        <v>300</v>
      </c>
      <c r="L229" s="6">
        <v>4</v>
      </c>
      <c r="M229" s="6">
        <v>16</v>
      </c>
      <c r="N229" s="6" t="s">
        <v>493</v>
      </c>
      <c r="O229" s="6" t="s">
        <v>493</v>
      </c>
      <c r="P229" s="6" t="s">
        <v>493</v>
      </c>
      <c r="Q229" s="6" t="s">
        <v>493</v>
      </c>
      <c r="R229" s="8">
        <v>4.71</v>
      </c>
      <c r="S229" s="20">
        <v>45125</v>
      </c>
      <c r="T229" s="20">
        <v>45126</v>
      </c>
      <c r="U229" s="10">
        <v>1</v>
      </c>
      <c r="V229" s="3">
        <v>0.378</v>
      </c>
      <c r="W229" s="3" t="s">
        <v>256</v>
      </c>
      <c r="X229" t="s">
        <v>36</v>
      </c>
      <c r="Y229" s="7">
        <v>2</v>
      </c>
      <c r="Z229" s="11" t="s">
        <v>145</v>
      </c>
      <c r="AA229" s="36">
        <v>45474</v>
      </c>
      <c r="AB229" s="36">
        <v>45475</v>
      </c>
      <c r="AC229" s="29">
        <v>9.4068418359504573</v>
      </c>
      <c r="AD229" s="7">
        <v>4</v>
      </c>
      <c r="AE229" s="26" t="s">
        <v>53</v>
      </c>
      <c r="AF229" s="26" t="s">
        <v>203</v>
      </c>
      <c r="AG229" s="26" t="s">
        <v>174</v>
      </c>
      <c r="AH229" s="26" t="s">
        <v>222</v>
      </c>
      <c r="AI229" s="7">
        <v>350</v>
      </c>
      <c r="AJ229" t="s">
        <v>1681</v>
      </c>
      <c r="AK229" t="s">
        <v>1693</v>
      </c>
    </row>
    <row r="230" spans="1:39">
      <c r="A230" s="2" t="s">
        <v>1449</v>
      </c>
      <c r="B230" s="103">
        <v>45125</v>
      </c>
      <c r="C230" s="2" t="s">
        <v>487</v>
      </c>
      <c r="D230" s="6">
        <v>3</v>
      </c>
      <c r="E230" s="6">
        <v>104</v>
      </c>
      <c r="F230" s="6">
        <v>9</v>
      </c>
      <c r="G230" s="6" t="s">
        <v>256</v>
      </c>
      <c r="H230" s="6" t="s">
        <v>256</v>
      </c>
      <c r="I230" s="24" t="s">
        <v>5</v>
      </c>
      <c r="J230" s="24" t="s">
        <v>254</v>
      </c>
      <c r="K230" s="6">
        <v>300</v>
      </c>
      <c r="L230" s="6">
        <v>4</v>
      </c>
      <c r="M230" s="6">
        <v>20</v>
      </c>
      <c r="N230" s="6" t="s">
        <v>493</v>
      </c>
      <c r="O230" s="6" t="s">
        <v>493</v>
      </c>
      <c r="P230" s="6" t="s">
        <v>493</v>
      </c>
      <c r="Q230" s="6" t="s">
        <v>493</v>
      </c>
      <c r="R230" s="8">
        <v>4.21</v>
      </c>
      <c r="S230" s="20">
        <v>45125</v>
      </c>
      <c r="T230" s="20">
        <v>45126</v>
      </c>
      <c r="U230" s="10">
        <v>1</v>
      </c>
      <c r="V230" s="3">
        <v>1.8839999999999999</v>
      </c>
      <c r="W230" s="3" t="s">
        <v>256</v>
      </c>
      <c r="X230" t="s">
        <v>36</v>
      </c>
      <c r="Y230" s="7">
        <v>2</v>
      </c>
      <c r="Z230" s="11" t="s">
        <v>84</v>
      </c>
      <c r="AA230" s="36">
        <v>45474</v>
      </c>
      <c r="AB230" s="36">
        <v>45475</v>
      </c>
      <c r="AC230" s="29">
        <v>10.890931788947407</v>
      </c>
      <c r="AD230" s="7">
        <v>4</v>
      </c>
      <c r="AE230" s="26" t="s">
        <v>55</v>
      </c>
      <c r="AF230" s="26" t="s">
        <v>205</v>
      </c>
      <c r="AG230" s="26" t="s">
        <v>174</v>
      </c>
      <c r="AH230" s="26" t="s">
        <v>222</v>
      </c>
      <c r="AI230" s="7">
        <v>362</v>
      </c>
      <c r="AJ230" t="s">
        <v>1682</v>
      </c>
      <c r="AK230" t="s">
        <v>1693</v>
      </c>
    </row>
    <row r="231" spans="1:39">
      <c r="A231" s="2" t="s">
        <v>1450</v>
      </c>
      <c r="B231" s="103">
        <v>45125</v>
      </c>
      <c r="C231" s="2" t="s">
        <v>487</v>
      </c>
      <c r="D231" s="6">
        <v>3</v>
      </c>
      <c r="E231" s="6">
        <v>107</v>
      </c>
      <c r="F231" s="6">
        <v>9</v>
      </c>
      <c r="G231" s="6" t="s">
        <v>256</v>
      </c>
      <c r="H231" s="6" t="s">
        <v>256</v>
      </c>
      <c r="I231" s="24" t="s">
        <v>5</v>
      </c>
      <c r="J231" s="24" t="s">
        <v>255</v>
      </c>
      <c r="K231" s="6">
        <v>300</v>
      </c>
      <c r="L231" s="6">
        <v>4</v>
      </c>
      <c r="M231" s="6">
        <v>23</v>
      </c>
      <c r="N231" s="6" t="s">
        <v>493</v>
      </c>
      <c r="O231" s="6" t="s">
        <v>493</v>
      </c>
      <c r="P231" s="6" t="s">
        <v>493</v>
      </c>
      <c r="Q231" s="6" t="s">
        <v>493</v>
      </c>
      <c r="R231" s="8">
        <v>4.16</v>
      </c>
      <c r="S231" s="20">
        <v>45125</v>
      </c>
      <c r="T231" s="20">
        <v>45126</v>
      </c>
      <c r="U231" s="10">
        <v>1</v>
      </c>
      <c r="V231" s="3">
        <v>1.3280000000000001</v>
      </c>
      <c r="W231" s="3" t="s">
        <v>256</v>
      </c>
      <c r="X231" t="s">
        <v>36</v>
      </c>
      <c r="Y231" s="7">
        <v>2</v>
      </c>
      <c r="Z231" s="11" t="s">
        <v>85</v>
      </c>
      <c r="AA231" s="36">
        <v>45474</v>
      </c>
      <c r="AB231" s="36">
        <v>45475</v>
      </c>
      <c r="AC231" s="29">
        <v>4.2215524355022689</v>
      </c>
      <c r="AD231" s="7">
        <v>4</v>
      </c>
      <c r="AE231" s="26" t="s">
        <v>57</v>
      </c>
      <c r="AF231" s="26" t="s">
        <v>207</v>
      </c>
      <c r="AG231" s="26" t="s">
        <v>174</v>
      </c>
      <c r="AH231" s="26" t="s">
        <v>222</v>
      </c>
      <c r="AI231" s="7">
        <v>374</v>
      </c>
      <c r="AJ231" t="s">
        <v>1683</v>
      </c>
      <c r="AK231" t="s">
        <v>1693</v>
      </c>
    </row>
    <row r="232" spans="1:39">
      <c r="A232" s="5" t="s">
        <v>758</v>
      </c>
      <c r="B232" s="12" t="s">
        <v>256</v>
      </c>
      <c r="C232" s="5" t="s">
        <v>256</v>
      </c>
      <c r="D232" s="8" t="s">
        <v>256</v>
      </c>
      <c r="E232" s="8" t="s">
        <v>256</v>
      </c>
      <c r="F232" s="8" t="s">
        <v>256</v>
      </c>
      <c r="G232" s="6" t="s">
        <v>256</v>
      </c>
      <c r="H232" s="6" t="s">
        <v>256</v>
      </c>
      <c r="I232" s="31" t="s">
        <v>256</v>
      </c>
      <c r="J232" s="31" t="s">
        <v>256</v>
      </c>
      <c r="K232" s="8" t="s">
        <v>256</v>
      </c>
      <c r="L232" s="8" t="s">
        <v>256</v>
      </c>
      <c r="M232" s="8" t="s">
        <v>256</v>
      </c>
      <c r="N232" s="8" t="s">
        <v>256</v>
      </c>
      <c r="O232" s="8" t="s">
        <v>256</v>
      </c>
      <c r="P232" s="8" t="s">
        <v>256</v>
      </c>
      <c r="Q232" s="8" t="s">
        <v>256</v>
      </c>
      <c r="R232" s="8" t="s">
        <v>256</v>
      </c>
      <c r="S232" s="27" t="s">
        <v>256</v>
      </c>
      <c r="T232" s="27" t="s">
        <v>256</v>
      </c>
      <c r="U232" s="3" t="s">
        <v>256</v>
      </c>
      <c r="V232" s="3" t="s">
        <v>256</v>
      </c>
      <c r="W232" s="3" t="s">
        <v>256</v>
      </c>
      <c r="X232" t="s">
        <v>36</v>
      </c>
      <c r="Y232" s="7">
        <v>2</v>
      </c>
      <c r="Z232" s="11" t="s">
        <v>137</v>
      </c>
      <c r="AA232" s="36">
        <v>45474</v>
      </c>
      <c r="AB232" s="36">
        <v>45475</v>
      </c>
      <c r="AC232" s="29">
        <v>7.2734388272698594</v>
      </c>
      <c r="AD232" s="7">
        <v>4</v>
      </c>
      <c r="AE232" s="26" t="s">
        <v>208</v>
      </c>
      <c r="AF232" s="26" t="s">
        <v>201</v>
      </c>
      <c r="AG232" s="26" t="s">
        <v>238</v>
      </c>
      <c r="AH232" s="26" t="s">
        <v>239</v>
      </c>
      <c r="AI232" s="7">
        <v>348</v>
      </c>
      <c r="AJ232" t="s">
        <v>1684</v>
      </c>
      <c r="AK232" t="s">
        <v>1693</v>
      </c>
      <c r="AM232" t="s">
        <v>1773</v>
      </c>
    </row>
    <row r="233" spans="1:39">
      <c r="A233" s="5" t="s">
        <v>759</v>
      </c>
      <c r="B233" s="12" t="s">
        <v>256</v>
      </c>
      <c r="C233" s="5" t="s">
        <v>256</v>
      </c>
      <c r="D233" s="8" t="s">
        <v>256</v>
      </c>
      <c r="E233" s="8" t="s">
        <v>256</v>
      </c>
      <c r="F233" s="8" t="s">
        <v>256</v>
      </c>
      <c r="G233" s="6" t="s">
        <v>256</v>
      </c>
      <c r="H233" s="6" t="s">
        <v>256</v>
      </c>
      <c r="I233" s="31" t="s">
        <v>256</v>
      </c>
      <c r="J233" s="31" t="s">
        <v>256</v>
      </c>
      <c r="K233" s="8" t="s">
        <v>256</v>
      </c>
      <c r="L233" s="8" t="s">
        <v>256</v>
      </c>
      <c r="M233" s="8" t="s">
        <v>256</v>
      </c>
      <c r="N233" s="8" t="s">
        <v>256</v>
      </c>
      <c r="O233" s="8" t="s">
        <v>256</v>
      </c>
      <c r="P233" s="8" t="s">
        <v>256</v>
      </c>
      <c r="Q233" s="8" t="s">
        <v>256</v>
      </c>
      <c r="R233" s="8" t="s">
        <v>256</v>
      </c>
      <c r="S233" s="27" t="s">
        <v>256</v>
      </c>
      <c r="T233" s="27" t="s">
        <v>256</v>
      </c>
      <c r="U233" s="3" t="s">
        <v>256</v>
      </c>
      <c r="V233" s="3" t="s">
        <v>256</v>
      </c>
      <c r="W233" s="3" t="s">
        <v>256</v>
      </c>
      <c r="X233" t="s">
        <v>36</v>
      </c>
      <c r="Y233" s="7">
        <v>2</v>
      </c>
      <c r="Z233" s="11" t="s">
        <v>138</v>
      </c>
      <c r="AA233" s="36">
        <v>45474</v>
      </c>
      <c r="AB233" s="36">
        <v>45475</v>
      </c>
      <c r="AC233" s="29">
        <v>20.546946419759077</v>
      </c>
      <c r="AD233" s="7">
        <v>4</v>
      </c>
      <c r="AE233" s="26" t="s">
        <v>49</v>
      </c>
      <c r="AF233" s="26" t="s">
        <v>203</v>
      </c>
      <c r="AG233" s="26" t="s">
        <v>238</v>
      </c>
      <c r="AH233" s="26" t="s">
        <v>239</v>
      </c>
      <c r="AI233" s="7">
        <v>360</v>
      </c>
      <c r="AJ233" t="s">
        <v>1685</v>
      </c>
      <c r="AK233" t="s">
        <v>1693</v>
      </c>
      <c r="AM233" t="s">
        <v>1774</v>
      </c>
    </row>
    <row r="234" spans="1:39">
      <c r="A234" s="2" t="s">
        <v>1155</v>
      </c>
      <c r="B234" s="20">
        <v>45098</v>
      </c>
      <c r="C234" s="2" t="s">
        <v>487</v>
      </c>
      <c r="D234" s="8" t="s">
        <v>256</v>
      </c>
      <c r="E234" s="6" t="s">
        <v>38</v>
      </c>
      <c r="F234" s="8" t="s">
        <v>256</v>
      </c>
      <c r="G234" s="6" t="s">
        <v>256</v>
      </c>
      <c r="H234" s="6" t="s">
        <v>256</v>
      </c>
      <c r="I234" s="24" t="s">
        <v>5</v>
      </c>
      <c r="J234" s="24" t="s">
        <v>40</v>
      </c>
      <c r="K234" s="6">
        <v>300</v>
      </c>
      <c r="L234" s="8" t="s">
        <v>256</v>
      </c>
      <c r="M234" s="8" t="s">
        <v>256</v>
      </c>
      <c r="N234" s="8" t="s">
        <v>256</v>
      </c>
      <c r="O234" s="8" t="s">
        <v>256</v>
      </c>
      <c r="P234" s="8" t="s">
        <v>256</v>
      </c>
      <c r="Q234" s="8" t="s">
        <v>256</v>
      </c>
      <c r="R234" s="6">
        <v>0.8</v>
      </c>
      <c r="S234" s="20">
        <v>45097</v>
      </c>
      <c r="T234" s="20">
        <v>45098</v>
      </c>
      <c r="U234" s="10">
        <v>1</v>
      </c>
      <c r="V234" s="2">
        <v>0.8</v>
      </c>
      <c r="W234" s="3" t="s">
        <v>256</v>
      </c>
      <c r="X234" t="s">
        <v>36</v>
      </c>
      <c r="Y234" s="13" t="s">
        <v>247</v>
      </c>
      <c r="Z234" s="12" t="s">
        <v>41</v>
      </c>
      <c r="AA234" s="17">
        <v>45161</v>
      </c>
      <c r="AB234" s="17">
        <v>45226</v>
      </c>
      <c r="AC234" s="15">
        <v>28.763884311996023</v>
      </c>
      <c r="AD234" s="13">
        <v>3</v>
      </c>
      <c r="AE234" s="1" t="s">
        <v>42</v>
      </c>
      <c r="AF234" s="24" t="s">
        <v>193</v>
      </c>
      <c r="AG234" s="1" t="s">
        <v>43</v>
      </c>
      <c r="AH234" s="24" t="s">
        <v>213</v>
      </c>
      <c r="AI234" s="13">
        <v>101</v>
      </c>
      <c r="AJ234" s="5" t="s">
        <v>1775</v>
      </c>
      <c r="AK234" s="5" t="s">
        <v>1695</v>
      </c>
      <c r="AL234" t="s">
        <v>1809</v>
      </c>
    </row>
    <row r="235" spans="1:39">
      <c r="A235" s="2" t="s">
        <v>1156</v>
      </c>
      <c r="B235" s="20">
        <v>45098</v>
      </c>
      <c r="C235" s="2" t="s">
        <v>487</v>
      </c>
      <c r="D235" s="8" t="s">
        <v>256</v>
      </c>
      <c r="E235" s="6" t="s">
        <v>39</v>
      </c>
      <c r="F235" s="8" t="s">
        <v>256</v>
      </c>
      <c r="G235" s="6" t="s">
        <v>256</v>
      </c>
      <c r="H235" s="6" t="s">
        <v>256</v>
      </c>
      <c r="I235" s="24" t="s">
        <v>5</v>
      </c>
      <c r="J235" s="24" t="s">
        <v>255</v>
      </c>
      <c r="K235" s="6">
        <v>300</v>
      </c>
      <c r="L235" s="8" t="s">
        <v>256</v>
      </c>
      <c r="M235" s="8" t="s">
        <v>256</v>
      </c>
      <c r="N235" s="8" t="s">
        <v>256</v>
      </c>
      <c r="O235" s="8" t="s">
        <v>256</v>
      </c>
      <c r="P235" s="8" t="s">
        <v>256</v>
      </c>
      <c r="Q235" s="8" t="s">
        <v>256</v>
      </c>
      <c r="R235" s="6">
        <v>3.93</v>
      </c>
      <c r="S235" s="20">
        <v>45097</v>
      </c>
      <c r="T235" s="20">
        <v>45098</v>
      </c>
      <c r="U235" s="10">
        <v>1</v>
      </c>
      <c r="V235" s="2">
        <v>8.44</v>
      </c>
      <c r="W235" s="3" t="s">
        <v>256</v>
      </c>
      <c r="X235" t="s">
        <v>36</v>
      </c>
      <c r="Y235" s="13" t="s">
        <v>247</v>
      </c>
      <c r="Z235" s="12" t="s">
        <v>44</v>
      </c>
      <c r="AA235" s="17">
        <v>45161</v>
      </c>
      <c r="AB235" s="17">
        <v>45226</v>
      </c>
      <c r="AC235" s="15">
        <v>33.261564823235716</v>
      </c>
      <c r="AD235" s="13">
        <v>3</v>
      </c>
      <c r="AE235" s="1" t="s">
        <v>194</v>
      </c>
      <c r="AF235" s="24" t="s">
        <v>195</v>
      </c>
      <c r="AG235" s="1" t="s">
        <v>43</v>
      </c>
      <c r="AH235" s="24" t="s">
        <v>213</v>
      </c>
      <c r="AI235" s="13">
        <v>113</v>
      </c>
      <c r="AJ235" s="5" t="s">
        <v>1776</v>
      </c>
      <c r="AK235" s="5" t="s">
        <v>1695</v>
      </c>
      <c r="AL235" t="s">
        <v>1810</v>
      </c>
    </row>
    <row r="236" spans="1:39">
      <c r="A236" s="2" t="s">
        <v>1157</v>
      </c>
      <c r="B236" s="20">
        <v>45098</v>
      </c>
      <c r="C236" s="2" t="s">
        <v>487</v>
      </c>
      <c r="D236" s="6">
        <v>2</v>
      </c>
      <c r="E236" s="6">
        <v>66</v>
      </c>
      <c r="F236" s="6">
        <v>6</v>
      </c>
      <c r="G236" s="6" t="s">
        <v>256</v>
      </c>
      <c r="H236" s="6" t="s">
        <v>256</v>
      </c>
      <c r="I236" s="24" t="s">
        <v>5</v>
      </c>
      <c r="J236" s="24" t="s">
        <v>254</v>
      </c>
      <c r="K236" s="6">
        <v>300</v>
      </c>
      <c r="L236" s="6">
        <v>1</v>
      </c>
      <c r="M236" s="6">
        <v>6</v>
      </c>
      <c r="N236" s="6" t="s">
        <v>493</v>
      </c>
      <c r="O236" s="6" t="s">
        <v>493</v>
      </c>
      <c r="P236" s="6" t="s">
        <v>493</v>
      </c>
      <c r="Q236" s="6" t="s">
        <v>493</v>
      </c>
      <c r="R236" s="6">
        <v>1.88</v>
      </c>
      <c r="S236" s="20">
        <v>45097</v>
      </c>
      <c r="T236" s="20">
        <v>45098</v>
      </c>
      <c r="U236" s="10">
        <v>1</v>
      </c>
      <c r="V236" s="2">
        <v>5.7</v>
      </c>
      <c r="W236" s="3" t="s">
        <v>256</v>
      </c>
      <c r="X236" t="s">
        <v>36</v>
      </c>
      <c r="Y236" s="13" t="s">
        <v>247</v>
      </c>
      <c r="Z236" s="12" t="s">
        <v>46</v>
      </c>
      <c r="AA236" s="17">
        <v>45161</v>
      </c>
      <c r="AB236" s="17">
        <v>45226</v>
      </c>
      <c r="AC236" s="15">
        <v>24.252763735805157</v>
      </c>
      <c r="AD236" s="13">
        <v>3</v>
      </c>
      <c r="AE236" s="1" t="s">
        <v>196</v>
      </c>
      <c r="AF236" s="24" t="s">
        <v>197</v>
      </c>
      <c r="AG236" s="1" t="s">
        <v>43</v>
      </c>
      <c r="AH236" s="24" t="s">
        <v>213</v>
      </c>
      <c r="AI236" s="13">
        <v>125</v>
      </c>
      <c r="AJ236" s="5" t="s">
        <v>1686</v>
      </c>
      <c r="AK236" s="5" t="s">
        <v>1695</v>
      </c>
    </row>
    <row r="237" spans="1:39">
      <c r="A237" s="2" t="s">
        <v>1158</v>
      </c>
      <c r="B237" s="20">
        <v>45098</v>
      </c>
      <c r="C237" s="2" t="s">
        <v>487</v>
      </c>
      <c r="D237" s="6">
        <v>2</v>
      </c>
      <c r="E237" s="6">
        <v>72</v>
      </c>
      <c r="F237" s="6">
        <v>6</v>
      </c>
      <c r="G237" s="6" t="s">
        <v>256</v>
      </c>
      <c r="H237" s="6" t="s">
        <v>256</v>
      </c>
      <c r="I237" s="24" t="s">
        <v>5</v>
      </c>
      <c r="J237" s="24" t="s">
        <v>253</v>
      </c>
      <c r="K237" s="6">
        <v>300</v>
      </c>
      <c r="L237" s="6">
        <v>1</v>
      </c>
      <c r="M237" s="6">
        <v>12</v>
      </c>
      <c r="N237" s="6" t="s">
        <v>493</v>
      </c>
      <c r="O237" s="6" t="s">
        <v>493</v>
      </c>
      <c r="P237" s="6" t="s">
        <v>493</v>
      </c>
      <c r="Q237" s="6" t="s">
        <v>493</v>
      </c>
      <c r="R237" s="6">
        <v>1.44</v>
      </c>
      <c r="S237" s="20">
        <v>45097</v>
      </c>
      <c r="T237" s="20">
        <v>45098</v>
      </c>
      <c r="U237" s="10">
        <v>1</v>
      </c>
      <c r="V237" s="2">
        <v>7.05</v>
      </c>
      <c r="W237" s="3" t="s">
        <v>256</v>
      </c>
      <c r="X237" t="s">
        <v>36</v>
      </c>
      <c r="Y237" s="13" t="s">
        <v>247</v>
      </c>
      <c r="Z237" s="12" t="s">
        <v>48</v>
      </c>
      <c r="AA237" s="17">
        <v>45161</v>
      </c>
      <c r="AB237" s="17">
        <v>45226</v>
      </c>
      <c r="AC237" s="15">
        <v>37.738859929837375</v>
      </c>
      <c r="AD237" s="13">
        <v>3</v>
      </c>
      <c r="AE237" s="1" t="s">
        <v>198</v>
      </c>
      <c r="AF237" s="24" t="s">
        <v>199</v>
      </c>
      <c r="AG237" s="1" t="s">
        <v>43</v>
      </c>
      <c r="AH237" s="24" t="s">
        <v>213</v>
      </c>
      <c r="AI237" s="13">
        <v>137</v>
      </c>
      <c r="AJ237" s="5" t="s">
        <v>1687</v>
      </c>
      <c r="AK237" s="5" t="s">
        <v>1695</v>
      </c>
    </row>
    <row r="238" spans="1:39">
      <c r="A238" s="2" t="s">
        <v>1159</v>
      </c>
      <c r="B238" s="20">
        <v>45098</v>
      </c>
      <c r="C238" s="2" t="s">
        <v>487</v>
      </c>
      <c r="D238" s="6">
        <v>3</v>
      </c>
      <c r="E238" s="6">
        <v>98</v>
      </c>
      <c r="F238" s="6">
        <v>9</v>
      </c>
      <c r="G238" s="6" t="s">
        <v>256</v>
      </c>
      <c r="H238" s="6" t="s">
        <v>256</v>
      </c>
      <c r="I238" s="24" t="s">
        <v>5</v>
      </c>
      <c r="J238" s="24" t="s">
        <v>253</v>
      </c>
      <c r="K238" s="6">
        <v>300</v>
      </c>
      <c r="L238" s="6">
        <v>4</v>
      </c>
      <c r="M238" s="6">
        <v>14</v>
      </c>
      <c r="N238" s="6" t="s">
        <v>493</v>
      </c>
      <c r="O238" s="6" t="s">
        <v>493</v>
      </c>
      <c r="P238" s="6" t="s">
        <v>493</v>
      </c>
      <c r="Q238" s="6" t="s">
        <v>493</v>
      </c>
      <c r="R238" s="6">
        <v>1.72</v>
      </c>
      <c r="S238" s="20">
        <v>45097</v>
      </c>
      <c r="T238" s="20">
        <v>45098</v>
      </c>
      <c r="U238" s="10">
        <v>1</v>
      </c>
      <c r="V238" s="2">
        <v>4.51</v>
      </c>
      <c r="W238" s="3" t="s">
        <v>256</v>
      </c>
      <c r="X238" t="s">
        <v>36</v>
      </c>
      <c r="Y238" s="13" t="s">
        <v>247</v>
      </c>
      <c r="Z238" s="12" t="s">
        <v>50</v>
      </c>
      <c r="AA238" s="17">
        <v>45161</v>
      </c>
      <c r="AB238" s="17">
        <v>45226</v>
      </c>
      <c r="AC238" s="15">
        <v>36.198757793180519</v>
      </c>
      <c r="AD238" s="13">
        <v>3</v>
      </c>
      <c r="AE238" s="1" t="s">
        <v>200</v>
      </c>
      <c r="AF238" s="24" t="s">
        <v>201</v>
      </c>
      <c r="AG238" s="1" t="s">
        <v>43</v>
      </c>
      <c r="AH238" s="24" t="s">
        <v>213</v>
      </c>
      <c r="AI238" s="13">
        <v>149</v>
      </c>
      <c r="AJ238" s="5" t="s">
        <v>1688</v>
      </c>
      <c r="AK238" s="5" t="s">
        <v>1695</v>
      </c>
    </row>
    <row r="239" spans="1:39">
      <c r="A239" s="2" t="s">
        <v>1160</v>
      </c>
      <c r="B239" s="20">
        <v>45098</v>
      </c>
      <c r="C239" s="2" t="s">
        <v>487</v>
      </c>
      <c r="D239" s="6">
        <v>3</v>
      </c>
      <c r="E239" s="6">
        <v>100</v>
      </c>
      <c r="F239" s="6">
        <v>9</v>
      </c>
      <c r="G239" s="6" t="s">
        <v>256</v>
      </c>
      <c r="H239" s="6" t="s">
        <v>256</v>
      </c>
      <c r="I239" s="24" t="s">
        <v>5</v>
      </c>
      <c r="J239" s="24" t="s">
        <v>40</v>
      </c>
      <c r="K239" s="6">
        <v>300</v>
      </c>
      <c r="L239" s="6">
        <v>4</v>
      </c>
      <c r="M239" s="6">
        <v>16</v>
      </c>
      <c r="N239" s="6" t="s">
        <v>493</v>
      </c>
      <c r="O239" s="6" t="s">
        <v>493</v>
      </c>
      <c r="P239" s="6" t="s">
        <v>493</v>
      </c>
      <c r="Q239" s="6" t="s">
        <v>493</v>
      </c>
      <c r="R239" s="6">
        <v>2.76</v>
      </c>
      <c r="S239" s="20">
        <v>45097</v>
      </c>
      <c r="T239" s="20">
        <v>45098</v>
      </c>
      <c r="U239" s="10">
        <v>1</v>
      </c>
      <c r="V239" s="2">
        <v>3.53</v>
      </c>
      <c r="W239" s="3" t="s">
        <v>256</v>
      </c>
      <c r="X239" t="s">
        <v>36</v>
      </c>
      <c r="Y239" s="13" t="s">
        <v>247</v>
      </c>
      <c r="Z239" s="12" t="s">
        <v>52</v>
      </c>
      <c r="AA239" s="17">
        <v>45161</v>
      </c>
      <c r="AB239" s="17">
        <v>45226</v>
      </c>
      <c r="AC239" s="15">
        <v>29.749378054137207</v>
      </c>
      <c r="AD239" s="13">
        <v>3</v>
      </c>
      <c r="AE239" s="1" t="s">
        <v>202</v>
      </c>
      <c r="AF239" s="24" t="s">
        <v>203</v>
      </c>
      <c r="AG239" s="1" t="s">
        <v>43</v>
      </c>
      <c r="AH239" s="24" t="s">
        <v>213</v>
      </c>
      <c r="AI239" s="13">
        <v>161</v>
      </c>
      <c r="AJ239" s="5" t="s">
        <v>1689</v>
      </c>
      <c r="AK239" s="5" t="s">
        <v>1695</v>
      </c>
    </row>
    <row r="240" spans="1:39">
      <c r="A240" s="2" t="s">
        <v>1161</v>
      </c>
      <c r="B240" s="20">
        <v>45098</v>
      </c>
      <c r="C240" s="2" t="s">
        <v>487</v>
      </c>
      <c r="D240" s="6">
        <v>3</v>
      </c>
      <c r="E240" s="6">
        <v>104</v>
      </c>
      <c r="F240" s="6">
        <v>9</v>
      </c>
      <c r="G240" s="6" t="s">
        <v>256</v>
      </c>
      <c r="H240" s="6" t="s">
        <v>256</v>
      </c>
      <c r="I240" s="24" t="s">
        <v>5</v>
      </c>
      <c r="J240" s="24" t="s">
        <v>254</v>
      </c>
      <c r="K240" s="6">
        <v>300</v>
      </c>
      <c r="L240" s="6">
        <v>4</v>
      </c>
      <c r="M240" s="6">
        <v>20</v>
      </c>
      <c r="N240" s="6" t="s">
        <v>493</v>
      </c>
      <c r="O240" s="6" t="s">
        <v>493</v>
      </c>
      <c r="P240" s="6" t="s">
        <v>493</v>
      </c>
      <c r="Q240" s="6" t="s">
        <v>493</v>
      </c>
      <c r="R240" s="6">
        <v>2.25</v>
      </c>
      <c r="S240" s="20">
        <v>45097</v>
      </c>
      <c r="T240" s="20">
        <v>45098</v>
      </c>
      <c r="U240" s="10">
        <v>1</v>
      </c>
      <c r="V240" s="2">
        <v>4.2300000000000004</v>
      </c>
      <c r="W240" s="3" t="s">
        <v>256</v>
      </c>
      <c r="X240" t="s">
        <v>36</v>
      </c>
      <c r="Y240" s="13" t="s">
        <v>247</v>
      </c>
      <c r="Z240" s="12" t="s">
        <v>54</v>
      </c>
      <c r="AA240" s="17">
        <v>45161</v>
      </c>
      <c r="AB240" s="17">
        <v>45226</v>
      </c>
      <c r="AC240" s="15">
        <v>34.546580012860147</v>
      </c>
      <c r="AD240" s="13">
        <v>3</v>
      </c>
      <c r="AE240" s="1" t="s">
        <v>204</v>
      </c>
      <c r="AF240" s="24" t="s">
        <v>205</v>
      </c>
      <c r="AG240" s="1" t="s">
        <v>43</v>
      </c>
      <c r="AH240" s="24" t="s">
        <v>213</v>
      </c>
      <c r="AI240" s="13">
        <v>173</v>
      </c>
      <c r="AJ240" s="5" t="s">
        <v>1690</v>
      </c>
      <c r="AK240" s="5" t="s">
        <v>1695</v>
      </c>
    </row>
    <row r="241" spans="1:37">
      <c r="A241" s="2" t="s">
        <v>1162</v>
      </c>
      <c r="B241" s="20">
        <v>45098</v>
      </c>
      <c r="C241" s="2" t="s">
        <v>487</v>
      </c>
      <c r="D241" s="6">
        <v>3</v>
      </c>
      <c r="E241" s="6">
        <v>107</v>
      </c>
      <c r="F241" s="6">
        <v>9</v>
      </c>
      <c r="G241" s="6" t="s">
        <v>256</v>
      </c>
      <c r="H241" s="6" t="s">
        <v>256</v>
      </c>
      <c r="I241" s="24" t="s">
        <v>5</v>
      </c>
      <c r="J241" s="24" t="s">
        <v>255</v>
      </c>
      <c r="K241" s="6">
        <v>300</v>
      </c>
      <c r="L241" s="6">
        <v>4</v>
      </c>
      <c r="M241" s="6">
        <v>23</v>
      </c>
      <c r="N241" s="6" t="s">
        <v>493</v>
      </c>
      <c r="O241" s="6" t="s">
        <v>493</v>
      </c>
      <c r="P241" s="6" t="s">
        <v>493</v>
      </c>
      <c r="Q241" s="6" t="s">
        <v>493</v>
      </c>
      <c r="R241" s="6">
        <v>0.44</v>
      </c>
      <c r="S241" s="20">
        <v>45097</v>
      </c>
      <c r="T241" s="20">
        <v>45098</v>
      </c>
      <c r="U241" s="10">
        <v>1</v>
      </c>
      <c r="V241" s="2">
        <v>0.92900000000000005</v>
      </c>
      <c r="W241" s="3" t="s">
        <v>256</v>
      </c>
      <c r="X241" t="s">
        <v>36</v>
      </c>
      <c r="Y241" s="13" t="s">
        <v>247</v>
      </c>
      <c r="Z241" s="12" t="s">
        <v>56</v>
      </c>
      <c r="AA241" s="17">
        <v>45161</v>
      </c>
      <c r="AB241" s="17">
        <v>45226</v>
      </c>
      <c r="AC241" s="15">
        <v>40.581365095250092</v>
      </c>
      <c r="AD241" s="13">
        <v>3</v>
      </c>
      <c r="AE241" s="1" t="s">
        <v>206</v>
      </c>
      <c r="AF241" s="24" t="s">
        <v>207</v>
      </c>
      <c r="AG241" s="1" t="s">
        <v>43</v>
      </c>
      <c r="AH241" s="24" t="s">
        <v>213</v>
      </c>
      <c r="AI241" s="13">
        <v>185</v>
      </c>
      <c r="AJ241" s="5" t="s">
        <v>1691</v>
      </c>
      <c r="AK241" s="5" t="s">
        <v>1695</v>
      </c>
    </row>
  </sheetData>
  <autoFilter ref="A1:AU241" xr:uid="{DB8A0793-AACF-EA47-8445-227F76777388}"/>
  <conditionalFormatting sqref="AJ5:AJ11">
    <cfRule type="duplicateValues" dxfId="3" priority="4"/>
  </conditionalFormatting>
  <conditionalFormatting sqref="AJ15:AJ22">
    <cfRule type="duplicateValues" dxfId="2" priority="3"/>
  </conditionalFormatting>
  <conditionalFormatting sqref="AJ114:AJ121">
    <cfRule type="duplicateValues" dxfId="1" priority="2"/>
  </conditionalFormatting>
  <conditionalFormatting sqref="AJ234:AJ241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6E95-4F3D-3E47-8759-A3CE7EC6FCF1}">
  <dimension ref="A1"/>
  <sheetViews>
    <sheetView topLeftCell="A18" workbookViewId="0">
      <selection activeCell="Q43" sqref="Q43"/>
    </sheetView>
  </sheetViews>
  <sheetFormatPr baseColWidth="10" defaultRowHeight="16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People</vt:lpstr>
      <vt:lpstr>2022_shotgun</vt:lpstr>
      <vt:lpstr>2022_amplicons</vt:lpstr>
      <vt:lpstr>2022_layout</vt:lpstr>
      <vt:lpstr>2023_shotgun</vt:lpstr>
      <vt:lpstr>2023_amplicons</vt:lpstr>
      <vt:lpstr>2023_layout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Nikoline Olsen</dc:creator>
  <cp:lastModifiedBy>Laura Milena Forero Junco</cp:lastModifiedBy>
  <dcterms:created xsi:type="dcterms:W3CDTF">2024-05-14T10:47:47Z</dcterms:created>
  <dcterms:modified xsi:type="dcterms:W3CDTF">2026-04-07T16:28:44Z</dcterms:modified>
</cp:coreProperties>
</file>